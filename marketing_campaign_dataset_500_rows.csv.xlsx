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ctoria\Desktop\NextMakers\"/>
    </mc:Choice>
  </mc:AlternateContent>
  <bookViews>
    <workbookView xWindow="0" yWindow="0" windowWidth="19200" windowHeight="7640"/>
  </bookViews>
  <sheets>
    <sheet name="marketing_campaign_dataset_500_" sheetId="1" r:id="rId1"/>
    <sheet name="Summary sheet" sheetId="2" r:id="rId2"/>
  </sheets>
  <externalReferences>
    <externalReference r:id="rId3"/>
  </externalReferences>
  <calcPr calcId="162913"/>
  <extLst>
    <ext uri="GoogleSheetsCustomDataVersion2">
      <go:sheetsCustomData xmlns:go="http://customooxmlschemas.google.com/" r:id="rId6" roundtripDataChecksum="7tUc6V4mqLRjvYRFrRClYizaIO1RUkrfRnE6oUxeRqk="/>
    </ext>
  </extLst>
</workbook>
</file>

<file path=xl/calcChain.xml><?xml version="1.0" encoding="utf-8"?>
<calcChain xmlns="http://schemas.openxmlformats.org/spreadsheetml/2006/main">
  <c r="B2" i="2" l="1"/>
  <c r="P500" i="1"/>
  <c r="P499" i="1"/>
  <c r="P497" i="1"/>
  <c r="P496" i="1"/>
  <c r="U495" i="1"/>
  <c r="P494" i="1"/>
  <c r="P493" i="1"/>
  <c r="P491" i="1"/>
  <c r="P490" i="1"/>
  <c r="P489" i="1"/>
  <c r="P488" i="1"/>
  <c r="P487" i="1"/>
  <c r="P484" i="1"/>
  <c r="P483" i="1"/>
  <c r="P482" i="1"/>
  <c r="P481" i="1"/>
  <c r="P480" i="1"/>
  <c r="U479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6" i="1"/>
  <c r="P465" i="1"/>
  <c r="P463" i="1"/>
  <c r="P461" i="1"/>
  <c r="P459" i="1"/>
  <c r="P458" i="1"/>
  <c r="P457" i="1"/>
  <c r="P456" i="1"/>
  <c r="P455" i="1"/>
  <c r="P453" i="1"/>
  <c r="U452" i="1"/>
  <c r="P450" i="1"/>
  <c r="P449" i="1"/>
  <c r="P448" i="1"/>
  <c r="P447" i="1"/>
  <c r="P446" i="1"/>
  <c r="P445" i="1"/>
  <c r="P443" i="1"/>
  <c r="P441" i="1"/>
  <c r="P440" i="1"/>
  <c r="P439" i="1"/>
  <c r="P436" i="1"/>
  <c r="P435" i="1"/>
  <c r="P434" i="1"/>
  <c r="P433" i="1"/>
  <c r="P432" i="1"/>
  <c r="P431" i="1"/>
  <c r="P430" i="1"/>
  <c r="P428" i="1"/>
  <c r="P427" i="1"/>
  <c r="P425" i="1"/>
  <c r="P424" i="1"/>
  <c r="U423" i="1"/>
  <c r="P423" i="1"/>
  <c r="P421" i="1"/>
  <c r="P420" i="1"/>
  <c r="P419" i="1"/>
  <c r="P418" i="1"/>
  <c r="P417" i="1"/>
  <c r="P416" i="1"/>
  <c r="P415" i="1"/>
  <c r="P414" i="1"/>
  <c r="P413" i="1"/>
  <c r="P412" i="1"/>
  <c r="U411" i="1"/>
  <c r="P411" i="1"/>
  <c r="P410" i="1"/>
  <c r="P409" i="1"/>
  <c r="P408" i="1"/>
  <c r="U407" i="1"/>
  <c r="P407" i="1"/>
  <c r="P406" i="1"/>
  <c r="P405" i="1"/>
  <c r="P404" i="1"/>
  <c r="P403" i="1"/>
  <c r="P402" i="1"/>
  <c r="P401" i="1"/>
  <c r="P400" i="1"/>
  <c r="P399" i="1"/>
  <c r="P398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0" i="1"/>
  <c r="P378" i="1"/>
  <c r="P377" i="1"/>
  <c r="P376" i="1"/>
  <c r="P375" i="1"/>
  <c r="P374" i="1"/>
  <c r="P373" i="1"/>
  <c r="P372" i="1"/>
  <c r="P371" i="1"/>
  <c r="P370" i="1"/>
  <c r="P368" i="1"/>
  <c r="P367" i="1"/>
  <c r="U365" i="1"/>
  <c r="P364" i="1"/>
  <c r="P362" i="1"/>
  <c r="P361" i="1"/>
  <c r="P360" i="1"/>
  <c r="P358" i="1"/>
  <c r="P357" i="1"/>
  <c r="P356" i="1"/>
  <c r="P355" i="1"/>
  <c r="P354" i="1"/>
  <c r="P353" i="1"/>
  <c r="P352" i="1"/>
  <c r="P348" i="1"/>
  <c r="P347" i="1"/>
  <c r="P346" i="1"/>
  <c r="U344" i="1"/>
  <c r="P344" i="1"/>
  <c r="U343" i="1"/>
  <c r="P343" i="1"/>
  <c r="P342" i="1"/>
  <c r="P341" i="1"/>
  <c r="P340" i="1"/>
  <c r="P339" i="1"/>
  <c r="P338" i="1"/>
  <c r="P336" i="1"/>
  <c r="P335" i="1"/>
  <c r="P334" i="1"/>
  <c r="P333" i="1"/>
  <c r="P332" i="1"/>
  <c r="P331" i="1"/>
  <c r="P330" i="1"/>
  <c r="P329" i="1"/>
  <c r="P327" i="1"/>
  <c r="P324" i="1"/>
  <c r="P322" i="1"/>
  <c r="P321" i="1"/>
  <c r="P320" i="1"/>
  <c r="P318" i="1"/>
  <c r="U317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U303" i="1"/>
  <c r="P303" i="1"/>
  <c r="P302" i="1"/>
  <c r="P301" i="1"/>
  <c r="P300" i="1"/>
  <c r="P299" i="1"/>
  <c r="P298" i="1"/>
  <c r="P297" i="1"/>
  <c r="P296" i="1"/>
  <c r="P295" i="1"/>
  <c r="P294" i="1"/>
  <c r="P291" i="1"/>
  <c r="P290" i="1"/>
  <c r="P289" i="1"/>
  <c r="P288" i="1"/>
  <c r="P287" i="1"/>
  <c r="P285" i="1"/>
  <c r="P284" i="1"/>
  <c r="P283" i="1"/>
  <c r="P282" i="1"/>
  <c r="P281" i="1"/>
  <c r="P280" i="1"/>
  <c r="P279" i="1"/>
  <c r="P278" i="1"/>
  <c r="P276" i="1"/>
  <c r="P275" i="1"/>
  <c r="P274" i="1"/>
  <c r="P273" i="1"/>
  <c r="U272" i="1"/>
  <c r="P272" i="1"/>
  <c r="P271" i="1"/>
  <c r="P270" i="1"/>
  <c r="P269" i="1"/>
  <c r="P268" i="1"/>
  <c r="P267" i="1"/>
  <c r="P266" i="1"/>
  <c r="P264" i="1"/>
  <c r="P263" i="1"/>
  <c r="P262" i="1"/>
  <c r="P259" i="1"/>
  <c r="P258" i="1"/>
  <c r="P257" i="1"/>
  <c r="P255" i="1"/>
  <c r="P254" i="1"/>
  <c r="P253" i="1"/>
  <c r="P250" i="1"/>
  <c r="P249" i="1"/>
  <c r="P248" i="1"/>
  <c r="P247" i="1"/>
  <c r="P245" i="1"/>
  <c r="P244" i="1"/>
  <c r="P242" i="1"/>
  <c r="P240" i="1"/>
  <c r="P239" i="1"/>
  <c r="P238" i="1"/>
  <c r="P237" i="1"/>
  <c r="P236" i="1"/>
  <c r="U235" i="1"/>
  <c r="P235" i="1"/>
  <c r="P234" i="1"/>
  <c r="P233" i="1"/>
  <c r="P231" i="1"/>
  <c r="P230" i="1"/>
  <c r="P229" i="1"/>
  <c r="P228" i="1"/>
  <c r="P226" i="1"/>
  <c r="P224" i="1"/>
  <c r="P223" i="1"/>
  <c r="P222" i="1"/>
  <c r="P220" i="1"/>
  <c r="P219" i="1"/>
  <c r="P218" i="1"/>
  <c r="P217" i="1"/>
  <c r="P216" i="1"/>
  <c r="P215" i="1"/>
  <c r="P214" i="1"/>
  <c r="P212" i="1"/>
  <c r="P211" i="1"/>
  <c r="P210" i="1"/>
  <c r="P209" i="1"/>
  <c r="P206" i="1"/>
  <c r="P205" i="1"/>
  <c r="P203" i="1"/>
  <c r="P202" i="1"/>
  <c r="P201" i="1"/>
  <c r="P198" i="1"/>
  <c r="P196" i="1"/>
  <c r="P195" i="1"/>
  <c r="P194" i="1"/>
  <c r="P192" i="1"/>
  <c r="P191" i="1"/>
  <c r="P190" i="1"/>
  <c r="P189" i="1"/>
  <c r="P187" i="1"/>
  <c r="P185" i="1"/>
  <c r="P183" i="1"/>
  <c r="U181" i="1"/>
  <c r="P180" i="1"/>
  <c r="P179" i="1"/>
  <c r="P178" i="1"/>
  <c r="P177" i="1"/>
  <c r="P176" i="1"/>
  <c r="P175" i="1"/>
  <c r="P174" i="1"/>
  <c r="P173" i="1"/>
  <c r="P171" i="1"/>
  <c r="P170" i="1"/>
  <c r="P168" i="1"/>
  <c r="P167" i="1"/>
  <c r="P166" i="1"/>
  <c r="P164" i="1"/>
  <c r="P163" i="1"/>
  <c r="P158" i="1"/>
  <c r="P157" i="1"/>
  <c r="P156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U141" i="1"/>
  <c r="P141" i="1"/>
  <c r="P140" i="1"/>
  <c r="P139" i="1"/>
  <c r="P138" i="1"/>
  <c r="P137" i="1"/>
  <c r="P136" i="1"/>
  <c r="P135" i="1"/>
  <c r="P134" i="1"/>
  <c r="P133" i="1"/>
  <c r="P131" i="1"/>
  <c r="P130" i="1"/>
  <c r="P129" i="1"/>
  <c r="P127" i="1"/>
  <c r="P125" i="1"/>
  <c r="P124" i="1"/>
  <c r="P123" i="1"/>
  <c r="P122" i="1"/>
  <c r="P121" i="1"/>
  <c r="P120" i="1"/>
  <c r="P117" i="1"/>
  <c r="P116" i="1"/>
  <c r="P115" i="1"/>
  <c r="P113" i="1"/>
  <c r="P112" i="1"/>
  <c r="P110" i="1"/>
  <c r="P109" i="1"/>
  <c r="U108" i="1"/>
  <c r="P108" i="1"/>
  <c r="P107" i="1"/>
  <c r="P106" i="1"/>
  <c r="P105" i="1"/>
  <c r="U104" i="1"/>
  <c r="P104" i="1"/>
  <c r="P103" i="1"/>
  <c r="P102" i="1"/>
  <c r="P101" i="1"/>
  <c r="P100" i="1"/>
  <c r="P98" i="1"/>
  <c r="P97" i="1"/>
  <c r="P96" i="1"/>
  <c r="P95" i="1"/>
  <c r="P94" i="1"/>
  <c r="P93" i="1"/>
  <c r="P92" i="1"/>
  <c r="P91" i="1"/>
  <c r="P90" i="1"/>
  <c r="P88" i="1"/>
  <c r="P87" i="1"/>
  <c r="P86" i="1"/>
  <c r="P85" i="1"/>
  <c r="P79" i="1"/>
  <c r="P78" i="1"/>
  <c r="P77" i="1"/>
  <c r="P76" i="1"/>
  <c r="P74" i="1"/>
  <c r="P72" i="1"/>
  <c r="P70" i="1"/>
  <c r="P69" i="1"/>
  <c r="P68" i="1"/>
  <c r="P66" i="1"/>
  <c r="U65" i="1"/>
  <c r="U64" i="1"/>
  <c r="P64" i="1"/>
  <c r="P63" i="1"/>
  <c r="P62" i="1"/>
  <c r="P61" i="1"/>
  <c r="P60" i="1"/>
  <c r="P59" i="1"/>
  <c r="P58" i="1"/>
  <c r="P57" i="1"/>
  <c r="P55" i="1"/>
  <c r="U54" i="1"/>
  <c r="P54" i="1"/>
  <c r="P53" i="1"/>
  <c r="P52" i="1"/>
  <c r="P51" i="1"/>
  <c r="P50" i="1"/>
  <c r="P49" i="1"/>
  <c r="P48" i="1"/>
  <c r="P47" i="1"/>
  <c r="P46" i="1"/>
  <c r="P45" i="1"/>
  <c r="P44" i="1"/>
  <c r="P42" i="1"/>
  <c r="P41" i="1"/>
  <c r="P38" i="1"/>
  <c r="P37" i="1"/>
  <c r="P36" i="1"/>
  <c r="P34" i="1"/>
  <c r="P33" i="1"/>
  <c r="P32" i="1"/>
  <c r="U31" i="1"/>
  <c r="P31" i="1"/>
  <c r="P28" i="1"/>
  <c r="P25" i="1"/>
  <c r="P24" i="1"/>
  <c r="P23" i="1"/>
  <c r="P22" i="1"/>
  <c r="P21" i="1"/>
  <c r="P20" i="1"/>
  <c r="P19" i="1"/>
  <c r="P18" i="1"/>
  <c r="P17" i="1"/>
  <c r="P16" i="1"/>
  <c r="P15" i="1"/>
  <c r="U14" i="1"/>
  <c r="U13" i="1"/>
  <c r="P13" i="1"/>
  <c r="U12" i="1"/>
  <c r="P12" i="1"/>
  <c r="U11" i="1"/>
  <c r="P11" i="1"/>
  <c r="U10" i="1"/>
  <c r="P10" i="1"/>
  <c r="U9" i="1"/>
  <c r="P9" i="1"/>
  <c r="U8" i="1"/>
  <c r="P8" i="1"/>
  <c r="U7" i="1"/>
  <c r="P7" i="1"/>
  <c r="U6" i="1"/>
  <c r="P6" i="1"/>
  <c r="U5" i="1"/>
  <c r="P5" i="1"/>
  <c r="U3" i="1"/>
  <c r="P3" i="1"/>
  <c r="U2" i="1"/>
  <c r="S2" i="1"/>
  <c r="P501" i="1" s="1"/>
  <c r="P2" i="1"/>
  <c r="P14" i="1" l="1"/>
  <c r="P81" i="1"/>
  <c r="P119" i="1"/>
  <c r="P213" i="1"/>
  <c r="P260" i="1"/>
  <c r="P4" i="1"/>
  <c r="P155" i="1"/>
  <c r="P261" i="1"/>
  <c r="P75" i="1"/>
  <c r="P227" i="1"/>
  <c r="P319" i="1"/>
  <c r="P365" i="1"/>
  <c r="P422" i="1"/>
  <c r="P43" i="1"/>
  <c r="P65" i="1"/>
  <c r="P169" i="1"/>
  <c r="P181" i="1"/>
  <c r="P204" i="1"/>
  <c r="P251" i="1"/>
  <c r="P286" i="1"/>
  <c r="P492" i="1"/>
  <c r="P165" i="1"/>
  <c r="P188" i="1"/>
  <c r="P29" i="1"/>
  <c r="P56" i="1"/>
  <c r="P159" i="1"/>
  <c r="P182" i="1"/>
  <c r="P241" i="1"/>
  <c r="P265" i="1"/>
  <c r="P379" i="1"/>
  <c r="P67" i="1"/>
  <c r="P160" i="1"/>
  <c r="P172" i="1"/>
  <c r="P207" i="1"/>
  <c r="P277" i="1"/>
  <c r="P323" i="1"/>
  <c r="P345" i="1"/>
  <c r="P437" i="1"/>
  <c r="P460" i="1"/>
  <c r="P495" i="1"/>
  <c r="P39" i="1"/>
  <c r="P84" i="1"/>
  <c r="P118" i="1"/>
  <c r="P200" i="1"/>
  <c r="P40" i="1"/>
  <c r="P73" i="1"/>
  <c r="P225" i="1"/>
  <c r="P30" i="1"/>
  <c r="P132" i="1"/>
  <c r="P99" i="1"/>
  <c r="P89" i="1"/>
  <c r="P111" i="1"/>
  <c r="P193" i="1"/>
  <c r="P252" i="1"/>
  <c r="P366" i="1"/>
  <c r="P35" i="1"/>
  <c r="P80" i="1"/>
  <c r="P114" i="1"/>
  <c r="P126" i="1"/>
  <c r="P161" i="1"/>
  <c r="P184" i="1"/>
  <c r="P208" i="1"/>
  <c r="P232" i="1"/>
  <c r="P243" i="1"/>
  <c r="P369" i="1"/>
  <c r="P381" i="1"/>
  <c r="P426" i="1"/>
  <c r="P438" i="1"/>
  <c r="P162" i="1"/>
  <c r="P197" i="1"/>
  <c r="P221" i="1"/>
  <c r="P256" i="1"/>
  <c r="P325" i="1"/>
  <c r="P337" i="1"/>
  <c r="P359" i="1"/>
  <c r="P382" i="1"/>
  <c r="P451" i="1"/>
  <c r="P462" i="1"/>
  <c r="P485" i="1"/>
  <c r="P326" i="1"/>
  <c r="P452" i="1"/>
  <c r="P486" i="1"/>
  <c r="P26" i="1"/>
  <c r="P82" i="1"/>
  <c r="P128" i="1"/>
  <c r="P186" i="1"/>
  <c r="P292" i="1"/>
  <c r="P27" i="1"/>
  <c r="P71" i="1"/>
  <c r="P83" i="1"/>
  <c r="P199" i="1"/>
  <c r="P246" i="1"/>
  <c r="P293" i="1"/>
  <c r="P349" i="1"/>
  <c r="P429" i="1"/>
  <c r="P464" i="1"/>
  <c r="P498" i="1"/>
  <c r="P328" i="1"/>
  <c r="P350" i="1"/>
  <c r="P397" i="1"/>
  <c r="P442" i="1"/>
  <c r="P351" i="1"/>
  <c r="P363" i="1"/>
  <c r="P454" i="1"/>
  <c r="P444" i="1"/>
  <c r="P467" i="1"/>
</calcChain>
</file>

<file path=xl/sharedStrings.xml><?xml version="1.0" encoding="utf-8"?>
<sst xmlns="http://schemas.openxmlformats.org/spreadsheetml/2006/main" count="2996" uniqueCount="718">
  <si>
    <t>Campaign_ID</t>
  </si>
  <si>
    <t>Date</t>
  </si>
  <si>
    <t>Customer_ID</t>
  </si>
  <si>
    <t>Age</t>
  </si>
  <si>
    <t>Gender</t>
  </si>
  <si>
    <t>Country</t>
  </si>
  <si>
    <t>Marketing_Channel</t>
  </si>
  <si>
    <t>Campaign_Type</t>
  </si>
  <si>
    <t>Ad_Spend</t>
  </si>
  <si>
    <t>Impressions</t>
  </si>
  <si>
    <t>Clicks</t>
  </si>
  <si>
    <t>Conversions</t>
  </si>
  <si>
    <t>Customer_Satisfaction</t>
  </si>
  <si>
    <t>CTR_%</t>
  </si>
  <si>
    <t>Conversion_Rate_%</t>
  </si>
  <si>
    <t>Cust_satifaction_full</t>
  </si>
  <si>
    <t>avg_cust_satisfaction</t>
  </si>
  <si>
    <t>Num_over_100</t>
  </si>
  <si>
    <t>MKT1000</t>
  </si>
  <si>
    <t>C378</t>
  </si>
  <si>
    <t>Male</t>
  </si>
  <si>
    <t>USA</t>
  </si>
  <si>
    <t>Facebook Ads</t>
  </si>
  <si>
    <t>Product Launch</t>
  </si>
  <si>
    <t>MKT1001</t>
  </si>
  <si>
    <t>C345</t>
  </si>
  <si>
    <t>Female</t>
  </si>
  <si>
    <t>Nigeria</t>
  </si>
  <si>
    <t>Google Ads</t>
  </si>
  <si>
    <t>Brand Awareness</t>
  </si>
  <si>
    <t>MKT1002</t>
  </si>
  <si>
    <t>C239</t>
  </si>
  <si>
    <t>Other</t>
  </si>
  <si>
    <t>Holiday Promo</t>
  </si>
  <si>
    <t>MKT1003</t>
  </si>
  <si>
    <t>C266</t>
  </si>
  <si>
    <t>MKT1004</t>
  </si>
  <si>
    <t>C282</t>
  </si>
  <si>
    <t>UK</t>
  </si>
  <si>
    <t>Referral</t>
  </si>
  <si>
    <t>MKT1005</t>
  </si>
  <si>
    <t>C227</t>
  </si>
  <si>
    <t>Ghana</t>
  </si>
  <si>
    <t>Instagram</t>
  </si>
  <si>
    <t>MKT1006</t>
  </si>
  <si>
    <t>C279</t>
  </si>
  <si>
    <t>MKT1007</t>
  </si>
  <si>
    <t>South Africa</t>
  </si>
  <si>
    <t>MKT1008</t>
  </si>
  <si>
    <t>C338</t>
  </si>
  <si>
    <t>MKT1009</t>
  </si>
  <si>
    <t>C346</t>
  </si>
  <si>
    <t>MKT1010</t>
  </si>
  <si>
    <t>C252</t>
  </si>
  <si>
    <t>Kenya</t>
  </si>
  <si>
    <t>MKT1011</t>
  </si>
  <si>
    <t>C334</t>
  </si>
  <si>
    <t>MKT1012</t>
  </si>
  <si>
    <t>Email</t>
  </si>
  <si>
    <t>Discount</t>
  </si>
  <si>
    <t>MKT1013</t>
  </si>
  <si>
    <t>C267</t>
  </si>
  <si>
    <t>MKT1014</t>
  </si>
  <si>
    <t>C290</t>
  </si>
  <si>
    <t>MKT1015</t>
  </si>
  <si>
    <t>C300</t>
  </si>
  <si>
    <t>MKT1016</t>
  </si>
  <si>
    <t>MKT1017</t>
  </si>
  <si>
    <t>C210</t>
  </si>
  <si>
    <t>MKT1018</t>
  </si>
  <si>
    <t>C211</t>
  </si>
  <si>
    <t>MKT1019</t>
  </si>
  <si>
    <t>C341</t>
  </si>
  <si>
    <t>MKT1020</t>
  </si>
  <si>
    <t>C359</t>
  </si>
  <si>
    <t>MKT1021</t>
  </si>
  <si>
    <t>C298</t>
  </si>
  <si>
    <t>MKT1022</t>
  </si>
  <si>
    <t>C367</t>
  </si>
  <si>
    <t>MKT1023</t>
  </si>
  <si>
    <t>C363</t>
  </si>
  <si>
    <t>MKT1024</t>
  </si>
  <si>
    <t>C224</t>
  </si>
  <si>
    <t>MKT1025</t>
  </si>
  <si>
    <t>MKT1026</t>
  </si>
  <si>
    <t>C280</t>
  </si>
  <si>
    <t>MKT1027</t>
  </si>
  <si>
    <t>C246</t>
  </si>
  <si>
    <t>MKT1028</t>
  </si>
  <si>
    <t>C350</t>
  </si>
  <si>
    <t>MKT1029</t>
  </si>
  <si>
    <t>MKT1030</t>
  </si>
  <si>
    <t>C313</t>
  </si>
  <si>
    <t>MKT1031</t>
  </si>
  <si>
    <t>C207</t>
  </si>
  <si>
    <t>MKT1032</t>
  </si>
  <si>
    <t>MKT1033</t>
  </si>
  <si>
    <t>C255</t>
  </si>
  <si>
    <t>MKT1034</t>
  </si>
  <si>
    <t>C283</t>
  </si>
  <si>
    <t>MKT1035</t>
  </si>
  <si>
    <t>MKT1036</t>
  </si>
  <si>
    <t>C288</t>
  </si>
  <si>
    <t>MKT1037</t>
  </si>
  <si>
    <t>C243</t>
  </si>
  <si>
    <t>MKT1038</t>
  </si>
  <si>
    <t>C263</t>
  </si>
  <si>
    <t>MKT1039</t>
  </si>
  <si>
    <t>C339</t>
  </si>
  <si>
    <t>MKT1040</t>
  </si>
  <si>
    <t>C370</t>
  </si>
  <si>
    <t>MKT1041</t>
  </si>
  <si>
    <t>C293</t>
  </si>
  <si>
    <t>MKT1042</t>
  </si>
  <si>
    <t>C366</t>
  </si>
  <si>
    <t>MKT1043</t>
  </si>
  <si>
    <t>C234</t>
  </si>
  <si>
    <t>MKT1044</t>
  </si>
  <si>
    <t>C304</t>
  </si>
  <si>
    <t>MKT1045</t>
  </si>
  <si>
    <t>C209</t>
  </si>
  <si>
    <t>MKT1046</t>
  </si>
  <si>
    <t>MKT1047</t>
  </si>
  <si>
    <t>C377</t>
  </si>
  <si>
    <t>MKT1048</t>
  </si>
  <si>
    <t>C382</t>
  </si>
  <si>
    <t>MKT1049</t>
  </si>
  <si>
    <t>C241</t>
  </si>
  <si>
    <t>MKT1050</t>
  </si>
  <si>
    <t>C217</t>
  </si>
  <si>
    <t>MKT1051</t>
  </si>
  <si>
    <t>C368</t>
  </si>
  <si>
    <t>MKT1052</t>
  </si>
  <si>
    <t>C356</t>
  </si>
  <si>
    <t>MKT1053</t>
  </si>
  <si>
    <t>C340</t>
  </si>
  <si>
    <t>MKT1054</t>
  </si>
  <si>
    <t>C299</t>
  </si>
  <si>
    <t>MKT1055</t>
  </si>
  <si>
    <t>C360</t>
  </si>
  <si>
    <t>MKT1056</t>
  </si>
  <si>
    <t>C248</t>
  </si>
  <si>
    <t>MKT1057</t>
  </si>
  <si>
    <t>MKT1058</t>
  </si>
  <si>
    <t>C214</t>
  </si>
  <si>
    <t>MKT1059</t>
  </si>
  <si>
    <t>MKT1060</t>
  </si>
  <si>
    <t>C303</t>
  </si>
  <si>
    <t>MKT1061</t>
  </si>
  <si>
    <t>C269</t>
  </si>
  <si>
    <t>MKT1062</t>
  </si>
  <si>
    <t>MKT1063</t>
  </si>
  <si>
    <t>C297</t>
  </si>
  <si>
    <t>MKT1064</t>
  </si>
  <si>
    <t>C244</t>
  </si>
  <si>
    <t>MKT1065</t>
  </si>
  <si>
    <t>MKT1066</t>
  </si>
  <si>
    <t>C371</t>
  </si>
  <si>
    <t>MKT1067</t>
  </si>
  <si>
    <t>C373</t>
  </si>
  <si>
    <t>MKT1068</t>
  </si>
  <si>
    <t>MKT1069</t>
  </si>
  <si>
    <t>MKT1070</t>
  </si>
  <si>
    <t>C330</t>
  </si>
  <si>
    <t>MKT1071</t>
  </si>
  <si>
    <t>MKT1072</t>
  </si>
  <si>
    <t>MKT1073</t>
  </si>
  <si>
    <t>C226</t>
  </si>
  <si>
    <t>MKT1074</t>
  </si>
  <si>
    <t>MKT1075</t>
  </si>
  <si>
    <t>MKT1076</t>
  </si>
  <si>
    <t>MKT1077</t>
  </si>
  <si>
    <t>C383</t>
  </si>
  <si>
    <t>MKT1078</t>
  </si>
  <si>
    <t>MKT1079</t>
  </si>
  <si>
    <t>C349</t>
  </si>
  <si>
    <t>MKT1080</t>
  </si>
  <si>
    <t>MKT1081</t>
  </si>
  <si>
    <t>C319</t>
  </si>
  <si>
    <t>MKT1082</t>
  </si>
  <si>
    <t>MKT1083</t>
  </si>
  <si>
    <t>C259</t>
  </si>
  <si>
    <t>MKT1084</t>
  </si>
  <si>
    <t>C262</t>
  </si>
  <si>
    <t>MKT1085</t>
  </si>
  <si>
    <t>C228</t>
  </si>
  <si>
    <t>MKT1086</t>
  </si>
  <si>
    <t>MKT1087</t>
  </si>
  <si>
    <t>C215</t>
  </si>
  <si>
    <t>MKT1088</t>
  </si>
  <si>
    <t>C205</t>
  </si>
  <si>
    <t>MKT1089</t>
  </si>
  <si>
    <t>C391</t>
  </si>
  <si>
    <t>MKT1090</t>
  </si>
  <si>
    <t>MKT1091</t>
  </si>
  <si>
    <t>MKT1092</t>
  </si>
  <si>
    <t>C342</t>
  </si>
  <si>
    <t>MKT1093</t>
  </si>
  <si>
    <t>C206</t>
  </si>
  <si>
    <t>MKT1094</t>
  </si>
  <si>
    <t>C242</t>
  </si>
  <si>
    <t>MKT1095</t>
  </si>
  <si>
    <t>C278</t>
  </si>
  <si>
    <t>MKT1096</t>
  </si>
  <si>
    <t>C364</t>
  </si>
  <si>
    <t>MKT1097</t>
  </si>
  <si>
    <t>MKT1098</t>
  </si>
  <si>
    <t>C362</t>
  </si>
  <si>
    <t>MKT1099</t>
  </si>
  <si>
    <t>C361</t>
  </si>
  <si>
    <t>MKT1100</t>
  </si>
  <si>
    <t>MKT1101</t>
  </si>
  <si>
    <t>MKT1102</t>
  </si>
  <si>
    <t>MKT1103</t>
  </si>
  <si>
    <t>C321</t>
  </si>
  <si>
    <t>MKT1104</t>
  </si>
  <si>
    <t>MKT1105</t>
  </si>
  <si>
    <t>C324</t>
  </si>
  <si>
    <t>MKT1106</t>
  </si>
  <si>
    <t>C264</t>
  </si>
  <si>
    <t>MKT1107</t>
  </si>
  <si>
    <t>C385</t>
  </si>
  <si>
    <t>MKT1108</t>
  </si>
  <si>
    <t>MKT1109</t>
  </si>
  <si>
    <t>C250</t>
  </si>
  <si>
    <t>MKT1110</t>
  </si>
  <si>
    <t>MKT1111</t>
  </si>
  <si>
    <t>C387</t>
  </si>
  <si>
    <t>MKT1112</t>
  </si>
  <si>
    <t>C375</t>
  </si>
  <si>
    <t>MKT1113</t>
  </si>
  <si>
    <t>C327</t>
  </si>
  <si>
    <t>MKT1114</t>
  </si>
  <si>
    <t>MKT1115</t>
  </si>
  <si>
    <t>MKT1116</t>
  </si>
  <si>
    <t>C305</t>
  </si>
  <si>
    <t>MKT1117</t>
  </si>
  <si>
    <t>MKT1118</t>
  </si>
  <si>
    <t>C310</t>
  </si>
  <si>
    <t>MKT1119</t>
  </si>
  <si>
    <t>C287</t>
  </si>
  <si>
    <t>MKT1120</t>
  </si>
  <si>
    <t>C231</t>
  </si>
  <si>
    <t>MKT1121</t>
  </si>
  <si>
    <t>MKT1122</t>
  </si>
  <si>
    <t>MKT1123</t>
  </si>
  <si>
    <t>MKT1124</t>
  </si>
  <si>
    <t>MKT1125</t>
  </si>
  <si>
    <t>C271</t>
  </si>
  <si>
    <t>MKT1126</t>
  </si>
  <si>
    <t>C351</t>
  </si>
  <si>
    <t>MKT1127</t>
  </si>
  <si>
    <t>MKT1128</t>
  </si>
  <si>
    <t>C365</t>
  </si>
  <si>
    <t>MKT1129</t>
  </si>
  <si>
    <t>MKT1130</t>
  </si>
  <si>
    <t>C247</t>
  </si>
  <si>
    <t>MKT1131</t>
  </si>
  <si>
    <t>C277</t>
  </si>
  <si>
    <t>MKT1132</t>
  </si>
  <si>
    <t>MKT1133</t>
  </si>
  <si>
    <t>MKT1134</t>
  </si>
  <si>
    <t>MKT1135</t>
  </si>
  <si>
    <t>MKT1136</t>
  </si>
  <si>
    <t>MKT1137</t>
  </si>
  <si>
    <t>MKT1138</t>
  </si>
  <si>
    <t>MKT1139</t>
  </si>
  <si>
    <t>C306</t>
  </si>
  <si>
    <t>MKT1140</t>
  </si>
  <si>
    <t>MKT1141</t>
  </si>
  <si>
    <t>MKT1142</t>
  </si>
  <si>
    <t>C292</t>
  </si>
  <si>
    <t>MKT1143</t>
  </si>
  <si>
    <t>MKT1144</t>
  </si>
  <si>
    <t>MKT1145</t>
  </si>
  <si>
    <t>MKT1146</t>
  </si>
  <si>
    <t>C276</t>
  </si>
  <si>
    <t>MKT1147</t>
  </si>
  <si>
    <t>C284</t>
  </si>
  <si>
    <t>MKT1148</t>
  </si>
  <si>
    <t>C336</t>
  </si>
  <si>
    <t>MKT1149</t>
  </si>
  <si>
    <t>MKT1150</t>
  </si>
  <si>
    <t>C344</t>
  </si>
  <si>
    <t>MKT1151</t>
  </si>
  <si>
    <t>MKT1152</t>
  </si>
  <si>
    <t>C208</t>
  </si>
  <si>
    <t>MKT1153</t>
  </si>
  <si>
    <t>MKT1154</t>
  </si>
  <si>
    <t>C258</t>
  </si>
  <si>
    <t>MKT1155</t>
  </si>
  <si>
    <t>MKT1156</t>
  </si>
  <si>
    <t>C240</t>
  </si>
  <si>
    <t>MKT1157</t>
  </si>
  <si>
    <t>C309</t>
  </si>
  <si>
    <t>MKT1158</t>
  </si>
  <si>
    <t>C238</t>
  </si>
  <si>
    <t>MKT1159</t>
  </si>
  <si>
    <t>MKT1160</t>
  </si>
  <si>
    <t>C301</t>
  </si>
  <si>
    <t>MKT1161</t>
  </si>
  <si>
    <t>MKT1162</t>
  </si>
  <si>
    <t>MKT1163</t>
  </si>
  <si>
    <t>MKT1164</t>
  </si>
  <si>
    <t>MKT1165</t>
  </si>
  <si>
    <t>MKT1166</t>
  </si>
  <si>
    <t>MKT1167</t>
  </si>
  <si>
    <t>MKT1168</t>
  </si>
  <si>
    <t>MKT1169</t>
  </si>
  <si>
    <t>C245</t>
  </si>
  <si>
    <t>MKT1170</t>
  </si>
  <si>
    <t>MKT1171</t>
  </si>
  <si>
    <t>C289</t>
  </si>
  <si>
    <t>MKT1172</t>
  </si>
  <si>
    <t>C396</t>
  </si>
  <si>
    <t>MKT1173</t>
  </si>
  <si>
    <t>C315</t>
  </si>
  <si>
    <t>MKT1174</t>
  </si>
  <si>
    <t>MKT1175</t>
  </si>
  <si>
    <t>MKT1176</t>
  </si>
  <si>
    <t>MKT1177</t>
  </si>
  <si>
    <t>C225</t>
  </si>
  <si>
    <t>MKT1178</t>
  </si>
  <si>
    <t>MKT1179</t>
  </si>
  <si>
    <t>C331</t>
  </si>
  <si>
    <t>MKT1180</t>
  </si>
  <si>
    <t>C329</t>
  </si>
  <si>
    <t>MKT1181</t>
  </si>
  <si>
    <t>MKT1182</t>
  </si>
  <si>
    <t>C275</t>
  </si>
  <si>
    <t>MKT1183</t>
  </si>
  <si>
    <t>C219</t>
  </si>
  <si>
    <t>MKT1184</t>
  </si>
  <si>
    <t>C332</t>
  </si>
  <si>
    <t>MKT1185</t>
  </si>
  <si>
    <t>C296</t>
  </si>
  <si>
    <t>MKT1186</t>
  </si>
  <si>
    <t>MKT1187</t>
  </si>
  <si>
    <t>MKT1188</t>
  </si>
  <si>
    <t>MKT1189</t>
  </si>
  <si>
    <t>C203</t>
  </si>
  <si>
    <t>MKT1190</t>
  </si>
  <si>
    <t>MKT1191</t>
  </si>
  <si>
    <t>MKT1192</t>
  </si>
  <si>
    <t>C221</t>
  </si>
  <si>
    <t>MKT1193</t>
  </si>
  <si>
    <t>MKT1194</t>
  </si>
  <si>
    <t>MKT1195</t>
  </si>
  <si>
    <t>C273</t>
  </si>
  <si>
    <t>MKT1196</t>
  </si>
  <si>
    <t>MKT1197</t>
  </si>
  <si>
    <t>C337</t>
  </si>
  <si>
    <t>MKT1198</t>
  </si>
  <si>
    <t>MKT1199</t>
  </si>
  <si>
    <t>MKT1200</t>
  </si>
  <si>
    <t>MKT1201</t>
  </si>
  <si>
    <t>C307</t>
  </si>
  <si>
    <t>MKT1202</t>
  </si>
  <si>
    <t>C235</t>
  </si>
  <si>
    <t>MKT1203</t>
  </si>
  <si>
    <t>MKT1204</t>
  </si>
  <si>
    <t>MKT1205</t>
  </si>
  <si>
    <t>MKT1206</t>
  </si>
  <si>
    <t>C220</t>
  </si>
  <si>
    <t>MKT1207</t>
  </si>
  <si>
    <t>MKT1208</t>
  </si>
  <si>
    <t>C268</t>
  </si>
  <si>
    <t>MKT1209</t>
  </si>
  <si>
    <t>MKT1210</t>
  </si>
  <si>
    <t>MKT1211</t>
  </si>
  <si>
    <t>MKT1212</t>
  </si>
  <si>
    <t>MKT1213</t>
  </si>
  <si>
    <t>MKT1214</t>
  </si>
  <si>
    <t>MKT1215</t>
  </si>
  <si>
    <t>MKT1216</t>
  </si>
  <si>
    <t>C326</t>
  </si>
  <si>
    <t>MKT1217</t>
  </si>
  <si>
    <t>MKT1218</t>
  </si>
  <si>
    <t>MKT1219</t>
  </si>
  <si>
    <t>MKT1220</t>
  </si>
  <si>
    <t>MKT1221</t>
  </si>
  <si>
    <t>C237</t>
  </si>
  <si>
    <t>MKT1222</t>
  </si>
  <si>
    <t>C256</t>
  </si>
  <si>
    <t>MKT1223</t>
  </si>
  <si>
    <t>MKT1224</t>
  </si>
  <si>
    <t>MKT1225</t>
  </si>
  <si>
    <t>MKT1226</t>
  </si>
  <si>
    <t>C390</t>
  </si>
  <si>
    <t>MKT1227</t>
  </si>
  <si>
    <t>C323</t>
  </si>
  <si>
    <t>MKT1228</t>
  </si>
  <si>
    <t>C285</t>
  </si>
  <si>
    <t>MKT1229</t>
  </si>
  <si>
    <t>MKT1230</t>
  </si>
  <si>
    <t>MKT1231</t>
  </si>
  <si>
    <t>MKT1232</t>
  </si>
  <si>
    <t>MKT1233</t>
  </si>
  <si>
    <t>MKT1234</t>
  </si>
  <si>
    <t>MKT1235</t>
  </si>
  <si>
    <t>MKT1236</t>
  </si>
  <si>
    <t>C388</t>
  </si>
  <si>
    <t>MKT1237</t>
  </si>
  <si>
    <t>C394</t>
  </si>
  <si>
    <t>MKT1238</t>
  </si>
  <si>
    <t>MKT1239</t>
  </si>
  <si>
    <t>C389</t>
  </si>
  <si>
    <t>MKT1240</t>
  </si>
  <si>
    <t>MKT1241</t>
  </si>
  <si>
    <t>MKT1242</t>
  </si>
  <si>
    <t>MKT1243</t>
  </si>
  <si>
    <t>C229</t>
  </si>
  <si>
    <t>MKT1244</t>
  </si>
  <si>
    <t>MKT1245</t>
  </si>
  <si>
    <t>MKT1246</t>
  </si>
  <si>
    <t>C318</t>
  </si>
  <si>
    <t>MKT1247</t>
  </si>
  <si>
    <t>MKT1248</t>
  </si>
  <si>
    <t>MKT1249</t>
  </si>
  <si>
    <t>MKT1250</t>
  </si>
  <si>
    <t>C261</t>
  </si>
  <si>
    <t>MKT1251</t>
  </si>
  <si>
    <t>MKT1252</t>
  </si>
  <si>
    <t>MKT1253</t>
  </si>
  <si>
    <t>MKT1254</t>
  </si>
  <si>
    <t>C251</t>
  </si>
  <si>
    <t>MKT1255</t>
  </si>
  <si>
    <t>MKT1256</t>
  </si>
  <si>
    <t>MKT1257</t>
  </si>
  <si>
    <t>MKT1258</t>
  </si>
  <si>
    <t>MKT1259</t>
  </si>
  <si>
    <t>MKT1260</t>
  </si>
  <si>
    <t>MKT1261</t>
  </si>
  <si>
    <t>MKT1262</t>
  </si>
  <si>
    <t>MKT1263</t>
  </si>
  <si>
    <t>MKT1264</t>
  </si>
  <si>
    <t>MKT1265</t>
  </si>
  <si>
    <t>MKT1266</t>
  </si>
  <si>
    <t>MKT1267</t>
  </si>
  <si>
    <t>C322</t>
  </si>
  <si>
    <t>MKT1268</t>
  </si>
  <si>
    <t>MKT1269</t>
  </si>
  <si>
    <t>C380</t>
  </si>
  <si>
    <t>MKT1270</t>
  </si>
  <si>
    <t>MKT1271</t>
  </si>
  <si>
    <t>MKT1272</t>
  </si>
  <si>
    <t>MKT1273</t>
  </si>
  <si>
    <t>MKT1274</t>
  </si>
  <si>
    <t>C397</t>
  </si>
  <si>
    <t>MKT1275</t>
  </si>
  <si>
    <t>MKT1276</t>
  </si>
  <si>
    <t>MKT1277</t>
  </si>
  <si>
    <t>MKT1278</t>
  </si>
  <si>
    <t>C347</t>
  </si>
  <si>
    <t>MKT1279</t>
  </si>
  <si>
    <t>MKT1280</t>
  </si>
  <si>
    <t>MKT1281</t>
  </si>
  <si>
    <t>MKT1282</t>
  </si>
  <si>
    <t>C270</t>
  </si>
  <si>
    <t>MKT1283</t>
  </si>
  <si>
    <t>MKT1284</t>
  </si>
  <si>
    <t>MKT1285</t>
  </si>
  <si>
    <t>MKT1286</t>
  </si>
  <si>
    <t>MKT1287</t>
  </si>
  <si>
    <t>C302</t>
  </si>
  <si>
    <t>MKT1288</t>
  </si>
  <si>
    <t>C399</t>
  </si>
  <si>
    <t>MKT1289</t>
  </si>
  <si>
    <t>C358</t>
  </si>
  <si>
    <t>MKT1290</t>
  </si>
  <si>
    <t>C281</t>
  </si>
  <si>
    <t>MKT1291</t>
  </si>
  <si>
    <t>MKT1292</t>
  </si>
  <si>
    <t>MKT1293</t>
  </si>
  <si>
    <t>C325</t>
  </si>
  <si>
    <t>MKT1294</t>
  </si>
  <si>
    <t>MKT1295</t>
  </si>
  <si>
    <t>MKT1296</t>
  </si>
  <si>
    <t>MKT1297</t>
  </si>
  <si>
    <t>MKT1298</t>
  </si>
  <si>
    <t>C201</t>
  </si>
  <si>
    <t>MKT1299</t>
  </si>
  <si>
    <t>MKT1300</t>
  </si>
  <si>
    <t>MKT1301</t>
  </si>
  <si>
    <t>MKT1302</t>
  </si>
  <si>
    <t>MKT1303</t>
  </si>
  <si>
    <t>MKT1304</t>
  </si>
  <si>
    <t>MKT1305</t>
  </si>
  <si>
    <t>MKT1306</t>
  </si>
  <si>
    <t>C223</t>
  </si>
  <si>
    <t>MKT1307</t>
  </si>
  <si>
    <t>C372</t>
  </si>
  <si>
    <t>MKT1308</t>
  </si>
  <si>
    <t>MKT1309</t>
  </si>
  <si>
    <t>MKT1310</t>
  </si>
  <si>
    <t>MKT1311</t>
  </si>
  <si>
    <t>MKT1312</t>
  </si>
  <si>
    <t>MKT1313</t>
  </si>
  <si>
    <t>MKT1314</t>
  </si>
  <si>
    <t>MKT1315</t>
  </si>
  <si>
    <t>C386</t>
  </si>
  <si>
    <t>MKT1316</t>
  </si>
  <si>
    <t>C294</t>
  </si>
  <si>
    <t>MKT1317</t>
  </si>
  <si>
    <t>MKT1318</t>
  </si>
  <si>
    <t>MKT1319</t>
  </si>
  <si>
    <t>MKT1320</t>
  </si>
  <si>
    <t>C254</t>
  </si>
  <si>
    <t>MKT1321</t>
  </si>
  <si>
    <t>MKT1322</t>
  </si>
  <si>
    <t>MKT1323</t>
  </si>
  <si>
    <t>MKT1324</t>
  </si>
  <si>
    <t>MKT1325</t>
  </si>
  <si>
    <t>MKT1326</t>
  </si>
  <si>
    <t>MKT1327</t>
  </si>
  <si>
    <t>MKT1328</t>
  </si>
  <si>
    <t>MKT1329</t>
  </si>
  <si>
    <t>MKT1330</t>
  </si>
  <si>
    <t>MKT1331</t>
  </si>
  <si>
    <t>MKT1332</t>
  </si>
  <si>
    <t>MKT1333</t>
  </si>
  <si>
    <t>C291</t>
  </si>
  <si>
    <t>MKT1334</t>
  </si>
  <si>
    <t>MKT1335</t>
  </si>
  <si>
    <t>C212</t>
  </si>
  <si>
    <t>MKT1336</t>
  </si>
  <si>
    <t>MKT1337</t>
  </si>
  <si>
    <t>MKT1338</t>
  </si>
  <si>
    <t>MKT1339</t>
  </si>
  <si>
    <t>MKT1340</t>
  </si>
  <si>
    <t>MKT1341</t>
  </si>
  <si>
    <t>MKT1342</t>
  </si>
  <si>
    <t>MKT1343</t>
  </si>
  <si>
    <t>MKT1344</t>
  </si>
  <si>
    <t>MKT1345</t>
  </si>
  <si>
    <t>MKT1346</t>
  </si>
  <si>
    <t>MKT1347</t>
  </si>
  <si>
    <t>C398</t>
  </si>
  <si>
    <t>MKT1348</t>
  </si>
  <si>
    <t>MKT1349</t>
  </si>
  <si>
    <t>C222</t>
  </si>
  <si>
    <t>MKT1350</t>
  </si>
  <si>
    <t>MKT1351</t>
  </si>
  <si>
    <t>C213</t>
  </si>
  <si>
    <t>MKT1352</t>
  </si>
  <si>
    <t>MKT1353</t>
  </si>
  <si>
    <t>MKT1354</t>
  </si>
  <si>
    <t>MKT1355</t>
  </si>
  <si>
    <t>MKT1356</t>
  </si>
  <si>
    <t>C316</t>
  </si>
  <si>
    <t>MKT1357</t>
  </si>
  <si>
    <t>MKT1358</t>
  </si>
  <si>
    <t>MKT1359</t>
  </si>
  <si>
    <t>MKT1360</t>
  </si>
  <si>
    <t>MKT1361</t>
  </si>
  <si>
    <t>MKT1362</t>
  </si>
  <si>
    <t>MKT1363</t>
  </si>
  <si>
    <t>MKT1364</t>
  </si>
  <si>
    <t>MKT1365</t>
  </si>
  <si>
    <t>MKT1366</t>
  </si>
  <si>
    <t>MKT1367</t>
  </si>
  <si>
    <t>MKT1368</t>
  </si>
  <si>
    <t>MKT1369</t>
  </si>
  <si>
    <t>MKT1370</t>
  </si>
  <si>
    <t>C393</t>
  </si>
  <si>
    <t>MKT1371</t>
  </si>
  <si>
    <t>MKT1372</t>
  </si>
  <si>
    <t>C295</t>
  </si>
  <si>
    <t>MKT1373</t>
  </si>
  <si>
    <t>MKT1374</t>
  </si>
  <si>
    <t>MKT1375</t>
  </si>
  <si>
    <t>MKT1376</t>
  </si>
  <si>
    <t>MKT1377</t>
  </si>
  <si>
    <t>MKT1378</t>
  </si>
  <si>
    <t>MKT1379</t>
  </si>
  <si>
    <t>MKT1380</t>
  </si>
  <si>
    <t>C352</t>
  </si>
  <si>
    <t>MKT1381</t>
  </si>
  <si>
    <t>MKT1382</t>
  </si>
  <si>
    <t>C353</t>
  </si>
  <si>
    <t>MKT1383</t>
  </si>
  <si>
    <t>C260</t>
  </si>
  <si>
    <t>MKT1384</t>
  </si>
  <si>
    <t>MKT1385</t>
  </si>
  <si>
    <t>MKT1386</t>
  </si>
  <si>
    <t>MKT1387</t>
  </si>
  <si>
    <t>C312</t>
  </si>
  <si>
    <t>MKT1388</t>
  </si>
  <si>
    <t>MKT1389</t>
  </si>
  <si>
    <t>MKT1390</t>
  </si>
  <si>
    <t>MKT1391</t>
  </si>
  <si>
    <t>MKT1392</t>
  </si>
  <si>
    <t>C374</t>
  </si>
  <si>
    <t>MKT1393</t>
  </si>
  <si>
    <t>MKT1394</t>
  </si>
  <si>
    <t>C249</t>
  </si>
  <si>
    <t>MKT1395</t>
  </si>
  <si>
    <t>MKT1396</t>
  </si>
  <si>
    <t>MKT1397</t>
  </si>
  <si>
    <t>MKT1398</t>
  </si>
  <si>
    <t>MKT1399</t>
  </si>
  <si>
    <t>MKT1400</t>
  </si>
  <si>
    <t>MKT1401</t>
  </si>
  <si>
    <t>MKT1402</t>
  </si>
  <si>
    <t>MKT1403</t>
  </si>
  <si>
    <t>MKT1404</t>
  </si>
  <si>
    <t>MKT1405</t>
  </si>
  <si>
    <t>MKT1406</t>
  </si>
  <si>
    <t>MKT1407</t>
  </si>
  <si>
    <t>MKT1408</t>
  </si>
  <si>
    <t>MKT1409</t>
  </si>
  <si>
    <t>MKT1410</t>
  </si>
  <si>
    <t>MKT1411</t>
  </si>
  <si>
    <t>MKT1412</t>
  </si>
  <si>
    <t>MKT1413</t>
  </si>
  <si>
    <t>MKT1414</t>
  </si>
  <si>
    <t>C395</t>
  </si>
  <si>
    <t>MKT1415</t>
  </si>
  <si>
    <t>MKT1416</t>
  </si>
  <si>
    <t>MKT1417</t>
  </si>
  <si>
    <t>C317</t>
  </si>
  <si>
    <t>MKT1418</t>
  </si>
  <si>
    <t>C200</t>
  </si>
  <si>
    <t>MKT1419</t>
  </si>
  <si>
    <t>MKT1420</t>
  </si>
  <si>
    <t>MKT1421</t>
  </si>
  <si>
    <t>MKT1422</t>
  </si>
  <si>
    <t>MKT1423</t>
  </si>
  <si>
    <t>MKT1424</t>
  </si>
  <si>
    <t>MKT1425</t>
  </si>
  <si>
    <t>MKT1426</t>
  </si>
  <si>
    <t>MKT1427</t>
  </si>
  <si>
    <t>MKT1428</t>
  </si>
  <si>
    <t>MKT1429</t>
  </si>
  <si>
    <t>MKT1430</t>
  </si>
  <si>
    <t>C230</t>
  </si>
  <si>
    <t>MKT1431</t>
  </si>
  <si>
    <t>MKT1432</t>
  </si>
  <si>
    <t>MKT1433</t>
  </si>
  <si>
    <t>C384</t>
  </si>
  <si>
    <t>MKT1434</t>
  </si>
  <si>
    <t>MKT1435</t>
  </si>
  <si>
    <t>MKT1436</t>
  </si>
  <si>
    <t>MKT1437</t>
  </si>
  <si>
    <t>MKT1438</t>
  </si>
  <si>
    <t>MKT1439</t>
  </si>
  <si>
    <t>MKT1440</t>
  </si>
  <si>
    <t>MKT1441</t>
  </si>
  <si>
    <t>MKT1442</t>
  </si>
  <si>
    <t>MKT1443</t>
  </si>
  <si>
    <t>MKT1444</t>
  </si>
  <si>
    <t>C320</t>
  </si>
  <si>
    <t>MKT1445</t>
  </si>
  <si>
    <t>MKT1446</t>
  </si>
  <si>
    <t>MKT1447</t>
  </si>
  <si>
    <t>C253</t>
  </si>
  <si>
    <t>MKT1448</t>
  </si>
  <si>
    <t>C333</t>
  </si>
  <si>
    <t>MKT1449</t>
  </si>
  <si>
    <t>MKT1450</t>
  </si>
  <si>
    <t>C272</t>
  </si>
  <si>
    <t>MKT1451</t>
  </si>
  <si>
    <t>MKT1452</t>
  </si>
  <si>
    <t>MKT1453</t>
  </si>
  <si>
    <t>MKT1454</t>
  </si>
  <si>
    <t>MKT1455</t>
  </si>
  <si>
    <t>C354</t>
  </si>
  <si>
    <t>MKT1456</t>
  </si>
  <si>
    <t>C335</t>
  </si>
  <si>
    <t>MKT1457</t>
  </si>
  <si>
    <t>MKT1458</t>
  </si>
  <si>
    <t>MKT1459</t>
  </si>
  <si>
    <t>MKT1460</t>
  </si>
  <si>
    <t>MKT1461</t>
  </si>
  <si>
    <t>MKT1462</t>
  </si>
  <si>
    <t>MKT1463</t>
  </si>
  <si>
    <t>MKT1464</t>
  </si>
  <si>
    <t>MKT1465</t>
  </si>
  <si>
    <t>MKT1466</t>
  </si>
  <si>
    <t>MKT1467</t>
  </si>
  <si>
    <t>MKT1468</t>
  </si>
  <si>
    <t>MKT1469</t>
  </si>
  <si>
    <t>MKT1470</t>
  </si>
  <si>
    <t>MKT1471</t>
  </si>
  <si>
    <t>MKT1472</t>
  </si>
  <si>
    <t>C379</t>
  </si>
  <si>
    <t>MKT1473</t>
  </si>
  <si>
    <t>MKT1474</t>
  </si>
  <si>
    <t>MKT1475</t>
  </si>
  <si>
    <t>MKT1476</t>
  </si>
  <si>
    <t>MKT1477</t>
  </si>
  <si>
    <t>MKT1478</t>
  </si>
  <si>
    <t>MKT1479</t>
  </si>
  <si>
    <t>MKT1480</t>
  </si>
  <si>
    <t>MKT1481</t>
  </si>
  <si>
    <t>MKT1482</t>
  </si>
  <si>
    <t>MKT1483</t>
  </si>
  <si>
    <t>MKT1484</t>
  </si>
  <si>
    <t>MKT1485</t>
  </si>
  <si>
    <t>MKT1486</t>
  </si>
  <si>
    <t>MKT1487</t>
  </si>
  <si>
    <t>MKT1488</t>
  </si>
  <si>
    <t>MKT1489</t>
  </si>
  <si>
    <t>C369</t>
  </si>
  <si>
    <t>MKT1490</t>
  </si>
  <si>
    <t>MKT1491</t>
  </si>
  <si>
    <t>MKT1492</t>
  </si>
  <si>
    <t>MKT1493</t>
  </si>
  <si>
    <t>MKT1494</t>
  </si>
  <si>
    <t>MKT1495</t>
  </si>
  <si>
    <t>MKT1496</t>
  </si>
  <si>
    <t>C308</t>
  </si>
  <si>
    <t>MKT1497</t>
  </si>
  <si>
    <t>MKT1498</t>
  </si>
  <si>
    <t>MKT1499</t>
  </si>
  <si>
    <t>Averages</t>
  </si>
  <si>
    <t>Values</t>
  </si>
  <si>
    <t>Customer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</si>
</sst>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keting_campaign_dataset_500_row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ing_campaign_dataset_500_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S1" workbookViewId="0">
      <selection activeCell="U379" sqref="U379"/>
    </sheetView>
  </sheetViews>
  <sheetFormatPr defaultColWidth="14.453125" defaultRowHeight="15" customHeight="1" x14ac:dyDescent="0.35"/>
  <cols>
    <col min="1" max="26" width="15.54296875" customWidth="1"/>
  </cols>
  <sheetData>
    <row r="1" spans="1:2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S1" s="2" t="s">
        <v>16</v>
      </c>
      <c r="U1" s="2" t="s">
        <v>17</v>
      </c>
    </row>
    <row r="2" spans="1:21" ht="14.25" customHeight="1" x14ac:dyDescent="0.35">
      <c r="A2" s="1" t="s">
        <v>18</v>
      </c>
      <c r="B2" s="3">
        <v>45467</v>
      </c>
      <c r="C2" s="1" t="s">
        <v>19</v>
      </c>
      <c r="D2" s="1">
        <v>27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1779.52</v>
      </c>
      <c r="J2" s="1">
        <v>35715</v>
      </c>
      <c r="K2" s="1">
        <v>3140</v>
      </c>
      <c r="L2" s="1">
        <v>274</v>
      </c>
      <c r="M2" s="1">
        <v>2</v>
      </c>
      <c r="N2" s="1">
        <v>8.7918241639999994</v>
      </c>
      <c r="O2" s="1">
        <v>8.7261146499999995</v>
      </c>
      <c r="P2" s="1">
        <f t="shared" ref="P2:P501" si="0">IF(ISBLANK(M2), $S$2, M2)</f>
        <v>2</v>
      </c>
      <c r="S2" s="1">
        <f>ROUND(AVERAGE(M:M),0)</f>
        <v>3</v>
      </c>
      <c r="U2" s="1">
        <f t="shared" ref="U2:U3" si="1">COUNTIF(N2:N1000, N2&gt;100)</f>
        <v>0</v>
      </c>
    </row>
    <row r="3" spans="1:21" ht="14.25" customHeight="1" x14ac:dyDescent="0.35">
      <c r="A3" s="1" t="s">
        <v>24</v>
      </c>
      <c r="B3" s="3">
        <v>45488</v>
      </c>
      <c r="C3" s="1" t="s">
        <v>25</v>
      </c>
      <c r="D3" s="1">
        <v>24</v>
      </c>
      <c r="E3" s="1" t="s">
        <v>26</v>
      </c>
      <c r="F3" s="1" t="s">
        <v>27</v>
      </c>
      <c r="G3" s="1" t="s">
        <v>28</v>
      </c>
      <c r="H3" s="1" t="s">
        <v>29</v>
      </c>
      <c r="I3" s="1">
        <v>464.78</v>
      </c>
      <c r="J3" s="1">
        <v>13758</v>
      </c>
      <c r="K3" s="1">
        <v>3324</v>
      </c>
      <c r="L3" s="1">
        <v>5</v>
      </c>
      <c r="M3" s="1">
        <v>3</v>
      </c>
      <c r="N3" s="1">
        <v>24.160488440000002</v>
      </c>
      <c r="O3" s="1">
        <v>0.15042117899999999</v>
      </c>
      <c r="P3" s="1">
        <f t="shared" si="0"/>
        <v>3</v>
      </c>
      <c r="U3" s="1">
        <f t="shared" si="1"/>
        <v>0</v>
      </c>
    </row>
    <row r="4" spans="1:21" ht="14.25" customHeight="1" x14ac:dyDescent="0.35">
      <c r="A4" s="1" t="s">
        <v>30</v>
      </c>
      <c r="B4" s="3">
        <v>45317</v>
      </c>
      <c r="C4" s="1" t="s">
        <v>31</v>
      </c>
      <c r="D4" s="1">
        <v>35</v>
      </c>
      <c r="E4" s="1" t="s">
        <v>32</v>
      </c>
      <c r="F4" s="1" t="s">
        <v>21</v>
      </c>
      <c r="G4" s="1" t="s">
        <v>22</v>
      </c>
      <c r="H4" s="1" t="s">
        <v>33</v>
      </c>
      <c r="I4" s="1">
        <v>561.14</v>
      </c>
      <c r="J4" s="1">
        <v>48381</v>
      </c>
      <c r="K4" s="1">
        <v>321</v>
      </c>
      <c r="L4" s="1">
        <v>163</v>
      </c>
      <c r="N4" s="1">
        <v>0.66348359899999998</v>
      </c>
      <c r="O4" s="1">
        <v>50.778816200000001</v>
      </c>
      <c r="P4" s="1">
        <f t="shared" si="0"/>
        <v>3</v>
      </c>
    </row>
    <row r="5" spans="1:21" ht="14.25" customHeight="1" x14ac:dyDescent="0.35">
      <c r="A5" s="1" t="s">
        <v>34</v>
      </c>
      <c r="B5" s="3">
        <v>45359</v>
      </c>
      <c r="C5" s="1" t="s">
        <v>35</v>
      </c>
      <c r="D5" s="1">
        <v>20</v>
      </c>
      <c r="E5" s="1" t="s">
        <v>20</v>
      </c>
      <c r="F5" s="1" t="s">
        <v>27</v>
      </c>
      <c r="G5" s="1" t="s">
        <v>22</v>
      </c>
      <c r="H5" s="1" t="s">
        <v>29</v>
      </c>
      <c r="I5" s="1">
        <v>297.57</v>
      </c>
      <c r="J5" s="1">
        <v>15697</v>
      </c>
      <c r="K5" s="1">
        <v>3375</v>
      </c>
      <c r="L5" s="1">
        <v>280</v>
      </c>
      <c r="M5" s="1">
        <v>5</v>
      </c>
      <c r="N5" s="1">
        <v>21.500923740000001</v>
      </c>
      <c r="O5" s="1">
        <v>8.2962962959999995</v>
      </c>
      <c r="P5" s="1">
        <f t="shared" si="0"/>
        <v>5</v>
      </c>
      <c r="U5" s="1">
        <f t="shared" ref="U5:U14" si="2">COUNTIF(N5:N1000, N5&gt;100)</f>
        <v>0</v>
      </c>
    </row>
    <row r="6" spans="1:21" ht="14.25" customHeight="1" x14ac:dyDescent="0.35">
      <c r="A6" s="1" t="s">
        <v>36</v>
      </c>
      <c r="B6" s="3">
        <v>45503</v>
      </c>
      <c r="C6" s="1" t="s">
        <v>37</v>
      </c>
      <c r="D6" s="1">
        <v>32</v>
      </c>
      <c r="E6" s="1" t="s">
        <v>26</v>
      </c>
      <c r="F6" s="1" t="s">
        <v>38</v>
      </c>
      <c r="G6" s="1" t="s">
        <v>39</v>
      </c>
      <c r="H6" s="1" t="s">
        <v>33</v>
      </c>
      <c r="I6" s="1">
        <v>1074.8599999999999</v>
      </c>
      <c r="J6" s="1">
        <v>2245</v>
      </c>
      <c r="K6" s="1">
        <v>4858</v>
      </c>
      <c r="L6" s="1">
        <v>373</v>
      </c>
      <c r="M6" s="1">
        <v>2</v>
      </c>
      <c r="N6" s="1">
        <v>216.3919822</v>
      </c>
      <c r="O6" s="1">
        <v>7.6780568139999996</v>
      </c>
      <c r="P6" s="1">
        <f t="shared" si="0"/>
        <v>2</v>
      </c>
      <c r="U6" s="1">
        <f t="shared" si="2"/>
        <v>0</v>
      </c>
    </row>
    <row r="7" spans="1:21" ht="14.25" customHeight="1" x14ac:dyDescent="0.35">
      <c r="A7" s="1" t="s">
        <v>40</v>
      </c>
      <c r="B7" s="3">
        <v>45395</v>
      </c>
      <c r="C7" s="1" t="s">
        <v>41</v>
      </c>
      <c r="D7" s="1">
        <v>64</v>
      </c>
      <c r="E7" s="1" t="s">
        <v>32</v>
      </c>
      <c r="F7" s="1" t="s">
        <v>42</v>
      </c>
      <c r="G7" s="1" t="s">
        <v>43</v>
      </c>
      <c r="H7" s="1" t="s">
        <v>29</v>
      </c>
      <c r="I7" s="1">
        <v>665.19</v>
      </c>
      <c r="J7" s="1">
        <v>10209</v>
      </c>
      <c r="K7" s="1">
        <v>2859</v>
      </c>
      <c r="L7" s="1">
        <v>149</v>
      </c>
      <c r="M7" s="1">
        <v>5</v>
      </c>
      <c r="N7" s="1">
        <v>28.004701730000001</v>
      </c>
      <c r="O7" s="1">
        <v>5.2116124519999998</v>
      </c>
      <c r="P7" s="1">
        <f t="shared" si="0"/>
        <v>5</v>
      </c>
      <c r="U7" s="1">
        <f t="shared" si="2"/>
        <v>0</v>
      </c>
    </row>
    <row r="8" spans="1:21" ht="14.25" customHeight="1" x14ac:dyDescent="0.35">
      <c r="A8" s="1" t="s">
        <v>44</v>
      </c>
      <c r="B8" s="3">
        <v>45640</v>
      </c>
      <c r="C8" s="1" t="s">
        <v>45</v>
      </c>
      <c r="D8" s="1">
        <v>20</v>
      </c>
      <c r="E8" s="1" t="s">
        <v>32</v>
      </c>
      <c r="F8" s="1" t="s">
        <v>38</v>
      </c>
      <c r="G8" s="1" t="s">
        <v>43</v>
      </c>
      <c r="H8" s="1" t="s">
        <v>33</v>
      </c>
      <c r="I8" s="1">
        <v>514.58000000000004</v>
      </c>
      <c r="J8" s="1">
        <v>11892</v>
      </c>
      <c r="K8" s="1">
        <v>367</v>
      </c>
      <c r="L8" s="1">
        <v>293</v>
      </c>
      <c r="M8" s="1">
        <v>4</v>
      </c>
      <c r="N8" s="1">
        <v>3.086108308</v>
      </c>
      <c r="O8" s="1">
        <v>79.836512260000006</v>
      </c>
      <c r="P8" s="1">
        <f t="shared" si="0"/>
        <v>4</v>
      </c>
      <c r="U8" s="1">
        <f t="shared" si="2"/>
        <v>0</v>
      </c>
    </row>
    <row r="9" spans="1:21" ht="14.25" customHeight="1" x14ac:dyDescent="0.35">
      <c r="A9" s="1" t="s">
        <v>46</v>
      </c>
      <c r="B9" s="3">
        <v>45477</v>
      </c>
      <c r="C9" s="1" t="s">
        <v>45</v>
      </c>
      <c r="D9" s="1">
        <v>49</v>
      </c>
      <c r="E9" s="1" t="s">
        <v>32</v>
      </c>
      <c r="F9" s="1" t="s">
        <v>47</v>
      </c>
      <c r="G9" s="1" t="s">
        <v>39</v>
      </c>
      <c r="H9" s="1" t="s">
        <v>33</v>
      </c>
      <c r="I9" s="1">
        <v>187.7</v>
      </c>
      <c r="J9" s="1">
        <v>34575</v>
      </c>
      <c r="K9" s="1">
        <v>4519</v>
      </c>
      <c r="L9" s="1">
        <v>6</v>
      </c>
      <c r="M9" s="1">
        <v>3</v>
      </c>
      <c r="N9" s="1">
        <v>13.07013738</v>
      </c>
      <c r="O9" s="1">
        <v>0.132772737</v>
      </c>
      <c r="P9" s="1">
        <f t="shared" si="0"/>
        <v>3</v>
      </c>
      <c r="U9" s="1">
        <f t="shared" si="2"/>
        <v>0</v>
      </c>
    </row>
    <row r="10" spans="1:21" ht="14.25" customHeight="1" x14ac:dyDescent="0.35">
      <c r="A10" s="1" t="s">
        <v>48</v>
      </c>
      <c r="B10" s="3">
        <v>45315</v>
      </c>
      <c r="C10" s="1" t="s">
        <v>49</v>
      </c>
      <c r="D10" s="1">
        <v>26</v>
      </c>
      <c r="E10" s="1" t="s">
        <v>26</v>
      </c>
      <c r="F10" s="1" t="s">
        <v>47</v>
      </c>
      <c r="G10" s="1" t="s">
        <v>22</v>
      </c>
      <c r="H10" s="1" t="s">
        <v>23</v>
      </c>
      <c r="I10" s="1">
        <v>1985.97</v>
      </c>
      <c r="J10" s="1">
        <v>26045</v>
      </c>
      <c r="K10" s="1">
        <v>2084</v>
      </c>
      <c r="L10" s="1">
        <v>240</v>
      </c>
      <c r="M10" s="1">
        <v>4</v>
      </c>
      <c r="N10" s="1">
        <v>8.0015358029999994</v>
      </c>
      <c r="O10" s="1">
        <v>11.51631478</v>
      </c>
      <c r="P10" s="1">
        <f t="shared" si="0"/>
        <v>4</v>
      </c>
      <c r="U10" s="1">
        <f t="shared" si="2"/>
        <v>0</v>
      </c>
    </row>
    <row r="11" spans="1:21" ht="14.25" customHeight="1" x14ac:dyDescent="0.35">
      <c r="A11" s="1" t="s">
        <v>50</v>
      </c>
      <c r="B11" s="3">
        <v>45364</v>
      </c>
      <c r="C11" s="1" t="s">
        <v>51</v>
      </c>
      <c r="D11" s="1">
        <v>31</v>
      </c>
      <c r="E11" s="1" t="s">
        <v>32</v>
      </c>
      <c r="F11" s="1" t="s">
        <v>27</v>
      </c>
      <c r="G11" s="1" t="s">
        <v>43</v>
      </c>
      <c r="H11" s="1" t="s">
        <v>29</v>
      </c>
      <c r="I11" s="1">
        <v>1642.32</v>
      </c>
      <c r="J11" s="1">
        <v>8802</v>
      </c>
      <c r="K11" s="1">
        <v>735</v>
      </c>
      <c r="L11" s="1">
        <v>220</v>
      </c>
      <c r="M11" s="1">
        <v>5</v>
      </c>
      <c r="N11" s="1">
        <v>8.3503749149999997</v>
      </c>
      <c r="O11" s="1">
        <v>29.93197279</v>
      </c>
      <c r="P11" s="1">
        <f t="shared" si="0"/>
        <v>5</v>
      </c>
      <c r="U11" s="1">
        <f t="shared" si="2"/>
        <v>0</v>
      </c>
    </row>
    <row r="12" spans="1:21" ht="14.25" customHeight="1" x14ac:dyDescent="0.35">
      <c r="A12" s="1" t="s">
        <v>52</v>
      </c>
      <c r="B12" s="3">
        <v>45637</v>
      </c>
      <c r="C12" s="1" t="s">
        <v>53</v>
      </c>
      <c r="D12" s="1">
        <v>46</v>
      </c>
      <c r="E12" s="1" t="s">
        <v>20</v>
      </c>
      <c r="F12" s="1" t="s">
        <v>54</v>
      </c>
      <c r="G12" s="1" t="s">
        <v>39</v>
      </c>
      <c r="H12" s="1" t="s">
        <v>23</v>
      </c>
      <c r="I12" s="1">
        <v>686.5</v>
      </c>
      <c r="J12" s="1">
        <v>8134</v>
      </c>
      <c r="K12" s="1">
        <v>1108</v>
      </c>
      <c r="L12" s="1">
        <v>140</v>
      </c>
      <c r="M12" s="1">
        <v>1</v>
      </c>
      <c r="N12" s="1">
        <v>13.62183428</v>
      </c>
      <c r="O12" s="1">
        <v>12.63537906</v>
      </c>
      <c r="P12" s="1">
        <f t="shared" si="0"/>
        <v>1</v>
      </c>
      <c r="U12" s="1">
        <f t="shared" si="2"/>
        <v>0</v>
      </c>
    </row>
    <row r="13" spans="1:21" ht="14.25" customHeight="1" x14ac:dyDescent="0.35">
      <c r="A13" s="1" t="s">
        <v>55</v>
      </c>
      <c r="B13" s="3">
        <v>45334</v>
      </c>
      <c r="C13" s="1" t="s">
        <v>56</v>
      </c>
      <c r="D13" s="1">
        <v>59</v>
      </c>
      <c r="E13" s="1" t="s">
        <v>32</v>
      </c>
      <c r="F13" s="1" t="s">
        <v>47</v>
      </c>
      <c r="G13" s="1" t="s">
        <v>28</v>
      </c>
      <c r="H13" s="1" t="s">
        <v>23</v>
      </c>
      <c r="I13" s="1">
        <v>847.08</v>
      </c>
      <c r="J13" s="1">
        <v>24160</v>
      </c>
      <c r="K13" s="1">
        <v>4205</v>
      </c>
      <c r="L13" s="1">
        <v>211</v>
      </c>
      <c r="M13" s="1">
        <v>5</v>
      </c>
      <c r="N13" s="1">
        <v>17.404801320000001</v>
      </c>
      <c r="O13" s="1">
        <v>5.0178359099999996</v>
      </c>
      <c r="P13" s="1">
        <f t="shared" si="0"/>
        <v>5</v>
      </c>
      <c r="U13" s="1">
        <f t="shared" si="2"/>
        <v>0</v>
      </c>
    </row>
    <row r="14" spans="1:21" ht="14.25" customHeight="1" x14ac:dyDescent="0.35">
      <c r="A14" s="1" t="s">
        <v>57</v>
      </c>
      <c r="B14" s="3">
        <v>45510</v>
      </c>
      <c r="C14" s="1" t="s">
        <v>25</v>
      </c>
      <c r="D14" s="1">
        <v>44</v>
      </c>
      <c r="E14" s="1" t="s">
        <v>32</v>
      </c>
      <c r="F14" s="1" t="s">
        <v>27</v>
      </c>
      <c r="G14" s="1" t="s">
        <v>58</v>
      </c>
      <c r="H14" s="1" t="s">
        <v>59</v>
      </c>
      <c r="I14" s="1">
        <v>1143.3599999999999</v>
      </c>
      <c r="J14" s="1">
        <v>8173</v>
      </c>
      <c r="K14" s="1">
        <v>825</v>
      </c>
      <c r="L14" s="1">
        <v>16</v>
      </c>
      <c r="N14" s="1">
        <v>10.094212649999999</v>
      </c>
      <c r="O14" s="1">
        <v>1.9393939389999999</v>
      </c>
      <c r="P14" s="1">
        <f t="shared" si="0"/>
        <v>3</v>
      </c>
      <c r="U14" s="1">
        <f t="shared" si="2"/>
        <v>0</v>
      </c>
    </row>
    <row r="15" spans="1:21" ht="14.25" customHeight="1" x14ac:dyDescent="0.35">
      <c r="A15" s="1" t="s">
        <v>60</v>
      </c>
      <c r="B15" s="3">
        <v>45459</v>
      </c>
      <c r="C15" s="1" t="s">
        <v>61</v>
      </c>
      <c r="D15" s="1">
        <v>57</v>
      </c>
      <c r="E15" s="1" t="s">
        <v>20</v>
      </c>
      <c r="F15" s="1" t="s">
        <v>47</v>
      </c>
      <c r="G15" s="1" t="s">
        <v>22</v>
      </c>
      <c r="H15" s="1" t="s">
        <v>59</v>
      </c>
      <c r="I15" s="1">
        <v>151.38</v>
      </c>
      <c r="J15" s="1">
        <v>11942</v>
      </c>
      <c r="K15" s="1">
        <v>4640</v>
      </c>
      <c r="L15" s="1">
        <v>59</v>
      </c>
      <c r="M15" s="1">
        <v>3</v>
      </c>
      <c r="N15" s="1">
        <v>38.854463240000001</v>
      </c>
      <c r="O15" s="1">
        <v>1.271551724</v>
      </c>
      <c r="P15" s="1">
        <f t="shared" si="0"/>
        <v>3</v>
      </c>
    </row>
    <row r="16" spans="1:21" ht="14.25" customHeight="1" x14ac:dyDescent="0.35">
      <c r="A16" s="1" t="s">
        <v>62</v>
      </c>
      <c r="B16" s="3">
        <v>45360</v>
      </c>
      <c r="C16" s="1" t="s">
        <v>63</v>
      </c>
      <c r="D16" s="1">
        <v>36</v>
      </c>
      <c r="E16" s="1" t="s">
        <v>26</v>
      </c>
      <c r="F16" s="1" t="s">
        <v>21</v>
      </c>
      <c r="G16" s="1" t="s">
        <v>22</v>
      </c>
      <c r="H16" s="1" t="s">
        <v>59</v>
      </c>
      <c r="I16" s="1">
        <v>782.56</v>
      </c>
      <c r="J16" s="1">
        <v>9132</v>
      </c>
      <c r="K16" s="1">
        <v>1618</v>
      </c>
      <c r="L16" s="1">
        <v>74</v>
      </c>
      <c r="M16" s="1">
        <v>1</v>
      </c>
      <c r="N16" s="1">
        <v>17.71791502</v>
      </c>
      <c r="O16" s="1">
        <v>4.5735475900000004</v>
      </c>
      <c r="P16" s="1">
        <f t="shared" si="0"/>
        <v>1</v>
      </c>
    </row>
    <row r="17" spans="1:21" ht="14.25" customHeight="1" x14ac:dyDescent="0.35">
      <c r="A17" s="1" t="s">
        <v>64</v>
      </c>
      <c r="B17" s="3">
        <v>45292</v>
      </c>
      <c r="C17" s="1" t="s">
        <v>65</v>
      </c>
      <c r="D17" s="1">
        <v>38</v>
      </c>
      <c r="E17" s="1" t="s">
        <v>20</v>
      </c>
      <c r="F17" s="1" t="s">
        <v>42</v>
      </c>
      <c r="G17" s="1" t="s">
        <v>43</v>
      </c>
      <c r="H17" s="1" t="s">
        <v>33</v>
      </c>
      <c r="I17" s="1">
        <v>1170.73</v>
      </c>
      <c r="J17" s="1">
        <v>45111</v>
      </c>
      <c r="K17" s="1">
        <v>602</v>
      </c>
      <c r="L17" s="1">
        <v>207</v>
      </c>
      <c r="M17" s="1">
        <v>1</v>
      </c>
      <c r="N17" s="1">
        <v>1.3344860460000001</v>
      </c>
      <c r="O17" s="1">
        <v>34.385382059999998</v>
      </c>
      <c r="P17" s="1">
        <f t="shared" si="0"/>
        <v>1</v>
      </c>
    </row>
    <row r="18" spans="1:21" ht="14.25" customHeight="1" x14ac:dyDescent="0.35">
      <c r="A18" s="1" t="s">
        <v>66</v>
      </c>
      <c r="B18" s="3">
        <v>45367</v>
      </c>
      <c r="C18" s="1" t="s">
        <v>65</v>
      </c>
      <c r="D18" s="1">
        <v>41</v>
      </c>
      <c r="E18" s="1" t="s">
        <v>20</v>
      </c>
      <c r="F18" s="1" t="s">
        <v>54</v>
      </c>
      <c r="G18" s="1" t="s">
        <v>39</v>
      </c>
      <c r="H18" s="1" t="s">
        <v>33</v>
      </c>
      <c r="I18" s="1">
        <v>1924.46</v>
      </c>
      <c r="J18" s="1">
        <v>5516</v>
      </c>
      <c r="K18" s="1">
        <v>4976</v>
      </c>
      <c r="L18" s="1">
        <v>221</v>
      </c>
      <c r="M18" s="1">
        <v>5</v>
      </c>
      <c r="N18" s="1">
        <v>90.210297319999995</v>
      </c>
      <c r="O18" s="1">
        <v>4.4413183280000004</v>
      </c>
      <c r="P18" s="1">
        <f t="shared" si="0"/>
        <v>5</v>
      </c>
    </row>
    <row r="19" spans="1:21" ht="14.25" customHeight="1" x14ac:dyDescent="0.35">
      <c r="A19" s="1" t="s">
        <v>67</v>
      </c>
      <c r="B19" s="3">
        <v>45603</v>
      </c>
      <c r="C19" s="1" t="s">
        <v>68</v>
      </c>
      <c r="D19" s="1">
        <v>46</v>
      </c>
      <c r="E19" s="1" t="s">
        <v>20</v>
      </c>
      <c r="F19" s="1" t="s">
        <v>47</v>
      </c>
      <c r="G19" s="1" t="s">
        <v>58</v>
      </c>
      <c r="H19" s="1" t="s">
        <v>23</v>
      </c>
      <c r="I19" s="1">
        <v>1929.87</v>
      </c>
      <c r="J19" s="1">
        <v>9198</v>
      </c>
      <c r="K19" s="1">
        <v>497</v>
      </c>
      <c r="L19" s="1">
        <v>300</v>
      </c>
      <c r="M19" s="1">
        <v>5</v>
      </c>
      <c r="N19" s="1">
        <v>5.4033485539999999</v>
      </c>
      <c r="O19" s="1">
        <v>60.362173040000002</v>
      </c>
      <c r="P19" s="1">
        <f t="shared" si="0"/>
        <v>5</v>
      </c>
    </row>
    <row r="20" spans="1:21" ht="14.25" customHeight="1" x14ac:dyDescent="0.35">
      <c r="A20" s="1" t="s">
        <v>69</v>
      </c>
      <c r="B20" s="3">
        <v>45542</v>
      </c>
      <c r="C20" s="1" t="s">
        <v>70</v>
      </c>
      <c r="D20" s="1">
        <v>46</v>
      </c>
      <c r="E20" s="1" t="s">
        <v>26</v>
      </c>
      <c r="F20" s="1" t="s">
        <v>54</v>
      </c>
      <c r="G20" s="1" t="s">
        <v>58</v>
      </c>
      <c r="H20" s="1" t="s">
        <v>29</v>
      </c>
      <c r="I20" s="1">
        <v>1527.84</v>
      </c>
      <c r="J20" s="1">
        <v>13127</v>
      </c>
      <c r="K20" s="1">
        <v>4960</v>
      </c>
      <c r="L20" s="1">
        <v>351</v>
      </c>
      <c r="M20" s="1">
        <v>5</v>
      </c>
      <c r="N20" s="1">
        <v>37.784718519999998</v>
      </c>
      <c r="O20" s="1">
        <v>7.076612903</v>
      </c>
      <c r="P20" s="1">
        <f t="shared" si="0"/>
        <v>5</v>
      </c>
    </row>
    <row r="21" spans="1:21" ht="14.25" customHeight="1" x14ac:dyDescent="0.35">
      <c r="A21" s="1" t="s">
        <v>71</v>
      </c>
      <c r="B21" s="3">
        <v>45298</v>
      </c>
      <c r="C21" s="1" t="s">
        <v>72</v>
      </c>
      <c r="D21" s="1">
        <v>33</v>
      </c>
      <c r="E21" s="1" t="s">
        <v>26</v>
      </c>
      <c r="F21" s="1" t="s">
        <v>47</v>
      </c>
      <c r="G21" s="1" t="s">
        <v>58</v>
      </c>
      <c r="H21" s="1" t="s">
        <v>29</v>
      </c>
      <c r="I21" s="1">
        <v>149.18</v>
      </c>
      <c r="J21" s="1">
        <v>33722</v>
      </c>
      <c r="K21" s="1">
        <v>3046</v>
      </c>
      <c r="L21" s="1">
        <v>323</v>
      </c>
      <c r="M21" s="1">
        <v>4</v>
      </c>
      <c r="N21" s="1">
        <v>9.0326789630000004</v>
      </c>
      <c r="O21" s="1">
        <v>10.604070910000001</v>
      </c>
      <c r="P21" s="1">
        <f t="shared" si="0"/>
        <v>4</v>
      </c>
    </row>
    <row r="22" spans="1:21" ht="14.25" customHeight="1" x14ac:dyDescent="0.35">
      <c r="A22" s="1" t="s">
        <v>73</v>
      </c>
      <c r="B22" s="3">
        <v>45567</v>
      </c>
      <c r="C22" s="1" t="s">
        <v>74</v>
      </c>
      <c r="D22" s="1">
        <v>63</v>
      </c>
      <c r="E22" s="1" t="s">
        <v>32</v>
      </c>
      <c r="F22" s="1" t="s">
        <v>54</v>
      </c>
      <c r="G22" s="1" t="s">
        <v>43</v>
      </c>
      <c r="H22" s="1" t="s">
        <v>33</v>
      </c>
      <c r="I22" s="1">
        <v>1226.99</v>
      </c>
      <c r="J22" s="1">
        <v>5271</v>
      </c>
      <c r="K22" s="1">
        <v>717</v>
      </c>
      <c r="L22" s="1">
        <v>289</v>
      </c>
      <c r="M22" s="1">
        <v>4</v>
      </c>
      <c r="N22" s="1">
        <v>13.602731929999999</v>
      </c>
      <c r="O22" s="1">
        <v>40.306834029999997</v>
      </c>
      <c r="P22" s="1">
        <f t="shared" si="0"/>
        <v>4</v>
      </c>
    </row>
    <row r="23" spans="1:21" ht="14.25" customHeight="1" x14ac:dyDescent="0.35">
      <c r="A23" s="1" t="s">
        <v>75</v>
      </c>
      <c r="B23" s="3">
        <v>45336</v>
      </c>
      <c r="C23" s="1" t="s">
        <v>76</v>
      </c>
      <c r="D23" s="1">
        <v>51</v>
      </c>
      <c r="E23" s="1" t="s">
        <v>26</v>
      </c>
      <c r="F23" s="1" t="s">
        <v>42</v>
      </c>
      <c r="G23" s="1" t="s">
        <v>28</v>
      </c>
      <c r="H23" s="1" t="s">
        <v>29</v>
      </c>
      <c r="I23" s="1">
        <v>948.77</v>
      </c>
      <c r="J23" s="1">
        <v>11269</v>
      </c>
      <c r="K23" s="1">
        <v>1703</v>
      </c>
      <c r="L23" s="1">
        <v>321</v>
      </c>
      <c r="M23" s="1">
        <v>2</v>
      </c>
      <c r="N23" s="1">
        <v>15.11225486</v>
      </c>
      <c r="O23" s="1">
        <v>18.849089840000001</v>
      </c>
      <c r="P23" s="1">
        <f t="shared" si="0"/>
        <v>2</v>
      </c>
    </row>
    <row r="24" spans="1:21" ht="14.25" customHeight="1" x14ac:dyDescent="0.35">
      <c r="A24" s="1" t="s">
        <v>77</v>
      </c>
      <c r="B24" s="3">
        <v>45483</v>
      </c>
      <c r="C24" s="1" t="s">
        <v>78</v>
      </c>
      <c r="D24" s="1">
        <v>18</v>
      </c>
      <c r="E24" s="1" t="s">
        <v>26</v>
      </c>
      <c r="F24" s="1" t="s">
        <v>38</v>
      </c>
      <c r="G24" s="1" t="s">
        <v>58</v>
      </c>
      <c r="H24" s="1" t="s">
        <v>59</v>
      </c>
      <c r="I24" s="1">
        <v>1314.42</v>
      </c>
      <c r="J24" s="1">
        <v>46761</v>
      </c>
      <c r="K24" s="1">
        <v>3166</v>
      </c>
      <c r="L24" s="1">
        <v>267</v>
      </c>
      <c r="M24" s="1">
        <v>4</v>
      </c>
      <c r="N24" s="1">
        <v>6.7705994309999999</v>
      </c>
      <c r="O24" s="1">
        <v>8.4333543899999999</v>
      </c>
      <c r="P24" s="1">
        <f t="shared" si="0"/>
        <v>4</v>
      </c>
    </row>
    <row r="25" spans="1:21" ht="14.25" customHeight="1" x14ac:dyDescent="0.35">
      <c r="A25" s="1" t="s">
        <v>79</v>
      </c>
      <c r="B25" s="3">
        <v>45617</v>
      </c>
      <c r="C25" s="1" t="s">
        <v>80</v>
      </c>
      <c r="D25" s="1">
        <v>19</v>
      </c>
      <c r="E25" s="1" t="s">
        <v>20</v>
      </c>
      <c r="F25" s="1" t="s">
        <v>47</v>
      </c>
      <c r="G25" s="1" t="s">
        <v>28</v>
      </c>
      <c r="H25" s="1" t="s">
        <v>59</v>
      </c>
      <c r="I25" s="1">
        <v>820.68</v>
      </c>
      <c r="J25" s="1">
        <v>31180</v>
      </c>
      <c r="K25" s="1">
        <v>3849</v>
      </c>
      <c r="L25" s="1">
        <v>261</v>
      </c>
      <c r="M25" s="1">
        <v>3</v>
      </c>
      <c r="N25" s="1">
        <v>12.34445157</v>
      </c>
      <c r="O25" s="1">
        <v>6.7809820729999997</v>
      </c>
      <c r="P25" s="1">
        <f t="shared" si="0"/>
        <v>3</v>
      </c>
    </row>
    <row r="26" spans="1:21" ht="14.25" customHeight="1" x14ac:dyDescent="0.35">
      <c r="A26" s="1" t="s">
        <v>81</v>
      </c>
      <c r="B26" s="3">
        <v>45604</v>
      </c>
      <c r="C26" s="1" t="s">
        <v>82</v>
      </c>
      <c r="D26" s="1">
        <v>42</v>
      </c>
      <c r="E26" s="1" t="s">
        <v>32</v>
      </c>
      <c r="F26" s="1" t="s">
        <v>38</v>
      </c>
      <c r="G26" s="1" t="s">
        <v>39</v>
      </c>
      <c r="H26" s="1" t="s">
        <v>59</v>
      </c>
      <c r="I26" s="1">
        <v>1019.29</v>
      </c>
      <c r="J26" s="1">
        <v>11855</v>
      </c>
      <c r="K26" s="1">
        <v>482</v>
      </c>
      <c r="L26" s="1">
        <v>113</v>
      </c>
      <c r="N26" s="1">
        <v>4.0657950229999997</v>
      </c>
      <c r="O26" s="1">
        <v>23.4439834</v>
      </c>
      <c r="P26" s="1">
        <f t="shared" si="0"/>
        <v>3</v>
      </c>
    </row>
    <row r="27" spans="1:21" ht="14.25" customHeight="1" x14ac:dyDescent="0.35">
      <c r="A27" s="1" t="s">
        <v>83</v>
      </c>
      <c r="B27" s="3">
        <v>45444</v>
      </c>
      <c r="C27" s="1" t="s">
        <v>49</v>
      </c>
      <c r="D27" s="1">
        <v>57</v>
      </c>
      <c r="E27" s="1" t="s">
        <v>26</v>
      </c>
      <c r="F27" s="1" t="s">
        <v>42</v>
      </c>
      <c r="G27" s="1" t="s">
        <v>43</v>
      </c>
      <c r="H27" s="1" t="s">
        <v>33</v>
      </c>
      <c r="I27" s="1">
        <v>921.21</v>
      </c>
      <c r="J27" s="1">
        <v>33409</v>
      </c>
      <c r="K27" s="1">
        <v>3245</v>
      </c>
      <c r="L27" s="1">
        <v>6</v>
      </c>
      <c r="N27" s="1">
        <v>9.7129516000000002</v>
      </c>
      <c r="O27" s="1">
        <v>0.18489984600000001</v>
      </c>
      <c r="P27" s="1">
        <f t="shared" si="0"/>
        <v>3</v>
      </c>
    </row>
    <row r="28" spans="1:21" ht="14.25" customHeight="1" x14ac:dyDescent="0.35">
      <c r="A28" s="1" t="s">
        <v>84</v>
      </c>
      <c r="B28" s="3">
        <v>45475</v>
      </c>
      <c r="C28" s="1" t="s">
        <v>85</v>
      </c>
      <c r="D28" s="1">
        <v>54</v>
      </c>
      <c r="E28" s="1" t="s">
        <v>20</v>
      </c>
      <c r="F28" s="1" t="s">
        <v>54</v>
      </c>
      <c r="G28" s="1" t="s">
        <v>43</v>
      </c>
      <c r="H28" s="1" t="s">
        <v>33</v>
      </c>
      <c r="I28" s="1">
        <v>312.38</v>
      </c>
      <c r="J28" s="1">
        <v>5193</v>
      </c>
      <c r="K28" s="1">
        <v>2334</v>
      </c>
      <c r="L28" s="1">
        <v>253</v>
      </c>
      <c r="M28" s="1">
        <v>2</v>
      </c>
      <c r="N28" s="1">
        <v>44.945118430000001</v>
      </c>
      <c r="O28" s="1">
        <v>10.839760070000001</v>
      </c>
      <c r="P28" s="1">
        <f t="shared" si="0"/>
        <v>2</v>
      </c>
    </row>
    <row r="29" spans="1:21" ht="14.25" customHeight="1" x14ac:dyDescent="0.35">
      <c r="A29" s="1" t="s">
        <v>86</v>
      </c>
      <c r="B29" s="3">
        <v>45404</v>
      </c>
      <c r="C29" s="1" t="s">
        <v>87</v>
      </c>
      <c r="E29" s="1" t="s">
        <v>26</v>
      </c>
      <c r="G29" s="1" t="s">
        <v>28</v>
      </c>
      <c r="H29" s="1" t="s">
        <v>59</v>
      </c>
      <c r="I29" s="1">
        <v>1461.16</v>
      </c>
      <c r="J29" s="1">
        <v>29339</v>
      </c>
      <c r="K29" s="1">
        <v>2849</v>
      </c>
      <c r="L29" s="1">
        <v>67</v>
      </c>
      <c r="N29" s="1">
        <v>9.7106240840000009</v>
      </c>
      <c r="O29" s="1">
        <v>2.3517023520000002</v>
      </c>
      <c r="P29" s="1">
        <f t="shared" si="0"/>
        <v>3</v>
      </c>
    </row>
    <row r="30" spans="1:21" ht="14.25" customHeight="1" x14ac:dyDescent="0.35">
      <c r="A30" s="1" t="s">
        <v>88</v>
      </c>
      <c r="B30" s="3">
        <v>45543</v>
      </c>
      <c r="C30" s="1" t="s">
        <v>89</v>
      </c>
      <c r="D30" s="1">
        <v>40</v>
      </c>
      <c r="E30" s="1" t="s">
        <v>26</v>
      </c>
      <c r="F30" s="1" t="s">
        <v>21</v>
      </c>
      <c r="G30" s="1" t="s">
        <v>28</v>
      </c>
      <c r="H30" s="1" t="s">
        <v>59</v>
      </c>
      <c r="I30" s="1">
        <v>64.23</v>
      </c>
      <c r="J30" s="1">
        <v>14536</v>
      </c>
      <c r="K30" s="1">
        <v>2927</v>
      </c>
      <c r="L30" s="1">
        <v>375</v>
      </c>
      <c r="N30" s="1">
        <v>20.13621354</v>
      </c>
      <c r="O30" s="1">
        <v>12.811752650000001</v>
      </c>
      <c r="P30" s="1">
        <f t="shared" si="0"/>
        <v>3</v>
      </c>
    </row>
    <row r="31" spans="1:21" ht="14.25" customHeight="1" x14ac:dyDescent="0.35">
      <c r="A31" s="1" t="s">
        <v>90</v>
      </c>
      <c r="B31" s="3">
        <v>45481</v>
      </c>
      <c r="C31" s="1" t="s">
        <v>80</v>
      </c>
      <c r="D31" s="1">
        <v>61</v>
      </c>
      <c r="E31" s="1" t="s">
        <v>20</v>
      </c>
      <c r="F31" s="1" t="s">
        <v>21</v>
      </c>
      <c r="G31" s="1" t="s">
        <v>43</v>
      </c>
      <c r="H31" s="1" t="s">
        <v>33</v>
      </c>
      <c r="I31" s="1">
        <v>987.76</v>
      </c>
      <c r="J31" s="1">
        <v>1245</v>
      </c>
      <c r="K31" s="1">
        <v>4323</v>
      </c>
      <c r="L31" s="1">
        <v>119</v>
      </c>
      <c r="M31" s="1">
        <v>5</v>
      </c>
      <c r="N31" s="1">
        <v>347.22891570000002</v>
      </c>
      <c r="O31" s="1">
        <v>2.7527180200000001</v>
      </c>
      <c r="P31" s="1">
        <f t="shared" si="0"/>
        <v>5</v>
      </c>
      <c r="U31" s="1">
        <f>COUNTIF(N27:N1000, N31&gt;100)</f>
        <v>0</v>
      </c>
    </row>
    <row r="32" spans="1:21" ht="14.25" customHeight="1" x14ac:dyDescent="0.35">
      <c r="A32" s="1" t="s">
        <v>91</v>
      </c>
      <c r="B32" s="3">
        <v>45582</v>
      </c>
      <c r="C32" s="1" t="s">
        <v>92</v>
      </c>
      <c r="D32" s="1">
        <v>19</v>
      </c>
      <c r="E32" s="1" t="s">
        <v>20</v>
      </c>
      <c r="F32" s="1" t="s">
        <v>54</v>
      </c>
      <c r="G32" s="1" t="s">
        <v>39</v>
      </c>
      <c r="H32" s="1" t="s">
        <v>23</v>
      </c>
      <c r="I32" s="1">
        <v>1670.14</v>
      </c>
      <c r="J32" s="1">
        <v>47856</v>
      </c>
      <c r="K32" s="1">
        <v>3265</v>
      </c>
      <c r="L32" s="1">
        <v>392</v>
      </c>
      <c r="M32" s="1">
        <v>3</v>
      </c>
      <c r="N32" s="1">
        <v>6.8225509860000004</v>
      </c>
      <c r="O32" s="1">
        <v>12.00612557</v>
      </c>
      <c r="P32" s="1">
        <f t="shared" si="0"/>
        <v>3</v>
      </c>
    </row>
    <row r="33" spans="1:16" ht="14.25" customHeight="1" x14ac:dyDescent="0.35">
      <c r="A33" s="1" t="s">
        <v>93</v>
      </c>
      <c r="B33" s="3">
        <v>45604</v>
      </c>
      <c r="C33" s="1" t="s">
        <v>94</v>
      </c>
      <c r="D33" s="1">
        <v>38</v>
      </c>
      <c r="E33" s="1" t="s">
        <v>20</v>
      </c>
      <c r="F33" s="1" t="s">
        <v>47</v>
      </c>
      <c r="G33" s="1" t="s">
        <v>22</v>
      </c>
      <c r="H33" s="1" t="s">
        <v>23</v>
      </c>
      <c r="I33" s="1">
        <v>1582.87</v>
      </c>
      <c r="J33" s="1">
        <v>18161</v>
      </c>
      <c r="K33" s="1">
        <v>3759</v>
      </c>
      <c r="L33" s="1">
        <v>384</v>
      </c>
      <c r="M33" s="1">
        <v>2</v>
      </c>
      <c r="N33" s="1">
        <v>20.69819944</v>
      </c>
      <c r="O33" s="1">
        <v>10.21548284</v>
      </c>
      <c r="P33" s="1">
        <f t="shared" si="0"/>
        <v>2</v>
      </c>
    </row>
    <row r="34" spans="1:16" ht="14.25" customHeight="1" x14ac:dyDescent="0.35">
      <c r="A34" s="1" t="s">
        <v>95</v>
      </c>
      <c r="B34" s="3">
        <v>45493</v>
      </c>
      <c r="C34" s="1" t="s">
        <v>87</v>
      </c>
      <c r="D34" s="1">
        <v>26</v>
      </c>
      <c r="E34" s="1" t="s">
        <v>32</v>
      </c>
      <c r="F34" s="1" t="s">
        <v>21</v>
      </c>
      <c r="G34" s="1" t="s">
        <v>22</v>
      </c>
      <c r="H34" s="1" t="s">
        <v>33</v>
      </c>
      <c r="I34" s="1">
        <v>688.82</v>
      </c>
      <c r="J34" s="1">
        <v>44318</v>
      </c>
      <c r="K34" s="1">
        <v>2759</v>
      </c>
      <c r="L34" s="1">
        <v>389</v>
      </c>
      <c r="M34" s="1">
        <v>3</v>
      </c>
      <c r="N34" s="1">
        <v>6.225461438</v>
      </c>
      <c r="O34" s="1">
        <v>14.09931134</v>
      </c>
      <c r="P34" s="1">
        <f t="shared" si="0"/>
        <v>3</v>
      </c>
    </row>
    <row r="35" spans="1:16" ht="14.25" customHeight="1" x14ac:dyDescent="0.35">
      <c r="A35" s="1" t="s">
        <v>96</v>
      </c>
      <c r="B35" s="3">
        <v>45330</v>
      </c>
      <c r="C35" s="1" t="s">
        <v>97</v>
      </c>
      <c r="D35" s="1">
        <v>41</v>
      </c>
      <c r="E35" s="1" t="s">
        <v>32</v>
      </c>
      <c r="F35" s="1" t="s">
        <v>42</v>
      </c>
      <c r="G35" s="1" t="s">
        <v>58</v>
      </c>
      <c r="H35" s="1" t="s">
        <v>33</v>
      </c>
      <c r="I35" s="1">
        <v>1079.1400000000001</v>
      </c>
      <c r="J35" s="1">
        <v>48566</v>
      </c>
      <c r="K35" s="1">
        <v>610</v>
      </c>
      <c r="L35" s="1">
        <v>85</v>
      </c>
      <c r="N35" s="1">
        <v>1.2560227319999999</v>
      </c>
      <c r="O35" s="1">
        <v>13.93442623</v>
      </c>
      <c r="P35" s="1">
        <f t="shared" si="0"/>
        <v>3</v>
      </c>
    </row>
    <row r="36" spans="1:16" ht="14.25" customHeight="1" x14ac:dyDescent="0.35">
      <c r="A36" s="1" t="s">
        <v>98</v>
      </c>
      <c r="B36" s="3">
        <v>45552</v>
      </c>
      <c r="C36" s="1" t="s">
        <v>99</v>
      </c>
      <c r="D36" s="1">
        <v>64</v>
      </c>
      <c r="E36" s="1" t="s">
        <v>32</v>
      </c>
      <c r="F36" s="1" t="s">
        <v>47</v>
      </c>
      <c r="G36" s="1" t="s">
        <v>28</v>
      </c>
      <c r="H36" s="1" t="s">
        <v>29</v>
      </c>
      <c r="I36" s="1">
        <v>1823.94</v>
      </c>
      <c r="J36" s="1">
        <v>22377</v>
      </c>
      <c r="K36" s="1">
        <v>803</v>
      </c>
      <c r="L36" s="1">
        <v>72</v>
      </c>
      <c r="M36" s="1">
        <v>3</v>
      </c>
      <c r="N36" s="1">
        <v>3.5885060549999999</v>
      </c>
      <c r="O36" s="1">
        <v>8.9663760900000007</v>
      </c>
      <c r="P36" s="1">
        <f t="shared" si="0"/>
        <v>3</v>
      </c>
    </row>
    <row r="37" spans="1:16" ht="14.25" customHeight="1" x14ac:dyDescent="0.35">
      <c r="A37" s="1" t="s">
        <v>100</v>
      </c>
      <c r="B37" s="3">
        <v>45429</v>
      </c>
      <c r="C37" s="1" t="s">
        <v>56</v>
      </c>
      <c r="D37" s="1">
        <v>45</v>
      </c>
      <c r="E37" s="1" t="s">
        <v>20</v>
      </c>
      <c r="F37" s="1" t="s">
        <v>42</v>
      </c>
      <c r="G37" s="1" t="s">
        <v>58</v>
      </c>
      <c r="H37" s="1" t="s">
        <v>29</v>
      </c>
      <c r="I37" s="1">
        <v>654.80999999999995</v>
      </c>
      <c r="J37" s="1">
        <v>38824</v>
      </c>
      <c r="K37" s="1">
        <v>1908</v>
      </c>
      <c r="L37" s="1">
        <v>68</v>
      </c>
      <c r="M37" s="1">
        <v>5</v>
      </c>
      <c r="N37" s="1">
        <v>4.9144858850000004</v>
      </c>
      <c r="O37" s="1">
        <v>3.5639413000000002</v>
      </c>
      <c r="P37" s="1">
        <f t="shared" si="0"/>
        <v>5</v>
      </c>
    </row>
    <row r="38" spans="1:16" ht="14.25" customHeight="1" x14ac:dyDescent="0.35">
      <c r="A38" s="1" t="s">
        <v>101</v>
      </c>
      <c r="B38" s="3">
        <v>45635</v>
      </c>
      <c r="C38" s="1" t="s">
        <v>102</v>
      </c>
      <c r="D38" s="1">
        <v>53</v>
      </c>
      <c r="E38" s="1" t="s">
        <v>32</v>
      </c>
      <c r="F38" s="1" t="s">
        <v>27</v>
      </c>
      <c r="G38" s="1" t="s">
        <v>58</v>
      </c>
      <c r="H38" s="1" t="s">
        <v>59</v>
      </c>
      <c r="I38" s="1">
        <v>1182.54</v>
      </c>
      <c r="J38" s="1">
        <v>26747</v>
      </c>
      <c r="K38" s="1">
        <v>100</v>
      </c>
      <c r="L38" s="1">
        <v>348</v>
      </c>
      <c r="M38" s="1">
        <v>4</v>
      </c>
      <c r="N38" s="1">
        <v>0.373873705</v>
      </c>
      <c r="O38" s="1">
        <v>348</v>
      </c>
      <c r="P38" s="1">
        <f t="shared" si="0"/>
        <v>4</v>
      </c>
    </row>
    <row r="39" spans="1:16" ht="14.25" customHeight="1" x14ac:dyDescent="0.35">
      <c r="A39" s="1" t="s">
        <v>103</v>
      </c>
      <c r="B39" s="3">
        <v>45487</v>
      </c>
      <c r="C39" s="1" t="s">
        <v>104</v>
      </c>
      <c r="E39" s="1" t="s">
        <v>32</v>
      </c>
      <c r="G39" s="1" t="s">
        <v>22</v>
      </c>
      <c r="H39" s="1" t="s">
        <v>29</v>
      </c>
      <c r="I39" s="1">
        <v>1871.43</v>
      </c>
      <c r="J39" s="1">
        <v>43985</v>
      </c>
      <c r="K39" s="1">
        <v>2058</v>
      </c>
      <c r="L39" s="1">
        <v>237</v>
      </c>
      <c r="N39" s="1">
        <v>4.6788677959999996</v>
      </c>
      <c r="O39" s="1">
        <v>11.51603499</v>
      </c>
      <c r="P39" s="1">
        <f t="shared" si="0"/>
        <v>3</v>
      </c>
    </row>
    <row r="40" spans="1:16" ht="14.25" customHeight="1" x14ac:dyDescent="0.35">
      <c r="A40" s="1" t="s">
        <v>105</v>
      </c>
      <c r="B40" s="3">
        <v>45364</v>
      </c>
      <c r="C40" s="1" t="s">
        <v>106</v>
      </c>
      <c r="D40" s="1">
        <v>40</v>
      </c>
      <c r="E40" s="1" t="s">
        <v>26</v>
      </c>
      <c r="F40" s="1" t="s">
        <v>21</v>
      </c>
      <c r="G40" s="1" t="s">
        <v>28</v>
      </c>
      <c r="H40" s="1" t="s">
        <v>29</v>
      </c>
      <c r="I40" s="1">
        <v>1909.57</v>
      </c>
      <c r="J40" s="1">
        <v>38605</v>
      </c>
      <c r="K40" s="1">
        <v>1277</v>
      </c>
      <c r="L40" s="1">
        <v>345</v>
      </c>
      <c r="N40" s="1">
        <v>3.3078616759999999</v>
      </c>
      <c r="O40" s="1">
        <v>27.016444790000001</v>
      </c>
      <c r="P40" s="1">
        <f t="shared" si="0"/>
        <v>3</v>
      </c>
    </row>
    <row r="41" spans="1:16" ht="14.25" customHeight="1" x14ac:dyDescent="0.35">
      <c r="A41" s="1" t="s">
        <v>107</v>
      </c>
      <c r="B41" s="3">
        <v>45631</v>
      </c>
      <c r="C41" s="1" t="s">
        <v>108</v>
      </c>
      <c r="D41" s="1">
        <v>43</v>
      </c>
      <c r="E41" s="1" t="s">
        <v>26</v>
      </c>
      <c r="F41" s="1" t="s">
        <v>21</v>
      </c>
      <c r="G41" s="1" t="s">
        <v>39</v>
      </c>
      <c r="H41" s="1" t="s">
        <v>33</v>
      </c>
      <c r="I41" s="1">
        <v>1376.17</v>
      </c>
      <c r="J41" s="1">
        <v>15902</v>
      </c>
      <c r="K41" s="1">
        <v>526</v>
      </c>
      <c r="L41" s="1">
        <v>289</v>
      </c>
      <c r="M41" s="1">
        <v>5</v>
      </c>
      <c r="N41" s="1">
        <v>3.3077600299999999</v>
      </c>
      <c r="O41" s="1">
        <v>54.942965780000002</v>
      </c>
      <c r="P41" s="1">
        <f t="shared" si="0"/>
        <v>5</v>
      </c>
    </row>
    <row r="42" spans="1:16" ht="14.25" customHeight="1" x14ac:dyDescent="0.35">
      <c r="A42" s="1" t="s">
        <v>109</v>
      </c>
      <c r="B42" s="3">
        <v>45549</v>
      </c>
      <c r="C42" s="1" t="s">
        <v>110</v>
      </c>
      <c r="D42" s="1">
        <v>43</v>
      </c>
      <c r="E42" s="1" t="s">
        <v>20</v>
      </c>
      <c r="F42" s="1" t="s">
        <v>47</v>
      </c>
      <c r="G42" s="1" t="s">
        <v>28</v>
      </c>
      <c r="H42" s="1" t="s">
        <v>29</v>
      </c>
      <c r="I42" s="1">
        <v>1962.25</v>
      </c>
      <c r="J42" s="1">
        <v>37012</v>
      </c>
      <c r="K42" s="1">
        <v>4018</v>
      </c>
      <c r="L42" s="1">
        <v>70</v>
      </c>
      <c r="M42" s="1">
        <v>1</v>
      </c>
      <c r="N42" s="1">
        <v>10.855938610000001</v>
      </c>
      <c r="O42" s="1">
        <v>1.7421602789999999</v>
      </c>
      <c r="P42" s="1">
        <f t="shared" si="0"/>
        <v>1</v>
      </c>
    </row>
    <row r="43" spans="1:16" ht="14.25" customHeight="1" x14ac:dyDescent="0.35">
      <c r="A43" s="1" t="s">
        <v>111</v>
      </c>
      <c r="B43" s="3">
        <v>45484</v>
      </c>
      <c r="C43" s="1" t="s">
        <v>112</v>
      </c>
      <c r="D43" s="1">
        <v>64</v>
      </c>
      <c r="E43" s="1" t="s">
        <v>32</v>
      </c>
      <c r="F43" s="1" t="s">
        <v>54</v>
      </c>
      <c r="G43" s="1" t="s">
        <v>22</v>
      </c>
      <c r="H43" s="1" t="s">
        <v>59</v>
      </c>
      <c r="I43" s="1">
        <v>1563.06</v>
      </c>
      <c r="J43" s="1">
        <v>41009</v>
      </c>
      <c r="K43" s="1">
        <v>2687</v>
      </c>
      <c r="L43" s="1">
        <v>126</v>
      </c>
      <c r="N43" s="1">
        <v>6.5522202439999999</v>
      </c>
      <c r="O43" s="1">
        <v>4.6892445110000001</v>
      </c>
      <c r="P43" s="1">
        <f t="shared" si="0"/>
        <v>3</v>
      </c>
    </row>
    <row r="44" spans="1:16" ht="14.25" customHeight="1" x14ac:dyDescent="0.35">
      <c r="A44" s="1" t="s">
        <v>113</v>
      </c>
      <c r="B44" s="3">
        <v>45641</v>
      </c>
      <c r="C44" s="1" t="s">
        <v>114</v>
      </c>
      <c r="D44" s="1">
        <v>48</v>
      </c>
      <c r="E44" s="1" t="s">
        <v>20</v>
      </c>
      <c r="F44" s="1" t="s">
        <v>21</v>
      </c>
      <c r="G44" s="1" t="s">
        <v>22</v>
      </c>
      <c r="H44" s="1" t="s">
        <v>33</v>
      </c>
      <c r="I44" s="1">
        <v>1949.17</v>
      </c>
      <c r="J44" s="1">
        <v>7283</v>
      </c>
      <c r="K44" s="1">
        <v>4633</v>
      </c>
      <c r="L44" s="1">
        <v>399</v>
      </c>
      <c r="M44" s="1">
        <v>3</v>
      </c>
      <c r="N44" s="1">
        <v>63.613895370000002</v>
      </c>
      <c r="O44" s="1">
        <v>8.6121303690000008</v>
      </c>
      <c r="P44" s="1">
        <f t="shared" si="0"/>
        <v>3</v>
      </c>
    </row>
    <row r="45" spans="1:16" ht="14.25" customHeight="1" x14ac:dyDescent="0.35">
      <c r="A45" s="1" t="s">
        <v>115</v>
      </c>
      <c r="B45" s="3">
        <v>45384</v>
      </c>
      <c r="C45" s="1" t="s">
        <v>116</v>
      </c>
      <c r="D45" s="1">
        <v>60</v>
      </c>
      <c r="E45" s="1" t="s">
        <v>32</v>
      </c>
      <c r="F45" s="1" t="s">
        <v>27</v>
      </c>
      <c r="G45" s="1" t="s">
        <v>43</v>
      </c>
      <c r="H45" s="1" t="s">
        <v>59</v>
      </c>
      <c r="I45" s="1">
        <v>1359.28</v>
      </c>
      <c r="J45" s="1">
        <v>3809</v>
      </c>
      <c r="K45" s="1">
        <v>831</v>
      </c>
      <c r="L45" s="1">
        <v>263</v>
      </c>
      <c r="M45" s="1">
        <v>4</v>
      </c>
      <c r="N45" s="1">
        <v>21.8167498</v>
      </c>
      <c r="O45" s="1">
        <v>31.648616130000001</v>
      </c>
      <c r="P45" s="1">
        <f t="shared" si="0"/>
        <v>4</v>
      </c>
    </row>
    <row r="46" spans="1:16" ht="14.25" customHeight="1" x14ac:dyDescent="0.35">
      <c r="A46" s="1" t="s">
        <v>117</v>
      </c>
      <c r="B46" s="3">
        <v>45544</v>
      </c>
      <c r="C46" s="1" t="s">
        <v>118</v>
      </c>
      <c r="D46" s="1">
        <v>30</v>
      </c>
      <c r="E46" s="1" t="s">
        <v>20</v>
      </c>
      <c r="F46" s="1" t="s">
        <v>42</v>
      </c>
      <c r="G46" s="1" t="s">
        <v>58</v>
      </c>
      <c r="H46" s="1" t="s">
        <v>23</v>
      </c>
      <c r="I46" s="1">
        <v>1323.7</v>
      </c>
      <c r="J46" s="1">
        <v>42287</v>
      </c>
      <c r="K46" s="1">
        <v>2796</v>
      </c>
      <c r="L46" s="1">
        <v>285</v>
      </c>
      <c r="M46" s="1">
        <v>5</v>
      </c>
      <c r="N46" s="1">
        <v>6.6119611230000004</v>
      </c>
      <c r="O46" s="1">
        <v>10.19313305</v>
      </c>
      <c r="P46" s="1">
        <f t="shared" si="0"/>
        <v>5</v>
      </c>
    </row>
    <row r="47" spans="1:16" ht="14.25" customHeight="1" x14ac:dyDescent="0.35">
      <c r="A47" s="1" t="s">
        <v>119</v>
      </c>
      <c r="B47" s="3">
        <v>45363</v>
      </c>
      <c r="C47" s="1" t="s">
        <v>120</v>
      </c>
      <c r="D47" s="1">
        <v>64</v>
      </c>
      <c r="E47" s="1" t="s">
        <v>32</v>
      </c>
      <c r="F47" s="1" t="s">
        <v>54</v>
      </c>
      <c r="G47" s="1" t="s">
        <v>58</v>
      </c>
      <c r="H47" s="1" t="s">
        <v>33</v>
      </c>
      <c r="I47" s="1">
        <v>162.71</v>
      </c>
      <c r="J47" s="1">
        <v>28327</v>
      </c>
      <c r="K47" s="1">
        <v>3653</v>
      </c>
      <c r="L47" s="1">
        <v>341</v>
      </c>
      <c r="M47" s="1">
        <v>5</v>
      </c>
      <c r="N47" s="1">
        <v>12.89582377</v>
      </c>
      <c r="O47" s="1">
        <v>9.3347933209999994</v>
      </c>
      <c r="P47" s="1">
        <f t="shared" si="0"/>
        <v>5</v>
      </c>
    </row>
    <row r="48" spans="1:16" ht="14.25" customHeight="1" x14ac:dyDescent="0.35">
      <c r="A48" s="1" t="s">
        <v>121</v>
      </c>
      <c r="B48" s="3">
        <v>45571</v>
      </c>
      <c r="C48" s="1" t="s">
        <v>82</v>
      </c>
      <c r="D48" s="1">
        <v>63</v>
      </c>
      <c r="E48" s="1" t="s">
        <v>32</v>
      </c>
      <c r="F48" s="1" t="s">
        <v>21</v>
      </c>
      <c r="G48" s="1" t="s">
        <v>39</v>
      </c>
      <c r="H48" s="1" t="s">
        <v>59</v>
      </c>
      <c r="I48" s="1">
        <v>1004.84</v>
      </c>
      <c r="J48" s="1">
        <v>38048</v>
      </c>
      <c r="K48" s="1">
        <v>1079</v>
      </c>
      <c r="L48" s="1">
        <v>77</v>
      </c>
      <c r="M48" s="1">
        <v>4</v>
      </c>
      <c r="N48" s="1">
        <v>2.8358915050000002</v>
      </c>
      <c r="O48" s="1">
        <v>7.1362372570000003</v>
      </c>
      <c r="P48" s="1">
        <f t="shared" si="0"/>
        <v>4</v>
      </c>
    </row>
    <row r="49" spans="1:21" ht="14.25" customHeight="1" x14ac:dyDescent="0.35">
      <c r="A49" s="1" t="s">
        <v>122</v>
      </c>
      <c r="B49" s="3">
        <v>45302</v>
      </c>
      <c r="C49" s="1" t="s">
        <v>123</v>
      </c>
      <c r="D49" s="1">
        <v>41</v>
      </c>
      <c r="E49" s="1" t="s">
        <v>32</v>
      </c>
      <c r="F49" s="1" t="s">
        <v>27</v>
      </c>
      <c r="G49" s="1" t="s">
        <v>43</v>
      </c>
      <c r="H49" s="1" t="s">
        <v>23</v>
      </c>
      <c r="I49" s="1">
        <v>694.66</v>
      </c>
      <c r="J49" s="1">
        <v>30529</v>
      </c>
      <c r="K49" s="1">
        <v>26</v>
      </c>
      <c r="L49" s="1">
        <v>96</v>
      </c>
      <c r="M49" s="1">
        <v>2</v>
      </c>
      <c r="N49" s="1">
        <v>8.5164925000000002E-2</v>
      </c>
      <c r="O49" s="1">
        <v>369.2307692</v>
      </c>
      <c r="P49" s="1">
        <f t="shared" si="0"/>
        <v>2</v>
      </c>
    </row>
    <row r="50" spans="1:21" ht="14.25" customHeight="1" x14ac:dyDescent="0.35">
      <c r="A50" s="1" t="s">
        <v>124</v>
      </c>
      <c r="B50" s="3">
        <v>45525</v>
      </c>
      <c r="C50" s="1" t="s">
        <v>125</v>
      </c>
      <c r="D50" s="1">
        <v>56</v>
      </c>
      <c r="E50" s="1" t="s">
        <v>20</v>
      </c>
      <c r="F50" s="1" t="s">
        <v>47</v>
      </c>
      <c r="G50" s="1" t="s">
        <v>28</v>
      </c>
      <c r="H50" s="1" t="s">
        <v>23</v>
      </c>
      <c r="I50" s="1">
        <v>138.05000000000001</v>
      </c>
      <c r="J50" s="1">
        <v>17610</v>
      </c>
      <c r="K50" s="1">
        <v>4239</v>
      </c>
      <c r="L50" s="1">
        <v>114</v>
      </c>
      <c r="M50" s="1">
        <v>2</v>
      </c>
      <c r="N50" s="1">
        <v>24.071550259999999</v>
      </c>
      <c r="O50" s="1">
        <v>2.689313517</v>
      </c>
      <c r="P50" s="1">
        <f t="shared" si="0"/>
        <v>2</v>
      </c>
    </row>
    <row r="51" spans="1:21" ht="14.25" customHeight="1" x14ac:dyDescent="0.35">
      <c r="A51" s="1" t="s">
        <v>126</v>
      </c>
      <c r="B51" s="3">
        <v>45583</v>
      </c>
      <c r="C51" s="1" t="s">
        <v>127</v>
      </c>
      <c r="D51" s="1">
        <v>42</v>
      </c>
      <c r="E51" s="1" t="s">
        <v>20</v>
      </c>
      <c r="F51" s="1" t="s">
        <v>21</v>
      </c>
      <c r="G51" s="1" t="s">
        <v>28</v>
      </c>
      <c r="H51" s="1" t="s">
        <v>29</v>
      </c>
      <c r="I51" s="1">
        <v>1288.67</v>
      </c>
      <c r="J51" s="1">
        <v>33696</v>
      </c>
      <c r="K51" s="1">
        <v>3552</v>
      </c>
      <c r="L51" s="1">
        <v>279</v>
      </c>
      <c r="M51" s="1">
        <v>1</v>
      </c>
      <c r="N51" s="1">
        <v>10.54131054</v>
      </c>
      <c r="O51" s="1">
        <v>7.8547297299999999</v>
      </c>
      <c r="P51" s="1">
        <f t="shared" si="0"/>
        <v>1</v>
      </c>
    </row>
    <row r="52" spans="1:21" ht="14.25" customHeight="1" x14ac:dyDescent="0.35">
      <c r="A52" s="1" t="s">
        <v>128</v>
      </c>
      <c r="B52" s="3">
        <v>45609</v>
      </c>
      <c r="C52" s="1" t="s">
        <v>129</v>
      </c>
      <c r="D52" s="1">
        <v>40</v>
      </c>
      <c r="E52" s="1" t="s">
        <v>32</v>
      </c>
      <c r="F52" s="1" t="s">
        <v>38</v>
      </c>
      <c r="G52" s="1" t="s">
        <v>43</v>
      </c>
      <c r="H52" s="1" t="s">
        <v>23</v>
      </c>
      <c r="I52" s="1">
        <v>1943.85</v>
      </c>
      <c r="J52" s="1">
        <v>46596</v>
      </c>
      <c r="K52" s="1">
        <v>3817</v>
      </c>
      <c r="L52" s="1">
        <v>121</v>
      </c>
      <c r="M52" s="1">
        <v>1</v>
      </c>
      <c r="N52" s="1">
        <v>8.1916902740000008</v>
      </c>
      <c r="O52" s="1">
        <v>3.170028818</v>
      </c>
      <c r="P52" s="1">
        <f t="shared" si="0"/>
        <v>1</v>
      </c>
    </row>
    <row r="53" spans="1:21" ht="14.25" customHeight="1" x14ac:dyDescent="0.35">
      <c r="A53" s="1" t="s">
        <v>130</v>
      </c>
      <c r="B53" s="3">
        <v>45443</v>
      </c>
      <c r="C53" s="1" t="s">
        <v>131</v>
      </c>
      <c r="D53" s="1">
        <v>45</v>
      </c>
      <c r="E53" s="1" t="s">
        <v>20</v>
      </c>
      <c r="F53" s="1" t="s">
        <v>47</v>
      </c>
      <c r="G53" s="1" t="s">
        <v>28</v>
      </c>
      <c r="H53" s="1" t="s">
        <v>29</v>
      </c>
      <c r="I53" s="1">
        <v>1164.96</v>
      </c>
      <c r="J53" s="1">
        <v>28535</v>
      </c>
      <c r="K53" s="1">
        <v>2338</v>
      </c>
      <c r="L53" s="1">
        <v>326</v>
      </c>
      <c r="M53" s="1">
        <v>2</v>
      </c>
      <c r="N53" s="1">
        <v>8.1934466439999998</v>
      </c>
      <c r="O53" s="1">
        <v>13.943541489999999</v>
      </c>
      <c r="P53" s="1">
        <f t="shared" si="0"/>
        <v>2</v>
      </c>
    </row>
    <row r="54" spans="1:21" ht="14.25" customHeight="1" x14ac:dyDescent="0.35">
      <c r="A54" s="1" t="s">
        <v>132</v>
      </c>
      <c r="B54" s="3">
        <v>45384</v>
      </c>
      <c r="C54" s="1" t="s">
        <v>133</v>
      </c>
      <c r="D54" s="1">
        <v>20</v>
      </c>
      <c r="E54" s="1" t="s">
        <v>32</v>
      </c>
      <c r="F54" s="1" t="s">
        <v>54</v>
      </c>
      <c r="G54" s="1" t="s">
        <v>43</v>
      </c>
      <c r="H54" s="1" t="s">
        <v>33</v>
      </c>
      <c r="I54" s="1">
        <v>741.59</v>
      </c>
      <c r="J54" s="1">
        <v>2451</v>
      </c>
      <c r="K54" s="1">
        <v>3558</v>
      </c>
      <c r="L54" s="1">
        <v>296</v>
      </c>
      <c r="M54" s="1">
        <v>3</v>
      </c>
      <c r="N54" s="1">
        <v>145.1652387</v>
      </c>
      <c r="O54" s="1">
        <v>8.3192804949999992</v>
      </c>
      <c r="P54" s="1">
        <f t="shared" si="0"/>
        <v>3</v>
      </c>
      <c r="U54" s="1">
        <f>COUNTIF(N50:N1000, N54&gt;100)</f>
        <v>0</v>
      </c>
    </row>
    <row r="55" spans="1:21" ht="14.25" customHeight="1" x14ac:dyDescent="0.35">
      <c r="A55" s="1" t="s">
        <v>134</v>
      </c>
      <c r="B55" s="3">
        <v>45539</v>
      </c>
      <c r="C55" s="1" t="s">
        <v>135</v>
      </c>
      <c r="D55" s="1">
        <v>36</v>
      </c>
      <c r="E55" s="1" t="s">
        <v>32</v>
      </c>
      <c r="F55" s="1" t="s">
        <v>42</v>
      </c>
      <c r="G55" s="1" t="s">
        <v>28</v>
      </c>
      <c r="H55" s="1" t="s">
        <v>33</v>
      </c>
      <c r="I55" s="1">
        <v>1892.73</v>
      </c>
      <c r="J55" s="1">
        <v>21272</v>
      </c>
      <c r="K55" s="1">
        <v>1201</v>
      </c>
      <c r="L55" s="1">
        <v>365</v>
      </c>
      <c r="M55" s="1">
        <v>4</v>
      </c>
      <c r="N55" s="1">
        <v>5.6459195190000004</v>
      </c>
      <c r="O55" s="1">
        <v>30.391340549999999</v>
      </c>
      <c r="P55" s="1">
        <f t="shared" si="0"/>
        <v>4</v>
      </c>
    </row>
    <row r="56" spans="1:21" ht="14.25" customHeight="1" x14ac:dyDescent="0.35">
      <c r="A56" s="1" t="s">
        <v>136</v>
      </c>
      <c r="B56" s="3">
        <v>45516</v>
      </c>
      <c r="C56" s="1" t="s">
        <v>137</v>
      </c>
      <c r="D56" s="1">
        <v>61</v>
      </c>
      <c r="E56" s="1" t="s">
        <v>20</v>
      </c>
      <c r="F56" s="1" t="s">
        <v>54</v>
      </c>
      <c r="G56" s="1" t="s">
        <v>43</v>
      </c>
      <c r="H56" s="1" t="s">
        <v>33</v>
      </c>
      <c r="I56" s="1">
        <v>1379.45</v>
      </c>
      <c r="J56" s="1">
        <v>724</v>
      </c>
      <c r="K56" s="1">
        <v>229</v>
      </c>
      <c r="L56" s="1">
        <v>157</v>
      </c>
      <c r="N56" s="1">
        <v>31.629834249999998</v>
      </c>
      <c r="O56" s="1">
        <v>68.558951969999995</v>
      </c>
      <c r="P56" s="1">
        <f t="shared" si="0"/>
        <v>3</v>
      </c>
    </row>
    <row r="57" spans="1:21" ht="14.25" customHeight="1" x14ac:dyDescent="0.35">
      <c r="A57" s="1" t="s">
        <v>138</v>
      </c>
      <c r="B57" s="3">
        <v>45441</v>
      </c>
      <c r="C57" s="1" t="s">
        <v>139</v>
      </c>
      <c r="D57" s="1">
        <v>55</v>
      </c>
      <c r="E57" s="1" t="s">
        <v>20</v>
      </c>
      <c r="F57" s="1" t="s">
        <v>27</v>
      </c>
      <c r="G57" s="1" t="s">
        <v>58</v>
      </c>
      <c r="H57" s="1" t="s">
        <v>23</v>
      </c>
      <c r="I57" s="1">
        <v>355.66</v>
      </c>
      <c r="J57" s="1">
        <v>1683</v>
      </c>
      <c r="K57" s="1">
        <v>547</v>
      </c>
      <c r="L57" s="1">
        <v>299</v>
      </c>
      <c r="M57" s="1">
        <v>1</v>
      </c>
      <c r="N57" s="1">
        <v>32.501485440000003</v>
      </c>
      <c r="O57" s="1">
        <v>54.66179159</v>
      </c>
      <c r="P57" s="1">
        <f t="shared" si="0"/>
        <v>1</v>
      </c>
    </row>
    <row r="58" spans="1:21" ht="14.25" customHeight="1" x14ac:dyDescent="0.35">
      <c r="A58" s="1" t="s">
        <v>140</v>
      </c>
      <c r="B58" s="3">
        <v>45648</v>
      </c>
      <c r="C58" s="1" t="s">
        <v>141</v>
      </c>
      <c r="D58" s="1">
        <v>35</v>
      </c>
      <c r="E58" s="1" t="s">
        <v>26</v>
      </c>
      <c r="F58" s="1" t="s">
        <v>38</v>
      </c>
      <c r="G58" s="1" t="s">
        <v>43</v>
      </c>
      <c r="H58" s="1" t="s">
        <v>33</v>
      </c>
      <c r="I58" s="1">
        <v>1233.05</v>
      </c>
      <c r="J58" s="1">
        <v>43478</v>
      </c>
      <c r="K58" s="1">
        <v>1045</v>
      </c>
      <c r="L58" s="1">
        <v>301</v>
      </c>
      <c r="M58" s="1">
        <v>2</v>
      </c>
      <c r="N58" s="1">
        <v>2.4035144210000001</v>
      </c>
      <c r="O58" s="1">
        <v>28.80382775</v>
      </c>
      <c r="P58" s="1">
        <f t="shared" si="0"/>
        <v>2</v>
      </c>
    </row>
    <row r="59" spans="1:21" ht="14.25" customHeight="1" x14ac:dyDescent="0.35">
      <c r="A59" s="1" t="s">
        <v>142</v>
      </c>
      <c r="B59" s="3">
        <v>45359</v>
      </c>
      <c r="C59" s="1" t="s">
        <v>135</v>
      </c>
      <c r="D59" s="1">
        <v>35</v>
      </c>
      <c r="E59" s="1" t="s">
        <v>32</v>
      </c>
      <c r="F59" s="1" t="s">
        <v>47</v>
      </c>
      <c r="G59" s="1" t="s">
        <v>58</v>
      </c>
      <c r="H59" s="1" t="s">
        <v>59</v>
      </c>
      <c r="I59" s="1">
        <v>1720.54</v>
      </c>
      <c r="J59" s="1">
        <v>15509</v>
      </c>
      <c r="K59" s="1">
        <v>1482</v>
      </c>
      <c r="L59" s="1">
        <v>356</v>
      </c>
      <c r="M59" s="1">
        <v>3</v>
      </c>
      <c r="N59" s="1">
        <v>9.5557418270000003</v>
      </c>
      <c r="O59" s="1">
        <v>24.021592439999999</v>
      </c>
      <c r="P59" s="1">
        <f t="shared" si="0"/>
        <v>3</v>
      </c>
    </row>
    <row r="60" spans="1:21" ht="14.25" customHeight="1" x14ac:dyDescent="0.35">
      <c r="A60" s="1" t="s">
        <v>143</v>
      </c>
      <c r="B60" s="3">
        <v>45511</v>
      </c>
      <c r="C60" s="1" t="s">
        <v>144</v>
      </c>
      <c r="D60" s="1">
        <v>22</v>
      </c>
      <c r="E60" s="1" t="s">
        <v>32</v>
      </c>
      <c r="F60" s="1" t="s">
        <v>21</v>
      </c>
      <c r="G60" s="1" t="s">
        <v>43</v>
      </c>
      <c r="H60" s="1" t="s">
        <v>33</v>
      </c>
      <c r="I60" s="1">
        <v>1566.16</v>
      </c>
      <c r="J60" s="1">
        <v>28529</v>
      </c>
      <c r="K60" s="1">
        <v>839</v>
      </c>
      <c r="L60" s="1">
        <v>361</v>
      </c>
      <c r="M60" s="1">
        <v>1</v>
      </c>
      <c r="N60" s="1">
        <v>2.9408671879999999</v>
      </c>
      <c r="O60" s="1">
        <v>43.027413590000002</v>
      </c>
      <c r="P60" s="1">
        <f t="shared" si="0"/>
        <v>1</v>
      </c>
    </row>
    <row r="61" spans="1:21" ht="14.25" customHeight="1" x14ac:dyDescent="0.35">
      <c r="A61" s="1" t="s">
        <v>145</v>
      </c>
      <c r="B61" s="3">
        <v>45311</v>
      </c>
      <c r="C61" s="1" t="s">
        <v>80</v>
      </c>
      <c r="D61" s="1">
        <v>43</v>
      </c>
      <c r="E61" s="1" t="s">
        <v>20</v>
      </c>
      <c r="F61" s="1" t="s">
        <v>42</v>
      </c>
      <c r="G61" s="1" t="s">
        <v>39</v>
      </c>
      <c r="H61" s="1" t="s">
        <v>33</v>
      </c>
      <c r="I61" s="1">
        <v>1018.6</v>
      </c>
      <c r="J61" s="1">
        <v>2989</v>
      </c>
      <c r="K61" s="1">
        <v>713</v>
      </c>
      <c r="L61" s="1">
        <v>105</v>
      </c>
      <c r="M61" s="1">
        <v>5</v>
      </c>
      <c r="N61" s="1">
        <v>23.854131819999999</v>
      </c>
      <c r="O61" s="1">
        <v>14.72650771</v>
      </c>
      <c r="P61" s="1">
        <f t="shared" si="0"/>
        <v>5</v>
      </c>
    </row>
    <row r="62" spans="1:21" ht="14.25" customHeight="1" x14ac:dyDescent="0.35">
      <c r="A62" s="1" t="s">
        <v>146</v>
      </c>
      <c r="B62" s="3">
        <v>45296</v>
      </c>
      <c r="C62" s="1" t="s">
        <v>147</v>
      </c>
      <c r="D62" s="1">
        <v>47</v>
      </c>
      <c r="E62" s="1" t="s">
        <v>26</v>
      </c>
      <c r="F62" s="1" t="s">
        <v>27</v>
      </c>
      <c r="G62" s="1" t="s">
        <v>58</v>
      </c>
      <c r="H62" s="1" t="s">
        <v>23</v>
      </c>
      <c r="I62" s="1">
        <v>1383.45</v>
      </c>
      <c r="J62" s="1">
        <v>38648</v>
      </c>
      <c r="K62" s="1">
        <v>2706</v>
      </c>
      <c r="L62" s="1">
        <v>393</v>
      </c>
      <c r="M62" s="1">
        <v>2</v>
      </c>
      <c r="N62" s="1">
        <v>7.001655972</v>
      </c>
      <c r="O62" s="1">
        <v>14.523281600000001</v>
      </c>
      <c r="P62" s="1">
        <f t="shared" si="0"/>
        <v>2</v>
      </c>
    </row>
    <row r="63" spans="1:21" ht="14.25" customHeight="1" x14ac:dyDescent="0.35">
      <c r="A63" s="1" t="s">
        <v>148</v>
      </c>
      <c r="B63" s="3">
        <v>45567</v>
      </c>
      <c r="C63" s="1" t="s">
        <v>149</v>
      </c>
      <c r="D63" s="1">
        <v>29</v>
      </c>
      <c r="E63" s="1" t="s">
        <v>20</v>
      </c>
      <c r="F63" s="1" t="s">
        <v>54</v>
      </c>
      <c r="G63" s="1" t="s">
        <v>22</v>
      </c>
      <c r="H63" s="1" t="s">
        <v>23</v>
      </c>
      <c r="I63" s="1">
        <v>1772.21</v>
      </c>
      <c r="J63" s="1">
        <v>38917</v>
      </c>
      <c r="K63" s="1">
        <v>4997</v>
      </c>
      <c r="L63" s="1">
        <v>57</v>
      </c>
      <c r="M63" s="1">
        <v>1</v>
      </c>
      <c r="N63" s="1">
        <v>12.84014698</v>
      </c>
      <c r="O63" s="1">
        <v>1.1406844110000001</v>
      </c>
      <c r="P63" s="1">
        <f t="shared" si="0"/>
        <v>1</v>
      </c>
    </row>
    <row r="64" spans="1:21" ht="14.25" customHeight="1" x14ac:dyDescent="0.35">
      <c r="A64" s="1" t="s">
        <v>150</v>
      </c>
      <c r="B64" s="3">
        <v>45325</v>
      </c>
      <c r="C64" s="1" t="s">
        <v>133</v>
      </c>
      <c r="D64" s="1">
        <v>55</v>
      </c>
      <c r="E64" s="1" t="s">
        <v>32</v>
      </c>
      <c r="F64" s="1" t="s">
        <v>27</v>
      </c>
      <c r="G64" s="1" t="s">
        <v>58</v>
      </c>
      <c r="H64" s="1" t="s">
        <v>29</v>
      </c>
      <c r="I64" s="1">
        <v>1493.49</v>
      </c>
      <c r="J64" s="1">
        <v>624</v>
      </c>
      <c r="K64" s="1">
        <v>2762</v>
      </c>
      <c r="L64" s="1">
        <v>119</v>
      </c>
      <c r="M64" s="1">
        <v>4</v>
      </c>
      <c r="N64" s="1">
        <v>442.6282051</v>
      </c>
      <c r="O64" s="1">
        <v>4.3084721220000004</v>
      </c>
      <c r="P64" s="1">
        <f t="shared" si="0"/>
        <v>4</v>
      </c>
      <c r="U64" s="1">
        <f t="shared" ref="U64:U65" si="3">COUNTIF(N60:N1000, N64&gt;100)</f>
        <v>0</v>
      </c>
    </row>
    <row r="65" spans="1:21" ht="14.25" customHeight="1" x14ac:dyDescent="0.35">
      <c r="A65" s="1" t="s">
        <v>151</v>
      </c>
      <c r="B65" s="3">
        <v>45415</v>
      </c>
      <c r="C65" s="1" t="s">
        <v>152</v>
      </c>
      <c r="D65" s="1">
        <v>49</v>
      </c>
      <c r="E65" s="1" t="s">
        <v>26</v>
      </c>
      <c r="F65" s="1" t="s">
        <v>42</v>
      </c>
      <c r="G65" s="1" t="s">
        <v>43</v>
      </c>
      <c r="H65" s="1" t="s">
        <v>29</v>
      </c>
      <c r="I65" s="1">
        <v>1154.26</v>
      </c>
      <c r="J65" s="1">
        <v>1058</v>
      </c>
      <c r="K65" s="1">
        <v>2216</v>
      </c>
      <c r="L65" s="1">
        <v>260</v>
      </c>
      <c r="N65" s="1">
        <v>209.45179580000001</v>
      </c>
      <c r="O65" s="1">
        <v>11.73285199</v>
      </c>
      <c r="P65" s="1">
        <f t="shared" si="0"/>
        <v>3</v>
      </c>
      <c r="U65" s="1">
        <f t="shared" si="3"/>
        <v>0</v>
      </c>
    </row>
    <row r="66" spans="1:21" ht="14.25" customHeight="1" x14ac:dyDescent="0.35">
      <c r="A66" s="1" t="s">
        <v>153</v>
      </c>
      <c r="B66" s="3">
        <v>45578</v>
      </c>
      <c r="C66" s="1" t="s">
        <v>154</v>
      </c>
      <c r="D66" s="1">
        <v>21</v>
      </c>
      <c r="E66" s="1" t="s">
        <v>32</v>
      </c>
      <c r="F66" s="1" t="s">
        <v>47</v>
      </c>
      <c r="G66" s="1" t="s">
        <v>22</v>
      </c>
      <c r="H66" s="1" t="s">
        <v>59</v>
      </c>
      <c r="I66" s="1">
        <v>1956.26</v>
      </c>
      <c r="J66" s="1">
        <v>37867</v>
      </c>
      <c r="K66" s="1">
        <v>3402</v>
      </c>
      <c r="L66" s="1">
        <v>382</v>
      </c>
      <c r="M66" s="1">
        <v>5</v>
      </c>
      <c r="N66" s="1">
        <v>8.9840758439999995</v>
      </c>
      <c r="O66" s="1">
        <v>11.22868901</v>
      </c>
      <c r="P66" s="1">
        <f t="shared" si="0"/>
        <v>5</v>
      </c>
    </row>
    <row r="67" spans="1:21" ht="14.25" customHeight="1" x14ac:dyDescent="0.35">
      <c r="A67" s="1" t="s">
        <v>155</v>
      </c>
      <c r="B67" s="3">
        <v>45477</v>
      </c>
      <c r="C67" s="1" t="s">
        <v>61</v>
      </c>
      <c r="D67" s="1">
        <v>48</v>
      </c>
      <c r="E67" s="1" t="s">
        <v>20</v>
      </c>
      <c r="F67" s="1" t="s">
        <v>27</v>
      </c>
      <c r="G67" s="1" t="s">
        <v>39</v>
      </c>
      <c r="H67" s="1" t="s">
        <v>23</v>
      </c>
      <c r="I67" s="1">
        <v>168.77</v>
      </c>
      <c r="J67" s="1">
        <v>27081</v>
      </c>
      <c r="K67" s="1">
        <v>2077</v>
      </c>
      <c r="L67" s="1">
        <v>32</v>
      </c>
      <c r="N67" s="1">
        <v>7.6695838409999997</v>
      </c>
      <c r="O67" s="1">
        <v>1.5406836779999999</v>
      </c>
      <c r="P67" s="1">
        <f t="shared" si="0"/>
        <v>3</v>
      </c>
    </row>
    <row r="68" spans="1:21" ht="14.25" customHeight="1" x14ac:dyDescent="0.35">
      <c r="A68" s="1" t="s">
        <v>156</v>
      </c>
      <c r="B68" s="3">
        <v>45521</v>
      </c>
      <c r="C68" s="1" t="s">
        <v>157</v>
      </c>
      <c r="D68" s="1">
        <v>31</v>
      </c>
      <c r="E68" s="1" t="s">
        <v>20</v>
      </c>
      <c r="F68" s="1" t="s">
        <v>38</v>
      </c>
      <c r="G68" s="1" t="s">
        <v>39</v>
      </c>
      <c r="H68" s="1" t="s">
        <v>59</v>
      </c>
      <c r="I68" s="1">
        <v>661.87</v>
      </c>
      <c r="J68" s="1">
        <v>11233</v>
      </c>
      <c r="K68" s="1">
        <v>824</v>
      </c>
      <c r="L68" s="1">
        <v>10</v>
      </c>
      <c r="M68" s="1">
        <v>2</v>
      </c>
      <c r="N68" s="1">
        <v>7.3355292439999999</v>
      </c>
      <c r="O68" s="1">
        <v>1.213592233</v>
      </c>
      <c r="P68" s="1">
        <f t="shared" si="0"/>
        <v>2</v>
      </c>
    </row>
    <row r="69" spans="1:21" ht="14.25" customHeight="1" x14ac:dyDescent="0.35">
      <c r="A69" s="1" t="s">
        <v>158</v>
      </c>
      <c r="B69" s="3">
        <v>45621</v>
      </c>
      <c r="C69" s="1" t="s">
        <v>159</v>
      </c>
      <c r="D69" s="1">
        <v>23</v>
      </c>
      <c r="E69" s="1" t="s">
        <v>32</v>
      </c>
      <c r="F69" s="1" t="s">
        <v>54</v>
      </c>
      <c r="G69" s="1" t="s">
        <v>22</v>
      </c>
      <c r="H69" s="1" t="s">
        <v>59</v>
      </c>
      <c r="I69" s="1">
        <v>1911.99</v>
      </c>
      <c r="J69" s="1">
        <v>25029</v>
      </c>
      <c r="K69" s="1">
        <v>4641</v>
      </c>
      <c r="L69" s="1">
        <v>169</v>
      </c>
      <c r="M69" s="1">
        <v>3</v>
      </c>
      <c r="N69" s="1">
        <v>18.542490709999999</v>
      </c>
      <c r="O69" s="1">
        <v>3.6414565830000001</v>
      </c>
      <c r="P69" s="1">
        <f t="shared" si="0"/>
        <v>3</v>
      </c>
    </row>
    <row r="70" spans="1:21" ht="14.25" customHeight="1" x14ac:dyDescent="0.35">
      <c r="A70" s="1" t="s">
        <v>160</v>
      </c>
      <c r="B70" s="3">
        <v>45422</v>
      </c>
      <c r="C70" s="1" t="s">
        <v>78</v>
      </c>
      <c r="D70" s="1">
        <v>57</v>
      </c>
      <c r="E70" s="1" t="s">
        <v>20</v>
      </c>
      <c r="F70" s="1" t="s">
        <v>21</v>
      </c>
      <c r="G70" s="1" t="s">
        <v>43</v>
      </c>
      <c r="H70" s="1" t="s">
        <v>33</v>
      </c>
      <c r="I70" s="1">
        <v>110.41</v>
      </c>
      <c r="J70" s="1">
        <v>5090</v>
      </c>
      <c r="K70" s="1">
        <v>3051</v>
      </c>
      <c r="L70" s="1">
        <v>27</v>
      </c>
      <c r="M70" s="1">
        <v>5</v>
      </c>
      <c r="N70" s="1">
        <v>59.941060899999997</v>
      </c>
      <c r="O70" s="1">
        <v>0.88495575199999998</v>
      </c>
      <c r="P70" s="1">
        <f t="shared" si="0"/>
        <v>5</v>
      </c>
    </row>
    <row r="71" spans="1:21" ht="14.25" customHeight="1" x14ac:dyDescent="0.35">
      <c r="A71" s="1" t="s">
        <v>161</v>
      </c>
      <c r="B71" s="3">
        <v>45375</v>
      </c>
      <c r="C71" s="1" t="s">
        <v>157</v>
      </c>
      <c r="D71" s="1">
        <v>18</v>
      </c>
      <c r="E71" s="1" t="s">
        <v>26</v>
      </c>
      <c r="F71" s="1" t="s">
        <v>21</v>
      </c>
      <c r="G71" s="1" t="s">
        <v>28</v>
      </c>
      <c r="H71" s="1" t="s">
        <v>33</v>
      </c>
      <c r="I71" s="1">
        <v>1409.27</v>
      </c>
      <c r="J71" s="1">
        <v>37239</v>
      </c>
      <c r="K71" s="1">
        <v>2554</v>
      </c>
      <c r="L71" s="1">
        <v>347</v>
      </c>
      <c r="N71" s="1">
        <v>6.8584011389999997</v>
      </c>
      <c r="O71" s="1">
        <v>13.58653093</v>
      </c>
      <c r="P71" s="1">
        <f t="shared" si="0"/>
        <v>3</v>
      </c>
    </row>
    <row r="72" spans="1:21" ht="14.25" customHeight="1" x14ac:dyDescent="0.35">
      <c r="A72" s="1" t="s">
        <v>162</v>
      </c>
      <c r="B72" s="3">
        <v>45313</v>
      </c>
      <c r="C72" s="1" t="s">
        <v>163</v>
      </c>
      <c r="D72" s="1">
        <v>60</v>
      </c>
      <c r="E72" s="1" t="s">
        <v>20</v>
      </c>
      <c r="F72" s="1" t="s">
        <v>54</v>
      </c>
      <c r="G72" s="1" t="s">
        <v>43</v>
      </c>
      <c r="H72" s="1" t="s">
        <v>29</v>
      </c>
      <c r="I72" s="1">
        <v>1082.1300000000001</v>
      </c>
      <c r="J72" s="1">
        <v>13277</v>
      </c>
      <c r="K72" s="1">
        <v>4785</v>
      </c>
      <c r="L72" s="1">
        <v>252</v>
      </c>
      <c r="M72" s="1">
        <v>1</v>
      </c>
      <c r="N72" s="1">
        <v>36.039768019999997</v>
      </c>
      <c r="O72" s="1">
        <v>5.2664576800000003</v>
      </c>
      <c r="P72" s="1">
        <f t="shared" si="0"/>
        <v>1</v>
      </c>
    </row>
    <row r="73" spans="1:21" ht="14.25" customHeight="1" x14ac:dyDescent="0.35">
      <c r="A73" s="1" t="s">
        <v>164</v>
      </c>
      <c r="B73" s="3">
        <v>45411</v>
      </c>
      <c r="C73" s="1" t="s">
        <v>89</v>
      </c>
      <c r="D73" s="1">
        <v>62</v>
      </c>
      <c r="E73" s="1" t="s">
        <v>26</v>
      </c>
      <c r="F73" s="1" t="s">
        <v>47</v>
      </c>
      <c r="G73" s="1" t="s">
        <v>58</v>
      </c>
      <c r="H73" s="1" t="s">
        <v>59</v>
      </c>
      <c r="I73" s="1">
        <v>1211.99</v>
      </c>
      <c r="J73" s="1">
        <v>42354</v>
      </c>
      <c r="K73" s="1">
        <v>2551</v>
      </c>
      <c r="L73" s="1">
        <v>8</v>
      </c>
      <c r="N73" s="1">
        <v>6.0230438680000002</v>
      </c>
      <c r="O73" s="1">
        <v>0.31360250899999997</v>
      </c>
      <c r="P73" s="1">
        <f t="shared" si="0"/>
        <v>3</v>
      </c>
    </row>
    <row r="74" spans="1:21" ht="14.25" customHeight="1" x14ac:dyDescent="0.35">
      <c r="A74" s="1" t="s">
        <v>165</v>
      </c>
      <c r="B74" s="3">
        <v>45359</v>
      </c>
      <c r="C74" s="1" t="s">
        <v>106</v>
      </c>
      <c r="D74" s="1">
        <v>33</v>
      </c>
      <c r="E74" s="1" t="s">
        <v>20</v>
      </c>
      <c r="F74" s="1" t="s">
        <v>54</v>
      </c>
      <c r="G74" s="1" t="s">
        <v>22</v>
      </c>
      <c r="H74" s="1" t="s">
        <v>23</v>
      </c>
      <c r="I74" s="1">
        <v>191.91</v>
      </c>
      <c r="J74" s="1">
        <v>7346</v>
      </c>
      <c r="K74" s="1">
        <v>3172</v>
      </c>
      <c r="L74" s="1">
        <v>137</v>
      </c>
      <c r="M74" s="1">
        <v>5</v>
      </c>
      <c r="N74" s="1">
        <v>43.17996188</v>
      </c>
      <c r="O74" s="1">
        <v>4.3190416139999996</v>
      </c>
      <c r="P74" s="1">
        <f t="shared" si="0"/>
        <v>5</v>
      </c>
    </row>
    <row r="75" spans="1:21" ht="14.25" customHeight="1" x14ac:dyDescent="0.35">
      <c r="A75" s="1" t="s">
        <v>166</v>
      </c>
      <c r="B75" s="3">
        <v>45495</v>
      </c>
      <c r="C75" s="1" t="s">
        <v>167</v>
      </c>
      <c r="E75" s="1" t="s">
        <v>32</v>
      </c>
      <c r="G75" s="1" t="s">
        <v>43</v>
      </c>
      <c r="H75" s="1" t="s">
        <v>29</v>
      </c>
      <c r="I75" s="1">
        <v>65.67</v>
      </c>
      <c r="J75" s="1">
        <v>4948</v>
      </c>
      <c r="K75" s="1">
        <v>524</v>
      </c>
      <c r="L75" s="1">
        <v>10</v>
      </c>
      <c r="N75" s="1">
        <v>10.59013743</v>
      </c>
      <c r="O75" s="1">
        <v>1.908396947</v>
      </c>
      <c r="P75" s="1">
        <f t="shared" si="0"/>
        <v>3</v>
      </c>
    </row>
    <row r="76" spans="1:21" ht="14.25" customHeight="1" x14ac:dyDescent="0.35">
      <c r="A76" s="1" t="s">
        <v>168</v>
      </c>
      <c r="B76" s="3">
        <v>45339</v>
      </c>
      <c r="C76" s="1" t="s">
        <v>154</v>
      </c>
      <c r="D76" s="1">
        <v>62</v>
      </c>
      <c r="E76" s="1" t="s">
        <v>20</v>
      </c>
      <c r="F76" s="1" t="s">
        <v>54</v>
      </c>
      <c r="G76" s="1" t="s">
        <v>58</v>
      </c>
      <c r="H76" s="1" t="s">
        <v>59</v>
      </c>
      <c r="I76" s="1">
        <v>676.43</v>
      </c>
      <c r="J76" s="1">
        <v>14970</v>
      </c>
      <c r="K76" s="1">
        <v>1249</v>
      </c>
      <c r="L76" s="1">
        <v>22</v>
      </c>
      <c r="M76" s="1">
        <v>5</v>
      </c>
      <c r="N76" s="1">
        <v>8.3433533729999994</v>
      </c>
      <c r="O76" s="1">
        <v>1.7614091270000001</v>
      </c>
      <c r="P76" s="1">
        <f t="shared" si="0"/>
        <v>5</v>
      </c>
    </row>
    <row r="77" spans="1:21" ht="14.25" customHeight="1" x14ac:dyDescent="0.35">
      <c r="A77" s="1" t="s">
        <v>169</v>
      </c>
      <c r="B77" s="3">
        <v>45564</v>
      </c>
      <c r="C77" s="1" t="s">
        <v>49</v>
      </c>
      <c r="D77" s="1">
        <v>31</v>
      </c>
      <c r="E77" s="1" t="s">
        <v>26</v>
      </c>
      <c r="F77" s="1" t="s">
        <v>27</v>
      </c>
      <c r="G77" s="1" t="s">
        <v>58</v>
      </c>
      <c r="H77" s="1" t="s">
        <v>29</v>
      </c>
      <c r="I77" s="1">
        <v>830.1</v>
      </c>
      <c r="J77" s="1">
        <v>19575</v>
      </c>
      <c r="K77" s="1">
        <v>1786</v>
      </c>
      <c r="L77" s="1">
        <v>265</v>
      </c>
      <c r="M77" s="1">
        <v>4</v>
      </c>
      <c r="N77" s="1">
        <v>9.1238825030000008</v>
      </c>
      <c r="O77" s="1">
        <v>14.83762598</v>
      </c>
      <c r="P77" s="1">
        <f t="shared" si="0"/>
        <v>4</v>
      </c>
    </row>
    <row r="78" spans="1:21" ht="14.25" customHeight="1" x14ac:dyDescent="0.35">
      <c r="A78" s="1" t="s">
        <v>170</v>
      </c>
      <c r="B78" s="3">
        <v>45304</v>
      </c>
      <c r="C78" s="1" t="s">
        <v>19</v>
      </c>
      <c r="D78" s="1">
        <v>50</v>
      </c>
      <c r="E78" s="1" t="s">
        <v>26</v>
      </c>
      <c r="F78" s="1" t="s">
        <v>54</v>
      </c>
      <c r="G78" s="1" t="s">
        <v>43</v>
      </c>
      <c r="H78" s="1" t="s">
        <v>23</v>
      </c>
      <c r="I78" s="1">
        <v>1279.9100000000001</v>
      </c>
      <c r="J78" s="1">
        <v>22927</v>
      </c>
      <c r="K78" s="1">
        <v>4900</v>
      </c>
      <c r="L78" s="1">
        <v>375</v>
      </c>
      <c r="M78" s="1">
        <v>5</v>
      </c>
      <c r="N78" s="1">
        <v>21.372181269999999</v>
      </c>
      <c r="O78" s="1">
        <v>7.653061224</v>
      </c>
      <c r="P78" s="1">
        <f t="shared" si="0"/>
        <v>5</v>
      </c>
    </row>
    <row r="79" spans="1:21" ht="14.25" customHeight="1" x14ac:dyDescent="0.35">
      <c r="A79" s="1" t="s">
        <v>171</v>
      </c>
      <c r="B79" s="3">
        <v>45641</v>
      </c>
      <c r="C79" s="1" t="s">
        <v>172</v>
      </c>
      <c r="D79" s="1">
        <v>50</v>
      </c>
      <c r="E79" s="1" t="s">
        <v>32</v>
      </c>
      <c r="F79" s="1" t="s">
        <v>54</v>
      </c>
      <c r="G79" s="1" t="s">
        <v>43</v>
      </c>
      <c r="H79" s="1" t="s">
        <v>23</v>
      </c>
      <c r="I79" s="1">
        <v>1108.8599999999999</v>
      </c>
      <c r="J79" s="1">
        <v>35586</v>
      </c>
      <c r="K79" s="1">
        <v>3331</v>
      </c>
      <c r="L79" s="1">
        <v>170</v>
      </c>
      <c r="M79" s="1">
        <v>2</v>
      </c>
      <c r="N79" s="1">
        <v>9.3604226379999993</v>
      </c>
      <c r="O79" s="1">
        <v>5.1035725010000004</v>
      </c>
      <c r="P79" s="1">
        <f t="shared" si="0"/>
        <v>2</v>
      </c>
    </row>
    <row r="80" spans="1:21" ht="14.25" customHeight="1" x14ac:dyDescent="0.35">
      <c r="A80" s="1" t="s">
        <v>173</v>
      </c>
      <c r="B80" s="3">
        <v>45399</v>
      </c>
      <c r="C80" s="1" t="s">
        <v>123</v>
      </c>
      <c r="D80" s="1">
        <v>29</v>
      </c>
      <c r="E80" s="1" t="s">
        <v>32</v>
      </c>
      <c r="F80" s="1" t="s">
        <v>42</v>
      </c>
      <c r="G80" s="1" t="s">
        <v>58</v>
      </c>
      <c r="H80" s="1" t="s">
        <v>29</v>
      </c>
      <c r="I80" s="1">
        <v>166.91</v>
      </c>
      <c r="J80" s="1">
        <v>22637</v>
      </c>
      <c r="K80" s="1">
        <v>410</v>
      </c>
      <c r="L80" s="1">
        <v>109</v>
      </c>
      <c r="N80" s="1">
        <v>1.8111940630000001</v>
      </c>
      <c r="O80" s="1">
        <v>26.585365849999999</v>
      </c>
      <c r="P80" s="1">
        <f t="shared" si="0"/>
        <v>3</v>
      </c>
    </row>
    <row r="81" spans="1:16" ht="14.25" customHeight="1" x14ac:dyDescent="0.35">
      <c r="A81" s="1" t="s">
        <v>174</v>
      </c>
      <c r="B81" s="3">
        <v>45525</v>
      </c>
      <c r="C81" s="1" t="s">
        <v>175</v>
      </c>
      <c r="D81" s="1">
        <v>61</v>
      </c>
      <c r="E81" s="1" t="s">
        <v>32</v>
      </c>
      <c r="F81" s="1" t="s">
        <v>38</v>
      </c>
      <c r="G81" s="1" t="s">
        <v>22</v>
      </c>
      <c r="H81" s="1" t="s">
        <v>59</v>
      </c>
      <c r="I81" s="1">
        <v>154.5</v>
      </c>
      <c r="J81" s="1">
        <v>3795</v>
      </c>
      <c r="K81" s="1">
        <v>3554</v>
      </c>
      <c r="L81" s="1">
        <v>121</v>
      </c>
      <c r="N81" s="1">
        <v>93.649538870000001</v>
      </c>
      <c r="O81" s="1">
        <v>3.4046145189999999</v>
      </c>
      <c r="P81" s="1">
        <f t="shared" si="0"/>
        <v>3</v>
      </c>
    </row>
    <row r="82" spans="1:16" ht="14.25" customHeight="1" x14ac:dyDescent="0.35">
      <c r="A82" s="1" t="s">
        <v>176</v>
      </c>
      <c r="B82" s="3">
        <v>45624</v>
      </c>
      <c r="C82" s="1" t="s">
        <v>135</v>
      </c>
      <c r="E82" s="1" t="s">
        <v>20</v>
      </c>
      <c r="G82" s="1" t="s">
        <v>22</v>
      </c>
      <c r="H82" s="1" t="s">
        <v>23</v>
      </c>
      <c r="I82" s="1">
        <v>1350.27</v>
      </c>
      <c r="J82" s="1">
        <v>39417</v>
      </c>
      <c r="K82" s="1">
        <v>3112</v>
      </c>
      <c r="L82" s="1">
        <v>135</v>
      </c>
      <c r="N82" s="1">
        <v>7.8950706549999996</v>
      </c>
      <c r="O82" s="1">
        <v>4.3380462719999997</v>
      </c>
      <c r="P82" s="1">
        <f t="shared" si="0"/>
        <v>3</v>
      </c>
    </row>
    <row r="83" spans="1:16" ht="14.25" customHeight="1" x14ac:dyDescent="0.35">
      <c r="A83" s="1" t="s">
        <v>177</v>
      </c>
      <c r="B83" s="3">
        <v>45615</v>
      </c>
      <c r="C83" s="1" t="s">
        <v>178</v>
      </c>
      <c r="D83" s="1">
        <v>50</v>
      </c>
      <c r="E83" s="1" t="s">
        <v>26</v>
      </c>
      <c r="F83" s="1" t="s">
        <v>54</v>
      </c>
      <c r="G83" s="1" t="s">
        <v>58</v>
      </c>
      <c r="H83" s="1" t="s">
        <v>29</v>
      </c>
      <c r="I83" s="1">
        <v>1695.07</v>
      </c>
      <c r="J83" s="1">
        <v>20373</v>
      </c>
      <c r="K83" s="1">
        <v>3361</v>
      </c>
      <c r="L83" s="1">
        <v>137</v>
      </c>
      <c r="N83" s="1">
        <v>16.497324890000002</v>
      </c>
      <c r="O83" s="1">
        <v>4.076167807</v>
      </c>
      <c r="P83" s="1">
        <f t="shared" si="0"/>
        <v>3</v>
      </c>
    </row>
    <row r="84" spans="1:16" ht="14.25" customHeight="1" x14ac:dyDescent="0.35">
      <c r="A84" s="1" t="s">
        <v>179</v>
      </c>
      <c r="B84" s="3">
        <v>45402</v>
      </c>
      <c r="C84" s="1" t="s">
        <v>92</v>
      </c>
      <c r="D84" s="1">
        <v>57</v>
      </c>
      <c r="E84" s="1" t="s">
        <v>26</v>
      </c>
      <c r="F84" s="1" t="s">
        <v>38</v>
      </c>
      <c r="G84" s="1" t="s">
        <v>28</v>
      </c>
      <c r="H84" s="1" t="s">
        <v>33</v>
      </c>
      <c r="I84" s="1">
        <v>998.2</v>
      </c>
      <c r="J84" s="1">
        <v>25603</v>
      </c>
      <c r="K84" s="1">
        <v>1337</v>
      </c>
      <c r="L84" s="1">
        <v>45</v>
      </c>
      <c r="N84" s="1">
        <v>5.2220442919999996</v>
      </c>
      <c r="O84" s="1">
        <v>3.3657442030000002</v>
      </c>
      <c r="P84" s="1">
        <f t="shared" si="0"/>
        <v>3</v>
      </c>
    </row>
    <row r="85" spans="1:16" ht="14.25" customHeight="1" x14ac:dyDescent="0.35">
      <c r="A85" s="1" t="s">
        <v>180</v>
      </c>
      <c r="B85" s="3">
        <v>45434</v>
      </c>
      <c r="C85" s="1" t="s">
        <v>181</v>
      </c>
      <c r="D85" s="1">
        <v>24</v>
      </c>
      <c r="E85" s="1" t="s">
        <v>20</v>
      </c>
      <c r="F85" s="1" t="s">
        <v>27</v>
      </c>
      <c r="G85" s="1" t="s">
        <v>28</v>
      </c>
      <c r="H85" s="1" t="s">
        <v>29</v>
      </c>
      <c r="I85" s="1">
        <v>512.29999999999995</v>
      </c>
      <c r="J85" s="1">
        <v>45407</v>
      </c>
      <c r="K85" s="1">
        <v>609</v>
      </c>
      <c r="L85" s="1">
        <v>196</v>
      </c>
      <c r="M85" s="1">
        <v>2</v>
      </c>
      <c r="N85" s="1">
        <v>1.3412028979999999</v>
      </c>
      <c r="O85" s="1">
        <v>32.183908049999999</v>
      </c>
      <c r="P85" s="1">
        <f t="shared" si="0"/>
        <v>2</v>
      </c>
    </row>
    <row r="86" spans="1:16" ht="14.25" customHeight="1" x14ac:dyDescent="0.35">
      <c r="A86" s="1" t="s">
        <v>182</v>
      </c>
      <c r="B86" s="3">
        <v>45416</v>
      </c>
      <c r="C86" s="1" t="s">
        <v>183</v>
      </c>
      <c r="D86" s="1">
        <v>21</v>
      </c>
      <c r="E86" s="1" t="s">
        <v>32</v>
      </c>
      <c r="F86" s="1" t="s">
        <v>27</v>
      </c>
      <c r="G86" s="1" t="s">
        <v>39</v>
      </c>
      <c r="H86" s="1" t="s">
        <v>33</v>
      </c>
      <c r="I86" s="1">
        <v>826.62</v>
      </c>
      <c r="J86" s="1">
        <v>32518</v>
      </c>
      <c r="K86" s="1">
        <v>3074</v>
      </c>
      <c r="L86" s="1">
        <v>169</v>
      </c>
      <c r="M86" s="1">
        <v>3</v>
      </c>
      <c r="N86" s="1">
        <v>9.4532259060000001</v>
      </c>
      <c r="O86" s="1">
        <v>5.4977228370000004</v>
      </c>
      <c r="P86" s="1">
        <f t="shared" si="0"/>
        <v>3</v>
      </c>
    </row>
    <row r="87" spans="1:16" ht="14.25" customHeight="1" x14ac:dyDescent="0.35">
      <c r="A87" s="1" t="s">
        <v>184</v>
      </c>
      <c r="B87" s="3">
        <v>45568</v>
      </c>
      <c r="C87" s="1" t="s">
        <v>185</v>
      </c>
      <c r="D87" s="1">
        <v>56</v>
      </c>
      <c r="E87" s="1" t="s">
        <v>32</v>
      </c>
      <c r="F87" s="1" t="s">
        <v>42</v>
      </c>
      <c r="G87" s="1" t="s">
        <v>43</v>
      </c>
      <c r="H87" s="1" t="s">
        <v>59</v>
      </c>
      <c r="I87" s="1">
        <v>162.76</v>
      </c>
      <c r="J87" s="1">
        <v>26231</v>
      </c>
      <c r="K87" s="1">
        <v>2329</v>
      </c>
      <c r="L87" s="1">
        <v>82</v>
      </c>
      <c r="M87" s="1">
        <v>3</v>
      </c>
      <c r="N87" s="1">
        <v>8.8788075180000003</v>
      </c>
      <c r="O87" s="1">
        <v>3.5208243879999999</v>
      </c>
      <c r="P87" s="1">
        <f t="shared" si="0"/>
        <v>3</v>
      </c>
    </row>
    <row r="88" spans="1:16" ht="14.25" customHeight="1" x14ac:dyDescent="0.35">
      <c r="A88" s="1" t="s">
        <v>186</v>
      </c>
      <c r="B88" s="3">
        <v>45601</v>
      </c>
      <c r="C88" s="1" t="s">
        <v>172</v>
      </c>
      <c r="D88" s="1">
        <v>48</v>
      </c>
      <c r="E88" s="1" t="s">
        <v>26</v>
      </c>
      <c r="F88" s="1" t="s">
        <v>47</v>
      </c>
      <c r="G88" s="1" t="s">
        <v>43</v>
      </c>
      <c r="H88" s="1" t="s">
        <v>29</v>
      </c>
      <c r="I88" s="1">
        <v>1452.05</v>
      </c>
      <c r="J88" s="1">
        <v>32061</v>
      </c>
      <c r="K88" s="1">
        <v>1216</v>
      </c>
      <c r="L88" s="1">
        <v>93</v>
      </c>
      <c r="M88" s="1">
        <v>5</v>
      </c>
      <c r="N88" s="1">
        <v>3.792770032</v>
      </c>
      <c r="O88" s="1">
        <v>7.6480263160000002</v>
      </c>
      <c r="P88" s="1">
        <f t="shared" si="0"/>
        <v>5</v>
      </c>
    </row>
    <row r="89" spans="1:16" ht="14.25" customHeight="1" x14ac:dyDescent="0.35">
      <c r="A89" s="1" t="s">
        <v>187</v>
      </c>
      <c r="B89" s="3">
        <v>45607</v>
      </c>
      <c r="C89" s="1" t="s">
        <v>188</v>
      </c>
      <c r="E89" s="1" t="s">
        <v>32</v>
      </c>
      <c r="G89" s="1" t="s">
        <v>28</v>
      </c>
      <c r="H89" s="1" t="s">
        <v>33</v>
      </c>
      <c r="I89" s="1">
        <v>488.2</v>
      </c>
      <c r="J89" s="1">
        <v>32198</v>
      </c>
      <c r="K89" s="1">
        <v>2749</v>
      </c>
      <c r="L89" s="1">
        <v>105</v>
      </c>
      <c r="N89" s="1">
        <v>8.5377973790000006</v>
      </c>
      <c r="O89" s="1">
        <v>3.8195707529999998</v>
      </c>
      <c r="P89" s="1">
        <f t="shared" si="0"/>
        <v>3</v>
      </c>
    </row>
    <row r="90" spans="1:16" ht="14.25" customHeight="1" x14ac:dyDescent="0.35">
      <c r="A90" s="1" t="s">
        <v>189</v>
      </c>
      <c r="B90" s="3">
        <v>45327</v>
      </c>
      <c r="C90" s="1" t="s">
        <v>190</v>
      </c>
      <c r="D90" s="1">
        <v>45</v>
      </c>
      <c r="E90" s="1" t="s">
        <v>32</v>
      </c>
      <c r="F90" s="1" t="s">
        <v>38</v>
      </c>
      <c r="G90" s="1" t="s">
        <v>43</v>
      </c>
      <c r="H90" s="1" t="s">
        <v>59</v>
      </c>
      <c r="I90" s="1">
        <v>976.33</v>
      </c>
      <c r="J90" s="1">
        <v>34635</v>
      </c>
      <c r="K90" s="1">
        <v>472</v>
      </c>
      <c r="L90" s="1">
        <v>74</v>
      </c>
      <c r="M90" s="1">
        <v>4</v>
      </c>
      <c r="N90" s="1">
        <v>1.3627833119999999</v>
      </c>
      <c r="O90" s="1">
        <v>15.677966100000001</v>
      </c>
      <c r="P90" s="1">
        <f t="shared" si="0"/>
        <v>4</v>
      </c>
    </row>
    <row r="91" spans="1:16" ht="14.25" customHeight="1" x14ac:dyDescent="0.35">
      <c r="A91" s="1" t="s">
        <v>191</v>
      </c>
      <c r="B91" s="3">
        <v>45596</v>
      </c>
      <c r="C91" s="1" t="s">
        <v>192</v>
      </c>
      <c r="D91" s="1">
        <v>58</v>
      </c>
      <c r="E91" s="1" t="s">
        <v>26</v>
      </c>
      <c r="F91" s="1" t="s">
        <v>42</v>
      </c>
      <c r="G91" s="1" t="s">
        <v>39</v>
      </c>
      <c r="H91" s="1" t="s">
        <v>23</v>
      </c>
      <c r="I91" s="1">
        <v>615.13</v>
      </c>
      <c r="J91" s="1">
        <v>23387</v>
      </c>
      <c r="K91" s="1">
        <v>744</v>
      </c>
      <c r="L91" s="1">
        <v>275</v>
      </c>
      <c r="M91" s="1">
        <v>5</v>
      </c>
      <c r="N91" s="1">
        <v>3.1812545430000001</v>
      </c>
      <c r="O91" s="1">
        <v>36.962365589999997</v>
      </c>
      <c r="P91" s="1">
        <f t="shared" si="0"/>
        <v>5</v>
      </c>
    </row>
    <row r="92" spans="1:16" ht="14.25" customHeight="1" x14ac:dyDescent="0.35">
      <c r="A92" s="1" t="s">
        <v>193</v>
      </c>
      <c r="B92" s="3">
        <v>45552</v>
      </c>
      <c r="C92" s="1" t="s">
        <v>61</v>
      </c>
      <c r="D92" s="1">
        <v>48</v>
      </c>
      <c r="E92" s="1" t="s">
        <v>32</v>
      </c>
      <c r="F92" s="1" t="s">
        <v>42</v>
      </c>
      <c r="G92" s="1" t="s">
        <v>58</v>
      </c>
      <c r="H92" s="1" t="s">
        <v>23</v>
      </c>
      <c r="I92" s="1">
        <v>770.28</v>
      </c>
      <c r="J92" s="1">
        <v>44596</v>
      </c>
      <c r="K92" s="1">
        <v>1852</v>
      </c>
      <c r="L92" s="1">
        <v>172</v>
      </c>
      <c r="M92" s="1">
        <v>5</v>
      </c>
      <c r="N92" s="1">
        <v>4.1528388200000004</v>
      </c>
      <c r="O92" s="1">
        <v>9.2872570190000001</v>
      </c>
      <c r="P92" s="1">
        <f t="shared" si="0"/>
        <v>5</v>
      </c>
    </row>
    <row r="93" spans="1:16" ht="14.25" customHeight="1" x14ac:dyDescent="0.35">
      <c r="A93" s="1" t="s">
        <v>194</v>
      </c>
      <c r="B93" s="3">
        <v>45591</v>
      </c>
      <c r="C93" s="1" t="s">
        <v>178</v>
      </c>
      <c r="D93" s="1">
        <v>44</v>
      </c>
      <c r="E93" s="1" t="s">
        <v>32</v>
      </c>
      <c r="F93" s="1" t="s">
        <v>27</v>
      </c>
      <c r="G93" s="1" t="s">
        <v>39</v>
      </c>
      <c r="H93" s="1" t="s">
        <v>23</v>
      </c>
      <c r="I93" s="1">
        <v>1041.72</v>
      </c>
      <c r="J93" s="1">
        <v>44592</v>
      </c>
      <c r="K93" s="1">
        <v>3671</v>
      </c>
      <c r="L93" s="1">
        <v>166</v>
      </c>
      <c r="M93" s="1">
        <v>4</v>
      </c>
      <c r="N93" s="1">
        <v>8.2324183709999996</v>
      </c>
      <c r="O93" s="1">
        <v>4.5219286299999997</v>
      </c>
      <c r="P93" s="1">
        <f t="shared" si="0"/>
        <v>4</v>
      </c>
    </row>
    <row r="94" spans="1:16" ht="14.25" customHeight="1" x14ac:dyDescent="0.35">
      <c r="A94" s="1" t="s">
        <v>195</v>
      </c>
      <c r="B94" s="3">
        <v>45542</v>
      </c>
      <c r="C94" s="1" t="s">
        <v>196</v>
      </c>
      <c r="D94" s="1">
        <v>64</v>
      </c>
      <c r="E94" s="1" t="s">
        <v>26</v>
      </c>
      <c r="F94" s="1" t="s">
        <v>38</v>
      </c>
      <c r="G94" s="1" t="s">
        <v>43</v>
      </c>
      <c r="H94" s="1" t="s">
        <v>29</v>
      </c>
      <c r="I94" s="1">
        <v>421.11</v>
      </c>
      <c r="J94" s="1">
        <v>31096</v>
      </c>
      <c r="K94" s="1">
        <v>4306</v>
      </c>
      <c r="L94" s="1">
        <v>203</v>
      </c>
      <c r="M94" s="1">
        <v>5</v>
      </c>
      <c r="N94" s="1">
        <v>13.84744019</v>
      </c>
      <c r="O94" s="1">
        <v>4.7143520670000001</v>
      </c>
      <c r="P94" s="1">
        <f t="shared" si="0"/>
        <v>5</v>
      </c>
    </row>
    <row r="95" spans="1:16" ht="14.25" customHeight="1" x14ac:dyDescent="0.35">
      <c r="A95" s="1" t="s">
        <v>197</v>
      </c>
      <c r="B95" s="3">
        <v>45346</v>
      </c>
      <c r="C95" s="1" t="s">
        <v>198</v>
      </c>
      <c r="D95" s="1">
        <v>59</v>
      </c>
      <c r="E95" s="1" t="s">
        <v>26</v>
      </c>
      <c r="F95" s="1" t="s">
        <v>38</v>
      </c>
      <c r="G95" s="1" t="s">
        <v>22</v>
      </c>
      <c r="H95" s="1" t="s">
        <v>33</v>
      </c>
      <c r="I95" s="1">
        <v>1468.02</v>
      </c>
      <c r="J95" s="1">
        <v>24815</v>
      </c>
      <c r="K95" s="1">
        <v>3456</v>
      </c>
      <c r="L95" s="1">
        <v>76</v>
      </c>
      <c r="M95" s="1">
        <v>2</v>
      </c>
      <c r="N95" s="1">
        <v>13.92706025</v>
      </c>
      <c r="O95" s="1">
        <v>2.1990740739999999</v>
      </c>
      <c r="P95" s="1">
        <f t="shared" si="0"/>
        <v>2</v>
      </c>
    </row>
    <row r="96" spans="1:16" ht="14.25" customHeight="1" x14ac:dyDescent="0.35">
      <c r="A96" s="1" t="s">
        <v>199</v>
      </c>
      <c r="B96" s="3">
        <v>45335</v>
      </c>
      <c r="C96" s="1" t="s">
        <v>200</v>
      </c>
      <c r="D96" s="1">
        <v>44</v>
      </c>
      <c r="E96" s="1" t="s">
        <v>32</v>
      </c>
      <c r="F96" s="1" t="s">
        <v>21</v>
      </c>
      <c r="G96" s="1" t="s">
        <v>22</v>
      </c>
      <c r="H96" s="1" t="s">
        <v>33</v>
      </c>
      <c r="I96" s="1">
        <v>259.36</v>
      </c>
      <c r="J96" s="1">
        <v>40912</v>
      </c>
      <c r="K96" s="1">
        <v>3299</v>
      </c>
      <c r="L96" s="1">
        <v>371</v>
      </c>
      <c r="M96" s="1">
        <v>3</v>
      </c>
      <c r="N96" s="1">
        <v>8.0636488069999999</v>
      </c>
      <c r="O96" s="1">
        <v>11.245832070000001</v>
      </c>
      <c r="P96" s="1">
        <f t="shared" si="0"/>
        <v>3</v>
      </c>
    </row>
    <row r="97" spans="1:21" ht="14.25" customHeight="1" x14ac:dyDescent="0.35">
      <c r="A97" s="1" t="s">
        <v>201</v>
      </c>
      <c r="B97" s="3">
        <v>45507</v>
      </c>
      <c r="C97" s="1" t="s">
        <v>202</v>
      </c>
      <c r="D97" s="1">
        <v>45</v>
      </c>
      <c r="E97" s="1" t="s">
        <v>32</v>
      </c>
      <c r="F97" s="1" t="s">
        <v>21</v>
      </c>
      <c r="G97" s="1" t="s">
        <v>43</v>
      </c>
      <c r="H97" s="1" t="s">
        <v>33</v>
      </c>
      <c r="I97" s="1">
        <v>1526.56</v>
      </c>
      <c r="J97" s="1">
        <v>41500</v>
      </c>
      <c r="K97" s="1">
        <v>2791</v>
      </c>
      <c r="L97" s="1">
        <v>315</v>
      </c>
      <c r="M97" s="1">
        <v>5</v>
      </c>
      <c r="N97" s="1">
        <v>6.7253012050000001</v>
      </c>
      <c r="O97" s="1">
        <v>11.28627732</v>
      </c>
      <c r="P97" s="1">
        <f t="shared" si="0"/>
        <v>5</v>
      </c>
    </row>
    <row r="98" spans="1:21" ht="14.25" customHeight="1" x14ac:dyDescent="0.35">
      <c r="A98" s="1" t="s">
        <v>203</v>
      </c>
      <c r="B98" s="3">
        <v>45331</v>
      </c>
      <c r="C98" s="1" t="s">
        <v>204</v>
      </c>
      <c r="D98" s="1">
        <v>43</v>
      </c>
      <c r="E98" s="1" t="s">
        <v>32</v>
      </c>
      <c r="F98" s="1" t="s">
        <v>21</v>
      </c>
      <c r="G98" s="1" t="s">
        <v>22</v>
      </c>
      <c r="H98" s="1" t="s">
        <v>33</v>
      </c>
      <c r="I98" s="1">
        <v>140.01</v>
      </c>
      <c r="J98" s="1">
        <v>42074</v>
      </c>
      <c r="K98" s="1">
        <v>2387</v>
      </c>
      <c r="L98" s="1">
        <v>299</v>
      </c>
      <c r="M98" s="1">
        <v>3</v>
      </c>
      <c r="N98" s="1">
        <v>5.6733374530000003</v>
      </c>
      <c r="O98" s="1">
        <v>12.526183489999999</v>
      </c>
      <c r="P98" s="1">
        <f t="shared" si="0"/>
        <v>3</v>
      </c>
    </row>
    <row r="99" spans="1:21" ht="14.25" customHeight="1" x14ac:dyDescent="0.35">
      <c r="A99" s="1" t="s">
        <v>205</v>
      </c>
      <c r="B99" s="3">
        <v>45423</v>
      </c>
      <c r="C99" s="1" t="s">
        <v>108</v>
      </c>
      <c r="D99" s="1">
        <v>20</v>
      </c>
      <c r="E99" s="1" t="s">
        <v>32</v>
      </c>
      <c r="F99" s="1" t="s">
        <v>27</v>
      </c>
      <c r="G99" s="1" t="s">
        <v>28</v>
      </c>
      <c r="H99" s="1" t="s">
        <v>23</v>
      </c>
      <c r="I99" s="1">
        <v>993.51</v>
      </c>
      <c r="J99" s="1">
        <v>19930</v>
      </c>
      <c r="K99" s="1">
        <v>1681</v>
      </c>
      <c r="L99" s="1">
        <v>299</v>
      </c>
      <c r="N99" s="1">
        <v>8.4345208229999997</v>
      </c>
      <c r="O99" s="1">
        <v>17.78703153</v>
      </c>
      <c r="P99" s="1">
        <f t="shared" si="0"/>
        <v>3</v>
      </c>
    </row>
    <row r="100" spans="1:21" ht="14.25" customHeight="1" x14ac:dyDescent="0.35">
      <c r="A100" s="1" t="s">
        <v>206</v>
      </c>
      <c r="B100" s="3">
        <v>45627</v>
      </c>
      <c r="C100" s="1" t="s">
        <v>207</v>
      </c>
      <c r="D100" s="1">
        <v>39</v>
      </c>
      <c r="E100" s="1" t="s">
        <v>32</v>
      </c>
      <c r="F100" s="1" t="s">
        <v>54</v>
      </c>
      <c r="G100" s="1" t="s">
        <v>58</v>
      </c>
      <c r="H100" s="1" t="s">
        <v>33</v>
      </c>
      <c r="I100" s="1">
        <v>1203.5</v>
      </c>
      <c r="J100" s="1">
        <v>39872</v>
      </c>
      <c r="K100" s="1">
        <v>1246</v>
      </c>
      <c r="L100" s="1">
        <v>157</v>
      </c>
      <c r="M100" s="1">
        <v>2</v>
      </c>
      <c r="N100" s="1">
        <v>3.125</v>
      </c>
      <c r="O100" s="1">
        <v>12.60032103</v>
      </c>
      <c r="P100" s="1">
        <f t="shared" si="0"/>
        <v>2</v>
      </c>
    </row>
    <row r="101" spans="1:21" ht="14.25" customHeight="1" x14ac:dyDescent="0.35">
      <c r="A101" s="1" t="s">
        <v>208</v>
      </c>
      <c r="B101" s="3">
        <v>45577</v>
      </c>
      <c r="C101" s="1" t="s">
        <v>209</v>
      </c>
      <c r="D101" s="1">
        <v>62</v>
      </c>
      <c r="E101" s="1" t="s">
        <v>20</v>
      </c>
      <c r="F101" s="1" t="s">
        <v>21</v>
      </c>
      <c r="G101" s="1" t="s">
        <v>58</v>
      </c>
      <c r="H101" s="1" t="s">
        <v>33</v>
      </c>
      <c r="I101" s="1">
        <v>482.54</v>
      </c>
      <c r="J101" s="1">
        <v>10172</v>
      </c>
      <c r="K101" s="1">
        <v>2686</v>
      </c>
      <c r="L101" s="1">
        <v>254</v>
      </c>
      <c r="M101" s="1">
        <v>3</v>
      </c>
      <c r="N101" s="1">
        <v>26.405819900000001</v>
      </c>
      <c r="O101" s="1">
        <v>9.4564408039999996</v>
      </c>
      <c r="P101" s="1">
        <f t="shared" si="0"/>
        <v>3</v>
      </c>
    </row>
    <row r="102" spans="1:21" ht="14.25" customHeight="1" x14ac:dyDescent="0.35">
      <c r="A102" s="1" t="s">
        <v>210</v>
      </c>
      <c r="B102" s="3">
        <v>45428</v>
      </c>
      <c r="C102" s="1" t="s">
        <v>157</v>
      </c>
      <c r="D102" s="1">
        <v>38</v>
      </c>
      <c r="E102" s="1" t="s">
        <v>20</v>
      </c>
      <c r="F102" s="1" t="s">
        <v>21</v>
      </c>
      <c r="G102" s="1" t="s">
        <v>22</v>
      </c>
      <c r="H102" s="1" t="s">
        <v>23</v>
      </c>
      <c r="I102" s="1">
        <v>114.47</v>
      </c>
      <c r="J102" s="1">
        <v>38970</v>
      </c>
      <c r="K102" s="1">
        <v>4808</v>
      </c>
      <c r="L102" s="1">
        <v>89</v>
      </c>
      <c r="M102" s="1">
        <v>1</v>
      </c>
      <c r="N102" s="1">
        <v>12.33769566</v>
      </c>
      <c r="O102" s="1">
        <v>1.8510815309999999</v>
      </c>
      <c r="P102" s="1">
        <f t="shared" si="0"/>
        <v>1</v>
      </c>
    </row>
    <row r="103" spans="1:21" ht="14.25" customHeight="1" x14ac:dyDescent="0.35">
      <c r="A103" s="1" t="s">
        <v>211</v>
      </c>
      <c r="B103" s="3">
        <v>45346</v>
      </c>
      <c r="C103" s="1" t="s">
        <v>129</v>
      </c>
      <c r="D103" s="1">
        <v>28</v>
      </c>
      <c r="E103" s="1" t="s">
        <v>20</v>
      </c>
      <c r="F103" s="1" t="s">
        <v>38</v>
      </c>
      <c r="G103" s="1" t="s">
        <v>22</v>
      </c>
      <c r="H103" s="1" t="s">
        <v>33</v>
      </c>
      <c r="I103" s="1">
        <v>1426.75</v>
      </c>
      <c r="J103" s="1">
        <v>36303</v>
      </c>
      <c r="K103" s="1">
        <v>3298</v>
      </c>
      <c r="L103" s="1">
        <v>316</v>
      </c>
      <c r="M103" s="1">
        <v>2</v>
      </c>
      <c r="N103" s="1">
        <v>9.0846486520000003</v>
      </c>
      <c r="O103" s="1">
        <v>9.5815645850000006</v>
      </c>
      <c r="P103" s="1">
        <f t="shared" si="0"/>
        <v>2</v>
      </c>
    </row>
    <row r="104" spans="1:21" ht="14.25" customHeight="1" x14ac:dyDescent="0.35">
      <c r="A104" s="1" t="s">
        <v>212</v>
      </c>
      <c r="B104" s="3">
        <v>45458</v>
      </c>
      <c r="C104" s="1" t="s">
        <v>112</v>
      </c>
      <c r="D104" s="1">
        <v>51</v>
      </c>
      <c r="E104" s="1" t="s">
        <v>32</v>
      </c>
      <c r="F104" s="1" t="s">
        <v>21</v>
      </c>
      <c r="G104" s="1" t="s">
        <v>58</v>
      </c>
      <c r="H104" s="1" t="s">
        <v>29</v>
      </c>
      <c r="I104" s="1">
        <v>1402.89</v>
      </c>
      <c r="J104" s="1">
        <v>2432</v>
      </c>
      <c r="K104" s="1">
        <v>2653</v>
      </c>
      <c r="L104" s="1">
        <v>26</v>
      </c>
      <c r="M104" s="1">
        <v>1</v>
      </c>
      <c r="N104" s="1">
        <v>109.08717110000001</v>
      </c>
      <c r="O104" s="1">
        <v>0.98002261599999996</v>
      </c>
      <c r="P104" s="1">
        <f t="shared" si="0"/>
        <v>1</v>
      </c>
      <c r="U104" s="1">
        <f>COUNTIF(N100:N1000, N104&gt;100)</f>
        <v>0</v>
      </c>
    </row>
    <row r="105" spans="1:21" ht="14.25" customHeight="1" x14ac:dyDescent="0.35">
      <c r="A105" s="1" t="s">
        <v>213</v>
      </c>
      <c r="B105" s="3">
        <v>45490</v>
      </c>
      <c r="C105" s="1" t="s">
        <v>214</v>
      </c>
      <c r="D105" s="1">
        <v>55</v>
      </c>
      <c r="E105" s="1" t="s">
        <v>20</v>
      </c>
      <c r="F105" s="1" t="s">
        <v>42</v>
      </c>
      <c r="G105" s="1" t="s">
        <v>43</v>
      </c>
      <c r="H105" s="1" t="s">
        <v>59</v>
      </c>
      <c r="I105" s="1">
        <v>107.97</v>
      </c>
      <c r="J105" s="1">
        <v>35959</v>
      </c>
      <c r="K105" s="1">
        <v>1021</v>
      </c>
      <c r="L105" s="1">
        <v>38</v>
      </c>
      <c r="M105" s="1">
        <v>5</v>
      </c>
      <c r="N105" s="1">
        <v>2.839344809</v>
      </c>
      <c r="O105" s="1">
        <v>3.7218413319999999</v>
      </c>
      <c r="P105" s="1">
        <f t="shared" si="0"/>
        <v>5</v>
      </c>
    </row>
    <row r="106" spans="1:21" ht="14.25" customHeight="1" x14ac:dyDescent="0.35">
      <c r="A106" s="1" t="s">
        <v>215</v>
      </c>
      <c r="B106" s="3">
        <v>45441</v>
      </c>
      <c r="C106" s="1" t="s">
        <v>139</v>
      </c>
      <c r="D106" s="1">
        <v>62</v>
      </c>
      <c r="E106" s="1" t="s">
        <v>32</v>
      </c>
      <c r="F106" s="1" t="s">
        <v>47</v>
      </c>
      <c r="G106" s="1" t="s">
        <v>58</v>
      </c>
      <c r="H106" s="1" t="s">
        <v>33</v>
      </c>
      <c r="I106" s="1">
        <v>384.4</v>
      </c>
      <c r="J106" s="1">
        <v>37506</v>
      </c>
      <c r="K106" s="1">
        <v>3461</v>
      </c>
      <c r="L106" s="1">
        <v>118</v>
      </c>
      <c r="M106" s="1">
        <v>3</v>
      </c>
      <c r="N106" s="1">
        <v>9.2278568760000006</v>
      </c>
      <c r="O106" s="1">
        <v>3.4094192429999999</v>
      </c>
      <c r="P106" s="1">
        <f t="shared" si="0"/>
        <v>3</v>
      </c>
    </row>
    <row r="107" spans="1:21" ht="14.25" customHeight="1" x14ac:dyDescent="0.35">
      <c r="A107" s="1" t="s">
        <v>216</v>
      </c>
      <c r="B107" s="3">
        <v>45336</v>
      </c>
      <c r="C107" s="1" t="s">
        <v>217</v>
      </c>
      <c r="D107" s="1">
        <v>36</v>
      </c>
      <c r="E107" s="1" t="s">
        <v>26</v>
      </c>
      <c r="F107" s="1" t="s">
        <v>27</v>
      </c>
      <c r="G107" s="1" t="s">
        <v>39</v>
      </c>
      <c r="H107" s="1" t="s">
        <v>29</v>
      </c>
      <c r="I107" s="1">
        <v>334.17</v>
      </c>
      <c r="J107" s="1">
        <v>38386</v>
      </c>
      <c r="K107" s="1">
        <v>2395</v>
      </c>
      <c r="L107" s="1">
        <v>121</v>
      </c>
      <c r="M107" s="1">
        <v>4</v>
      </c>
      <c r="N107" s="1">
        <v>6.239253895</v>
      </c>
      <c r="O107" s="1">
        <v>5.052192067</v>
      </c>
      <c r="P107" s="1">
        <f t="shared" si="0"/>
        <v>4</v>
      </c>
    </row>
    <row r="108" spans="1:21" ht="14.25" customHeight="1" x14ac:dyDescent="0.35">
      <c r="A108" s="1" t="s">
        <v>218</v>
      </c>
      <c r="B108" s="3">
        <v>45427</v>
      </c>
      <c r="C108" s="1" t="s">
        <v>219</v>
      </c>
      <c r="D108" s="1">
        <v>63</v>
      </c>
      <c r="E108" s="1" t="s">
        <v>20</v>
      </c>
      <c r="F108" s="1" t="s">
        <v>27</v>
      </c>
      <c r="G108" s="1" t="s">
        <v>39</v>
      </c>
      <c r="H108" s="1" t="s">
        <v>59</v>
      </c>
      <c r="I108" s="1">
        <v>725.13</v>
      </c>
      <c r="J108" s="1">
        <v>810</v>
      </c>
      <c r="K108" s="1">
        <v>4954</v>
      </c>
      <c r="L108" s="1">
        <v>141</v>
      </c>
      <c r="M108" s="1">
        <v>4</v>
      </c>
      <c r="N108" s="1">
        <v>611.60493829999996</v>
      </c>
      <c r="O108" s="1">
        <v>2.846184901</v>
      </c>
      <c r="P108" s="1">
        <f t="shared" si="0"/>
        <v>4</v>
      </c>
      <c r="U108" s="1">
        <f>COUNTIF(N104:N1000, N108&gt;100)</f>
        <v>0</v>
      </c>
    </row>
    <row r="109" spans="1:21" ht="14.25" customHeight="1" x14ac:dyDescent="0.35">
      <c r="A109" s="1" t="s">
        <v>220</v>
      </c>
      <c r="B109" s="3">
        <v>45501</v>
      </c>
      <c r="C109" s="1" t="s">
        <v>221</v>
      </c>
      <c r="D109" s="1">
        <v>35</v>
      </c>
      <c r="E109" s="1" t="s">
        <v>26</v>
      </c>
      <c r="F109" s="1" t="s">
        <v>21</v>
      </c>
      <c r="G109" s="1" t="s">
        <v>43</v>
      </c>
      <c r="H109" s="1" t="s">
        <v>23</v>
      </c>
      <c r="I109" s="1">
        <v>361.56</v>
      </c>
      <c r="J109" s="1">
        <v>3589</v>
      </c>
      <c r="K109" s="1">
        <v>1477</v>
      </c>
      <c r="L109" s="1">
        <v>391</v>
      </c>
      <c r="M109" s="1">
        <v>3</v>
      </c>
      <c r="N109" s="1">
        <v>41.153524660000002</v>
      </c>
      <c r="O109" s="1">
        <v>26.472579549999999</v>
      </c>
      <c r="P109" s="1">
        <f t="shared" si="0"/>
        <v>3</v>
      </c>
    </row>
    <row r="110" spans="1:21" ht="14.25" customHeight="1" x14ac:dyDescent="0.35">
      <c r="A110" s="1" t="s">
        <v>222</v>
      </c>
      <c r="B110" s="3">
        <v>45489</v>
      </c>
      <c r="C110" s="1" t="s">
        <v>167</v>
      </c>
      <c r="D110" s="1">
        <v>64</v>
      </c>
      <c r="E110" s="1" t="s">
        <v>20</v>
      </c>
      <c r="F110" s="1" t="s">
        <v>42</v>
      </c>
      <c r="G110" s="1" t="s">
        <v>43</v>
      </c>
      <c r="H110" s="1" t="s">
        <v>23</v>
      </c>
      <c r="I110" s="1">
        <v>893.1</v>
      </c>
      <c r="J110" s="1">
        <v>7956</v>
      </c>
      <c r="K110" s="1">
        <v>2295</v>
      </c>
      <c r="L110" s="1">
        <v>133</v>
      </c>
      <c r="M110" s="1">
        <v>4</v>
      </c>
      <c r="N110" s="1">
        <v>28.84615385</v>
      </c>
      <c r="O110" s="1">
        <v>5.7952069719999999</v>
      </c>
      <c r="P110" s="1">
        <f t="shared" si="0"/>
        <v>4</v>
      </c>
    </row>
    <row r="111" spans="1:21" ht="14.25" customHeight="1" x14ac:dyDescent="0.35">
      <c r="A111" s="1" t="s">
        <v>223</v>
      </c>
      <c r="B111" s="3">
        <v>45392</v>
      </c>
      <c r="C111" s="1" t="s">
        <v>224</v>
      </c>
      <c r="D111" s="1">
        <v>35</v>
      </c>
      <c r="E111" s="1" t="s">
        <v>20</v>
      </c>
      <c r="F111" s="1" t="s">
        <v>27</v>
      </c>
      <c r="G111" s="1" t="s">
        <v>22</v>
      </c>
      <c r="H111" s="1" t="s">
        <v>33</v>
      </c>
      <c r="I111" s="1">
        <v>1463.5</v>
      </c>
      <c r="J111" s="1">
        <v>42994</v>
      </c>
      <c r="K111" s="1">
        <v>1143</v>
      </c>
      <c r="L111" s="1">
        <v>63</v>
      </c>
      <c r="N111" s="1">
        <v>2.6585104899999998</v>
      </c>
      <c r="O111" s="1">
        <v>5.511811024</v>
      </c>
      <c r="P111" s="1">
        <f t="shared" si="0"/>
        <v>3</v>
      </c>
    </row>
    <row r="112" spans="1:21" ht="14.25" customHeight="1" x14ac:dyDescent="0.35">
      <c r="A112" s="1" t="s">
        <v>225</v>
      </c>
      <c r="B112" s="3">
        <v>45472</v>
      </c>
      <c r="C112" s="1" t="s">
        <v>129</v>
      </c>
      <c r="D112" s="1">
        <v>52</v>
      </c>
      <c r="E112" s="1" t="s">
        <v>32</v>
      </c>
      <c r="F112" s="1" t="s">
        <v>54</v>
      </c>
      <c r="G112" s="1" t="s">
        <v>28</v>
      </c>
      <c r="H112" s="1" t="s">
        <v>29</v>
      </c>
      <c r="I112" s="1">
        <v>1633.86</v>
      </c>
      <c r="J112" s="1">
        <v>24294</v>
      </c>
      <c r="K112" s="1">
        <v>4522</v>
      </c>
      <c r="L112" s="1">
        <v>82</v>
      </c>
      <c r="M112" s="1">
        <v>4</v>
      </c>
      <c r="N112" s="1">
        <v>18.613649460000001</v>
      </c>
      <c r="O112" s="1">
        <v>1.8133569220000001</v>
      </c>
      <c r="P112" s="1">
        <f t="shared" si="0"/>
        <v>4</v>
      </c>
    </row>
    <row r="113" spans="1:16" ht="14.25" customHeight="1" x14ac:dyDescent="0.35">
      <c r="A113" s="1" t="s">
        <v>226</v>
      </c>
      <c r="B113" s="3">
        <v>45461</v>
      </c>
      <c r="C113" s="1" t="s">
        <v>227</v>
      </c>
      <c r="D113" s="1">
        <v>26</v>
      </c>
      <c r="E113" s="1" t="s">
        <v>26</v>
      </c>
      <c r="F113" s="1" t="s">
        <v>47</v>
      </c>
      <c r="G113" s="1" t="s">
        <v>43</v>
      </c>
      <c r="H113" s="1" t="s">
        <v>23</v>
      </c>
      <c r="I113" s="1">
        <v>1683.74</v>
      </c>
      <c r="J113" s="1">
        <v>49199</v>
      </c>
      <c r="K113" s="1">
        <v>1206</v>
      </c>
      <c r="L113" s="1">
        <v>143</v>
      </c>
      <c r="M113" s="1">
        <v>1</v>
      </c>
      <c r="N113" s="1">
        <v>2.4512693350000001</v>
      </c>
      <c r="O113" s="1">
        <v>11.85737977</v>
      </c>
      <c r="P113" s="1">
        <f t="shared" si="0"/>
        <v>1</v>
      </c>
    </row>
    <row r="114" spans="1:16" ht="14.25" customHeight="1" x14ac:dyDescent="0.35">
      <c r="A114" s="1" t="s">
        <v>228</v>
      </c>
      <c r="B114" s="3">
        <v>45321</v>
      </c>
      <c r="C114" s="1" t="s">
        <v>229</v>
      </c>
      <c r="E114" s="1" t="s">
        <v>32</v>
      </c>
      <c r="G114" s="1" t="s">
        <v>22</v>
      </c>
      <c r="H114" s="1" t="s">
        <v>33</v>
      </c>
      <c r="I114" s="1">
        <v>520.96</v>
      </c>
      <c r="J114" s="1">
        <v>31499</v>
      </c>
      <c r="K114" s="1">
        <v>2032</v>
      </c>
      <c r="L114" s="1">
        <v>53</v>
      </c>
      <c r="N114" s="1">
        <v>6.4509984439999997</v>
      </c>
      <c r="O114" s="1">
        <v>2.6082677169999999</v>
      </c>
      <c r="P114" s="1">
        <f t="shared" si="0"/>
        <v>3</v>
      </c>
    </row>
    <row r="115" spans="1:16" ht="14.25" customHeight="1" x14ac:dyDescent="0.35">
      <c r="A115" s="1" t="s">
        <v>230</v>
      </c>
      <c r="B115" s="3">
        <v>45574</v>
      </c>
      <c r="C115" s="1" t="s">
        <v>231</v>
      </c>
      <c r="D115" s="1">
        <v>23</v>
      </c>
      <c r="E115" s="1" t="s">
        <v>20</v>
      </c>
      <c r="F115" s="1" t="s">
        <v>54</v>
      </c>
      <c r="G115" s="1" t="s">
        <v>43</v>
      </c>
      <c r="H115" s="1" t="s">
        <v>23</v>
      </c>
      <c r="I115" s="1">
        <v>1012.19</v>
      </c>
      <c r="J115" s="1">
        <v>49830</v>
      </c>
      <c r="K115" s="1">
        <v>4377</v>
      </c>
      <c r="L115" s="1">
        <v>47</v>
      </c>
      <c r="M115" s="1">
        <v>4</v>
      </c>
      <c r="N115" s="1">
        <v>8.7838651409999997</v>
      </c>
      <c r="O115" s="1">
        <v>1.0737948369999999</v>
      </c>
      <c r="P115" s="1">
        <f t="shared" si="0"/>
        <v>4</v>
      </c>
    </row>
    <row r="116" spans="1:16" ht="14.25" customHeight="1" x14ac:dyDescent="0.35">
      <c r="A116" s="1" t="s">
        <v>232</v>
      </c>
      <c r="B116" s="3">
        <v>45612</v>
      </c>
      <c r="C116" s="1" t="s">
        <v>154</v>
      </c>
      <c r="D116" s="1">
        <v>40</v>
      </c>
      <c r="E116" s="1" t="s">
        <v>26</v>
      </c>
      <c r="F116" s="1" t="s">
        <v>42</v>
      </c>
      <c r="G116" s="1" t="s">
        <v>39</v>
      </c>
      <c r="H116" s="1" t="s">
        <v>23</v>
      </c>
      <c r="I116" s="1">
        <v>1670.57</v>
      </c>
      <c r="J116" s="1">
        <v>6743</v>
      </c>
      <c r="K116" s="1">
        <v>4490</v>
      </c>
      <c r="L116" s="1">
        <v>267</v>
      </c>
      <c r="M116" s="1">
        <v>1</v>
      </c>
      <c r="N116" s="1">
        <v>66.587572300000005</v>
      </c>
      <c r="O116" s="1">
        <v>5.9465478840000001</v>
      </c>
      <c r="P116" s="1">
        <f t="shared" si="0"/>
        <v>1</v>
      </c>
    </row>
    <row r="117" spans="1:16" ht="14.25" customHeight="1" x14ac:dyDescent="0.35">
      <c r="A117" s="1" t="s">
        <v>233</v>
      </c>
      <c r="B117" s="3">
        <v>45544</v>
      </c>
      <c r="C117" s="1" t="s">
        <v>175</v>
      </c>
      <c r="D117" s="1">
        <v>58</v>
      </c>
      <c r="E117" s="1" t="s">
        <v>26</v>
      </c>
      <c r="F117" s="1" t="s">
        <v>42</v>
      </c>
      <c r="G117" s="1" t="s">
        <v>39</v>
      </c>
      <c r="H117" s="1" t="s">
        <v>29</v>
      </c>
      <c r="I117" s="1">
        <v>1827.49</v>
      </c>
      <c r="J117" s="1">
        <v>24691</v>
      </c>
      <c r="K117" s="1">
        <v>2290</v>
      </c>
      <c r="L117" s="1">
        <v>231</v>
      </c>
      <c r="M117" s="1">
        <v>4</v>
      </c>
      <c r="N117" s="1">
        <v>9.2746344819999997</v>
      </c>
      <c r="O117" s="1">
        <v>10.087336240000001</v>
      </c>
      <c r="P117" s="1">
        <f t="shared" si="0"/>
        <v>4</v>
      </c>
    </row>
    <row r="118" spans="1:16" ht="14.25" customHeight="1" x14ac:dyDescent="0.35">
      <c r="A118" s="1" t="s">
        <v>234</v>
      </c>
      <c r="B118" s="3">
        <v>45482</v>
      </c>
      <c r="C118" s="1" t="s">
        <v>235</v>
      </c>
      <c r="D118" s="1">
        <v>36</v>
      </c>
      <c r="E118" s="1" t="s">
        <v>20</v>
      </c>
      <c r="F118" s="1" t="s">
        <v>21</v>
      </c>
      <c r="G118" s="1" t="s">
        <v>39</v>
      </c>
      <c r="H118" s="1" t="s">
        <v>59</v>
      </c>
      <c r="I118" s="1">
        <v>1461.83</v>
      </c>
      <c r="J118" s="1">
        <v>37177</v>
      </c>
      <c r="K118" s="1">
        <v>2771</v>
      </c>
      <c r="L118" s="1">
        <v>158</v>
      </c>
      <c r="N118" s="1">
        <v>7.4535330980000003</v>
      </c>
      <c r="O118" s="1">
        <v>5.7019126670000002</v>
      </c>
      <c r="P118" s="1">
        <f t="shared" si="0"/>
        <v>3</v>
      </c>
    </row>
    <row r="119" spans="1:16" ht="14.25" customHeight="1" x14ac:dyDescent="0.35">
      <c r="A119" s="1" t="s">
        <v>236</v>
      </c>
      <c r="B119" s="3">
        <v>45506</v>
      </c>
      <c r="C119" s="1" t="s">
        <v>87</v>
      </c>
      <c r="D119" s="1">
        <v>19</v>
      </c>
      <c r="E119" s="1" t="s">
        <v>26</v>
      </c>
      <c r="F119" s="1" t="s">
        <v>54</v>
      </c>
      <c r="G119" s="1" t="s">
        <v>58</v>
      </c>
      <c r="H119" s="1" t="s">
        <v>29</v>
      </c>
      <c r="I119" s="1">
        <v>982.76</v>
      </c>
      <c r="J119" s="1">
        <v>37435</v>
      </c>
      <c r="K119" s="1">
        <v>4776</v>
      </c>
      <c r="L119" s="1">
        <v>312</v>
      </c>
      <c r="N119" s="1">
        <v>12.75811406</v>
      </c>
      <c r="O119" s="1">
        <v>6.5326633169999999</v>
      </c>
      <c r="P119" s="1">
        <f t="shared" si="0"/>
        <v>3</v>
      </c>
    </row>
    <row r="120" spans="1:16" ht="14.25" customHeight="1" x14ac:dyDescent="0.35">
      <c r="A120" s="1" t="s">
        <v>237</v>
      </c>
      <c r="B120" s="3">
        <v>45518</v>
      </c>
      <c r="C120" s="1" t="s">
        <v>238</v>
      </c>
      <c r="D120" s="1">
        <v>63</v>
      </c>
      <c r="E120" s="1" t="s">
        <v>32</v>
      </c>
      <c r="F120" s="1" t="s">
        <v>38</v>
      </c>
      <c r="G120" s="1" t="s">
        <v>22</v>
      </c>
      <c r="H120" s="1" t="s">
        <v>29</v>
      </c>
      <c r="I120" s="1">
        <v>366.7</v>
      </c>
      <c r="J120" s="1">
        <v>3377</v>
      </c>
      <c r="K120" s="1">
        <v>1408</v>
      </c>
      <c r="L120" s="1">
        <v>95</v>
      </c>
      <c r="M120" s="1">
        <v>1</v>
      </c>
      <c r="N120" s="1">
        <v>41.693811070000002</v>
      </c>
      <c r="O120" s="1">
        <v>6.7471590910000003</v>
      </c>
      <c r="P120" s="1">
        <f t="shared" si="0"/>
        <v>1</v>
      </c>
    </row>
    <row r="121" spans="1:16" ht="14.25" customHeight="1" x14ac:dyDescent="0.35">
      <c r="A121" s="1" t="s">
        <v>239</v>
      </c>
      <c r="B121" s="3">
        <v>45304</v>
      </c>
      <c r="C121" s="1" t="s">
        <v>240</v>
      </c>
      <c r="D121" s="1">
        <v>50</v>
      </c>
      <c r="E121" s="1" t="s">
        <v>20</v>
      </c>
      <c r="F121" s="1" t="s">
        <v>42</v>
      </c>
      <c r="G121" s="1" t="s">
        <v>22</v>
      </c>
      <c r="H121" s="1" t="s">
        <v>33</v>
      </c>
      <c r="I121" s="1">
        <v>1592.51</v>
      </c>
      <c r="J121" s="1">
        <v>39679</v>
      </c>
      <c r="K121" s="1">
        <v>4507</v>
      </c>
      <c r="L121" s="1">
        <v>282</v>
      </c>
      <c r="M121" s="1">
        <v>4</v>
      </c>
      <c r="N121" s="1">
        <v>11.35865319</v>
      </c>
      <c r="O121" s="1">
        <v>6.2569336590000004</v>
      </c>
      <c r="P121" s="1">
        <f t="shared" si="0"/>
        <v>4</v>
      </c>
    </row>
    <row r="122" spans="1:16" ht="14.25" customHeight="1" x14ac:dyDescent="0.35">
      <c r="A122" s="1" t="s">
        <v>241</v>
      </c>
      <c r="B122" s="3">
        <v>45426</v>
      </c>
      <c r="C122" s="1" t="s">
        <v>242</v>
      </c>
      <c r="D122" s="1">
        <v>25</v>
      </c>
      <c r="E122" s="1" t="s">
        <v>32</v>
      </c>
      <c r="F122" s="1" t="s">
        <v>54</v>
      </c>
      <c r="G122" s="1" t="s">
        <v>39</v>
      </c>
      <c r="H122" s="1" t="s">
        <v>33</v>
      </c>
      <c r="I122" s="1">
        <v>606.88</v>
      </c>
      <c r="J122" s="1">
        <v>23642</v>
      </c>
      <c r="K122" s="1">
        <v>2061</v>
      </c>
      <c r="L122" s="1">
        <v>334</v>
      </c>
      <c r="M122" s="1">
        <v>5</v>
      </c>
      <c r="N122" s="1">
        <v>8.7175365869999997</v>
      </c>
      <c r="O122" s="1">
        <v>16.205725380000001</v>
      </c>
      <c r="P122" s="1">
        <f t="shared" si="0"/>
        <v>5</v>
      </c>
    </row>
    <row r="123" spans="1:16" ht="14.25" customHeight="1" x14ac:dyDescent="0.35">
      <c r="A123" s="1" t="s">
        <v>243</v>
      </c>
      <c r="B123" s="3">
        <v>45398</v>
      </c>
      <c r="C123" s="1" t="s">
        <v>35</v>
      </c>
      <c r="D123" s="1">
        <v>22</v>
      </c>
      <c r="E123" s="1" t="s">
        <v>26</v>
      </c>
      <c r="F123" s="1" t="s">
        <v>54</v>
      </c>
      <c r="G123" s="1" t="s">
        <v>43</v>
      </c>
      <c r="H123" s="1" t="s">
        <v>33</v>
      </c>
      <c r="I123" s="1">
        <v>371.95</v>
      </c>
      <c r="J123" s="1">
        <v>31624</v>
      </c>
      <c r="K123" s="1">
        <v>1475</v>
      </c>
      <c r="L123" s="1">
        <v>103</v>
      </c>
      <c r="M123" s="1">
        <v>5</v>
      </c>
      <c r="N123" s="1">
        <v>4.6641791039999996</v>
      </c>
      <c r="O123" s="1">
        <v>6.9830508470000003</v>
      </c>
      <c r="P123" s="1">
        <f t="shared" si="0"/>
        <v>5</v>
      </c>
    </row>
    <row r="124" spans="1:16" ht="14.25" customHeight="1" x14ac:dyDescent="0.35">
      <c r="A124" s="1" t="s">
        <v>244</v>
      </c>
      <c r="B124" s="3">
        <v>45402</v>
      </c>
      <c r="C124" s="1" t="s">
        <v>37</v>
      </c>
      <c r="D124" s="1">
        <v>47</v>
      </c>
      <c r="E124" s="1" t="s">
        <v>26</v>
      </c>
      <c r="F124" s="1" t="s">
        <v>42</v>
      </c>
      <c r="G124" s="1" t="s">
        <v>58</v>
      </c>
      <c r="H124" s="1" t="s">
        <v>23</v>
      </c>
      <c r="I124" s="1">
        <v>406.11</v>
      </c>
      <c r="J124" s="1">
        <v>6274</v>
      </c>
      <c r="K124" s="1">
        <v>4683</v>
      </c>
      <c r="L124" s="1">
        <v>300</v>
      </c>
      <c r="M124" s="1">
        <v>1</v>
      </c>
      <c r="N124" s="1">
        <v>74.641377109999993</v>
      </c>
      <c r="O124" s="1">
        <v>6.4061499040000003</v>
      </c>
      <c r="P124" s="1">
        <f t="shared" si="0"/>
        <v>1</v>
      </c>
    </row>
    <row r="125" spans="1:16" ht="14.25" customHeight="1" x14ac:dyDescent="0.35">
      <c r="A125" s="1" t="s">
        <v>245</v>
      </c>
      <c r="B125" s="3">
        <v>45641</v>
      </c>
      <c r="C125" s="1" t="s">
        <v>31</v>
      </c>
      <c r="D125" s="1">
        <v>30</v>
      </c>
      <c r="E125" s="1" t="s">
        <v>26</v>
      </c>
      <c r="F125" s="1" t="s">
        <v>27</v>
      </c>
      <c r="G125" s="1" t="s">
        <v>58</v>
      </c>
      <c r="H125" s="1" t="s">
        <v>59</v>
      </c>
      <c r="I125" s="1">
        <v>1414.99</v>
      </c>
      <c r="J125" s="1">
        <v>36111</v>
      </c>
      <c r="K125" s="1">
        <v>1260</v>
      </c>
      <c r="L125" s="1">
        <v>176</v>
      </c>
      <c r="M125" s="1">
        <v>1</v>
      </c>
      <c r="N125" s="1">
        <v>3.4892415049999999</v>
      </c>
      <c r="O125" s="1">
        <v>13.968253969999999</v>
      </c>
      <c r="P125" s="1">
        <f t="shared" si="0"/>
        <v>1</v>
      </c>
    </row>
    <row r="126" spans="1:16" ht="14.25" customHeight="1" x14ac:dyDescent="0.35">
      <c r="A126" s="1" t="s">
        <v>246</v>
      </c>
      <c r="B126" s="3">
        <v>45526</v>
      </c>
      <c r="C126" s="1" t="s">
        <v>97</v>
      </c>
      <c r="D126" s="1">
        <v>54</v>
      </c>
      <c r="E126" s="1" t="s">
        <v>32</v>
      </c>
      <c r="F126" s="1" t="s">
        <v>47</v>
      </c>
      <c r="G126" s="1" t="s">
        <v>39</v>
      </c>
      <c r="H126" s="1" t="s">
        <v>59</v>
      </c>
      <c r="I126" s="1">
        <v>1846.41</v>
      </c>
      <c r="J126" s="1">
        <v>37794</v>
      </c>
      <c r="K126" s="1">
        <v>2188</v>
      </c>
      <c r="L126" s="1">
        <v>245</v>
      </c>
      <c r="N126" s="1">
        <v>5.7892787209999996</v>
      </c>
      <c r="O126" s="1">
        <v>11.197440589999999</v>
      </c>
      <c r="P126" s="1">
        <f t="shared" si="0"/>
        <v>3</v>
      </c>
    </row>
    <row r="127" spans="1:16" ht="14.25" customHeight="1" x14ac:dyDescent="0.35">
      <c r="A127" s="1" t="s">
        <v>247</v>
      </c>
      <c r="B127" s="3">
        <v>45309</v>
      </c>
      <c r="C127" s="1" t="s">
        <v>248</v>
      </c>
      <c r="D127" s="1">
        <v>18</v>
      </c>
      <c r="E127" s="1" t="s">
        <v>32</v>
      </c>
      <c r="F127" s="1" t="s">
        <v>27</v>
      </c>
      <c r="G127" s="1" t="s">
        <v>22</v>
      </c>
      <c r="H127" s="1" t="s">
        <v>23</v>
      </c>
      <c r="I127" s="1">
        <v>311.69</v>
      </c>
      <c r="J127" s="1">
        <v>43403</v>
      </c>
      <c r="K127" s="1">
        <v>2605</v>
      </c>
      <c r="L127" s="1">
        <v>101</v>
      </c>
      <c r="M127" s="1">
        <v>3</v>
      </c>
      <c r="N127" s="1">
        <v>6.0018892700000004</v>
      </c>
      <c r="O127" s="1">
        <v>3.8771593090000001</v>
      </c>
      <c r="P127" s="1">
        <f t="shared" si="0"/>
        <v>3</v>
      </c>
    </row>
    <row r="128" spans="1:16" ht="14.25" customHeight="1" x14ac:dyDescent="0.35">
      <c r="A128" s="1" t="s">
        <v>249</v>
      </c>
      <c r="B128" s="3">
        <v>45297</v>
      </c>
      <c r="C128" s="1" t="s">
        <v>250</v>
      </c>
      <c r="E128" s="1" t="s">
        <v>20</v>
      </c>
      <c r="G128" s="1" t="s">
        <v>39</v>
      </c>
      <c r="H128" s="1" t="s">
        <v>29</v>
      </c>
      <c r="I128" s="1">
        <v>1961.14</v>
      </c>
      <c r="J128" s="1">
        <v>25099</v>
      </c>
      <c r="K128" s="1">
        <v>4902</v>
      </c>
      <c r="L128" s="1">
        <v>85</v>
      </c>
      <c r="N128" s="1">
        <v>19.530658590000002</v>
      </c>
      <c r="O128" s="1">
        <v>1.733986128</v>
      </c>
      <c r="P128" s="1">
        <f t="shared" si="0"/>
        <v>3</v>
      </c>
    </row>
    <row r="129" spans="1:21" ht="14.25" customHeight="1" x14ac:dyDescent="0.35">
      <c r="A129" s="1" t="s">
        <v>251</v>
      </c>
      <c r="B129" s="3">
        <v>45627</v>
      </c>
      <c r="C129" s="1" t="s">
        <v>248</v>
      </c>
      <c r="D129" s="1">
        <v>20</v>
      </c>
      <c r="E129" s="1" t="s">
        <v>26</v>
      </c>
      <c r="F129" s="1" t="s">
        <v>42</v>
      </c>
      <c r="G129" s="1" t="s">
        <v>58</v>
      </c>
      <c r="H129" s="1" t="s">
        <v>59</v>
      </c>
      <c r="I129" s="1">
        <v>1555.39</v>
      </c>
      <c r="J129" s="1">
        <v>31478</v>
      </c>
      <c r="K129" s="1">
        <v>4363</v>
      </c>
      <c r="L129" s="1">
        <v>34</v>
      </c>
      <c r="M129" s="1">
        <v>5</v>
      </c>
      <c r="N129" s="1">
        <v>13.86047398</v>
      </c>
      <c r="O129" s="1">
        <v>0.77928031200000003</v>
      </c>
      <c r="P129" s="1">
        <f t="shared" si="0"/>
        <v>5</v>
      </c>
    </row>
    <row r="130" spans="1:21" ht="14.25" customHeight="1" x14ac:dyDescent="0.35">
      <c r="A130" s="1" t="s">
        <v>252</v>
      </c>
      <c r="B130" s="3">
        <v>45341</v>
      </c>
      <c r="C130" s="1" t="s">
        <v>253</v>
      </c>
      <c r="D130" s="1">
        <v>39</v>
      </c>
      <c r="E130" s="1" t="s">
        <v>26</v>
      </c>
      <c r="F130" s="1" t="s">
        <v>21</v>
      </c>
      <c r="G130" s="1" t="s">
        <v>39</v>
      </c>
      <c r="H130" s="1" t="s">
        <v>29</v>
      </c>
      <c r="I130" s="1">
        <v>731.27</v>
      </c>
      <c r="J130" s="1">
        <v>12521</v>
      </c>
      <c r="K130" s="1">
        <v>4634</v>
      </c>
      <c r="L130" s="1">
        <v>372</v>
      </c>
      <c r="M130" s="1">
        <v>5</v>
      </c>
      <c r="N130" s="1">
        <v>37.009823500000003</v>
      </c>
      <c r="O130" s="1">
        <v>8.027621925</v>
      </c>
      <c r="P130" s="1">
        <f t="shared" si="0"/>
        <v>5</v>
      </c>
    </row>
    <row r="131" spans="1:21" ht="14.25" customHeight="1" x14ac:dyDescent="0.35">
      <c r="A131" s="1" t="s">
        <v>254</v>
      </c>
      <c r="B131" s="3">
        <v>45624</v>
      </c>
      <c r="C131" s="1" t="s">
        <v>118</v>
      </c>
      <c r="D131" s="1">
        <v>40</v>
      </c>
      <c r="E131" s="1" t="s">
        <v>26</v>
      </c>
      <c r="F131" s="1" t="s">
        <v>27</v>
      </c>
      <c r="G131" s="1" t="s">
        <v>28</v>
      </c>
      <c r="H131" s="1" t="s">
        <v>33</v>
      </c>
      <c r="I131" s="1">
        <v>178.21</v>
      </c>
      <c r="J131" s="1">
        <v>10056</v>
      </c>
      <c r="K131" s="1">
        <v>1992</v>
      </c>
      <c r="L131" s="1">
        <v>322</v>
      </c>
      <c r="M131" s="1">
        <v>1</v>
      </c>
      <c r="N131" s="1">
        <v>19.809069210000001</v>
      </c>
      <c r="O131" s="1">
        <v>16.164658630000002</v>
      </c>
      <c r="P131" s="1">
        <f t="shared" si="0"/>
        <v>1</v>
      </c>
    </row>
    <row r="132" spans="1:21" ht="14.25" customHeight="1" x14ac:dyDescent="0.35">
      <c r="A132" s="1" t="s">
        <v>255</v>
      </c>
      <c r="B132" s="3">
        <v>45397</v>
      </c>
      <c r="C132" s="1" t="s">
        <v>256</v>
      </c>
      <c r="E132" s="1" t="s">
        <v>32</v>
      </c>
      <c r="G132" s="1" t="s">
        <v>58</v>
      </c>
      <c r="H132" s="1" t="s">
        <v>29</v>
      </c>
      <c r="I132" s="1">
        <v>858.1</v>
      </c>
      <c r="J132" s="1">
        <v>16509</v>
      </c>
      <c r="K132" s="1">
        <v>1411</v>
      </c>
      <c r="L132" s="1">
        <v>139</v>
      </c>
      <c r="N132" s="1">
        <v>8.5468532320000001</v>
      </c>
      <c r="O132" s="1">
        <v>9.8511693830000002</v>
      </c>
      <c r="P132" s="1">
        <f t="shared" si="0"/>
        <v>3</v>
      </c>
    </row>
    <row r="133" spans="1:21" ht="14.25" customHeight="1" x14ac:dyDescent="0.35">
      <c r="A133" s="1" t="s">
        <v>257</v>
      </c>
      <c r="B133" s="3">
        <v>45474</v>
      </c>
      <c r="C133" s="1" t="s">
        <v>258</v>
      </c>
      <c r="D133" s="1">
        <v>48</v>
      </c>
      <c r="E133" s="1" t="s">
        <v>26</v>
      </c>
      <c r="F133" s="1" t="s">
        <v>42</v>
      </c>
      <c r="G133" s="1" t="s">
        <v>28</v>
      </c>
      <c r="H133" s="1" t="s">
        <v>33</v>
      </c>
      <c r="I133" s="1">
        <v>1106.97</v>
      </c>
      <c r="J133" s="1">
        <v>23254</v>
      </c>
      <c r="K133" s="1">
        <v>4996</v>
      </c>
      <c r="L133" s="1">
        <v>131</v>
      </c>
      <c r="M133" s="1">
        <v>3</v>
      </c>
      <c r="N133" s="1">
        <v>21.484475790000001</v>
      </c>
      <c r="O133" s="1">
        <v>2.6220976779999998</v>
      </c>
      <c r="P133" s="1">
        <f t="shared" si="0"/>
        <v>3</v>
      </c>
    </row>
    <row r="134" spans="1:21" ht="14.25" customHeight="1" x14ac:dyDescent="0.35">
      <c r="A134" s="1" t="s">
        <v>259</v>
      </c>
      <c r="B134" s="3">
        <v>45467</v>
      </c>
      <c r="C134" s="1" t="s">
        <v>92</v>
      </c>
      <c r="D134" s="1">
        <v>40</v>
      </c>
      <c r="E134" s="1" t="s">
        <v>26</v>
      </c>
      <c r="F134" s="1" t="s">
        <v>21</v>
      </c>
      <c r="G134" s="1" t="s">
        <v>22</v>
      </c>
      <c r="H134" s="1" t="s">
        <v>33</v>
      </c>
      <c r="I134" s="1">
        <v>732.38</v>
      </c>
      <c r="J134" s="1">
        <v>9318</v>
      </c>
      <c r="K134" s="1">
        <v>108</v>
      </c>
      <c r="L134" s="1">
        <v>280</v>
      </c>
      <c r="M134" s="1">
        <v>2</v>
      </c>
      <c r="N134" s="1">
        <v>1.159047006</v>
      </c>
      <c r="O134" s="1">
        <v>259.2592593</v>
      </c>
      <c r="P134" s="1">
        <f t="shared" si="0"/>
        <v>2</v>
      </c>
    </row>
    <row r="135" spans="1:21" ht="14.25" customHeight="1" x14ac:dyDescent="0.35">
      <c r="A135" s="1" t="s">
        <v>260</v>
      </c>
      <c r="B135" s="3">
        <v>45379</v>
      </c>
      <c r="C135" s="1" t="s">
        <v>209</v>
      </c>
      <c r="D135" s="1">
        <v>41</v>
      </c>
      <c r="E135" s="1" t="s">
        <v>20</v>
      </c>
      <c r="F135" s="1" t="s">
        <v>54</v>
      </c>
      <c r="G135" s="1" t="s">
        <v>39</v>
      </c>
      <c r="H135" s="1" t="s">
        <v>59</v>
      </c>
      <c r="I135" s="1">
        <v>1635.18</v>
      </c>
      <c r="J135" s="1">
        <v>33244</v>
      </c>
      <c r="K135" s="1">
        <v>1876</v>
      </c>
      <c r="L135" s="1">
        <v>83</v>
      </c>
      <c r="M135" s="1">
        <v>4</v>
      </c>
      <c r="N135" s="1">
        <v>5.6431235710000003</v>
      </c>
      <c r="O135" s="1">
        <v>4.4243070360000001</v>
      </c>
      <c r="P135" s="1">
        <f t="shared" si="0"/>
        <v>4</v>
      </c>
    </row>
    <row r="136" spans="1:21" ht="14.25" customHeight="1" x14ac:dyDescent="0.35">
      <c r="A136" s="1" t="s">
        <v>261</v>
      </c>
      <c r="B136" s="3">
        <v>45441</v>
      </c>
      <c r="C136" s="1" t="s">
        <v>256</v>
      </c>
      <c r="D136" s="1">
        <v>61</v>
      </c>
      <c r="E136" s="1" t="s">
        <v>20</v>
      </c>
      <c r="F136" s="1" t="s">
        <v>38</v>
      </c>
      <c r="G136" s="1" t="s">
        <v>58</v>
      </c>
      <c r="H136" s="1" t="s">
        <v>23</v>
      </c>
      <c r="I136" s="1">
        <v>785.86</v>
      </c>
      <c r="J136" s="1">
        <v>35340</v>
      </c>
      <c r="K136" s="1">
        <v>2350</v>
      </c>
      <c r="L136" s="1">
        <v>367</v>
      </c>
      <c r="M136" s="1">
        <v>4</v>
      </c>
      <c r="N136" s="1">
        <v>6.649688738</v>
      </c>
      <c r="O136" s="1">
        <v>15.617021279999999</v>
      </c>
      <c r="P136" s="1">
        <f t="shared" si="0"/>
        <v>4</v>
      </c>
    </row>
    <row r="137" spans="1:21" ht="14.25" customHeight="1" x14ac:dyDescent="0.35">
      <c r="A137" s="1" t="s">
        <v>262</v>
      </c>
      <c r="B137" s="3">
        <v>45552</v>
      </c>
      <c r="C137" s="1" t="s">
        <v>144</v>
      </c>
      <c r="D137" s="1">
        <v>28</v>
      </c>
      <c r="E137" s="1" t="s">
        <v>32</v>
      </c>
      <c r="F137" s="1" t="s">
        <v>47</v>
      </c>
      <c r="G137" s="1" t="s">
        <v>28</v>
      </c>
      <c r="H137" s="1" t="s">
        <v>33</v>
      </c>
      <c r="I137" s="1">
        <v>1086.05</v>
      </c>
      <c r="J137" s="1">
        <v>6621</v>
      </c>
      <c r="K137" s="1">
        <v>720</v>
      </c>
      <c r="L137" s="1">
        <v>329</v>
      </c>
      <c r="M137" s="1">
        <v>4</v>
      </c>
      <c r="N137" s="1">
        <v>10.87449026</v>
      </c>
      <c r="O137" s="1">
        <v>45.694444439999998</v>
      </c>
      <c r="P137" s="1">
        <f t="shared" si="0"/>
        <v>4</v>
      </c>
    </row>
    <row r="138" spans="1:21" ht="14.25" customHeight="1" x14ac:dyDescent="0.35">
      <c r="A138" s="1" t="s">
        <v>263</v>
      </c>
      <c r="B138" s="3">
        <v>45368</v>
      </c>
      <c r="C138" s="1" t="s">
        <v>89</v>
      </c>
      <c r="D138" s="1">
        <v>26</v>
      </c>
      <c r="E138" s="1" t="s">
        <v>20</v>
      </c>
      <c r="F138" s="1" t="s">
        <v>21</v>
      </c>
      <c r="G138" s="1" t="s">
        <v>28</v>
      </c>
      <c r="H138" s="1" t="s">
        <v>33</v>
      </c>
      <c r="I138" s="1">
        <v>1176.19</v>
      </c>
      <c r="J138" s="1">
        <v>26486</v>
      </c>
      <c r="K138" s="1">
        <v>3603</v>
      </c>
      <c r="L138" s="1">
        <v>38</v>
      </c>
      <c r="M138" s="1">
        <v>1</v>
      </c>
      <c r="N138" s="1">
        <v>13.603413120000001</v>
      </c>
      <c r="O138" s="1">
        <v>1.054676658</v>
      </c>
      <c r="P138" s="1">
        <f t="shared" si="0"/>
        <v>1</v>
      </c>
    </row>
    <row r="139" spans="1:21" ht="14.25" customHeight="1" x14ac:dyDescent="0.35">
      <c r="A139" s="1" t="s">
        <v>264</v>
      </c>
      <c r="B139" s="3">
        <v>45525</v>
      </c>
      <c r="C139" s="1" t="s">
        <v>61</v>
      </c>
      <c r="D139" s="1">
        <v>29</v>
      </c>
      <c r="E139" s="1" t="s">
        <v>32</v>
      </c>
      <c r="F139" s="1" t="s">
        <v>21</v>
      </c>
      <c r="G139" s="1" t="s">
        <v>39</v>
      </c>
      <c r="H139" s="1" t="s">
        <v>59</v>
      </c>
      <c r="I139" s="1">
        <v>1581.66</v>
      </c>
      <c r="J139" s="1">
        <v>42855</v>
      </c>
      <c r="K139" s="1">
        <v>236</v>
      </c>
      <c r="L139" s="1">
        <v>38</v>
      </c>
      <c r="M139" s="1">
        <v>4</v>
      </c>
      <c r="N139" s="1">
        <v>0.55069420099999999</v>
      </c>
      <c r="O139" s="1">
        <v>16.10169492</v>
      </c>
      <c r="P139" s="1">
        <f t="shared" si="0"/>
        <v>4</v>
      </c>
    </row>
    <row r="140" spans="1:21" ht="14.25" customHeight="1" x14ac:dyDescent="0.35">
      <c r="A140" s="1" t="s">
        <v>265</v>
      </c>
      <c r="B140" s="3">
        <v>45623</v>
      </c>
      <c r="C140" s="1" t="s">
        <v>253</v>
      </c>
      <c r="D140" s="1">
        <v>57</v>
      </c>
      <c r="E140" s="1" t="s">
        <v>20</v>
      </c>
      <c r="F140" s="1" t="s">
        <v>54</v>
      </c>
      <c r="G140" s="1" t="s">
        <v>43</v>
      </c>
      <c r="H140" s="1" t="s">
        <v>29</v>
      </c>
      <c r="I140" s="1">
        <v>236.13</v>
      </c>
      <c r="J140" s="1">
        <v>47941</v>
      </c>
      <c r="K140" s="1">
        <v>1296</v>
      </c>
      <c r="L140" s="1">
        <v>304</v>
      </c>
      <c r="M140" s="1">
        <v>3</v>
      </c>
      <c r="N140" s="1">
        <v>2.7033228340000002</v>
      </c>
      <c r="O140" s="1">
        <v>23.456790120000001</v>
      </c>
      <c r="P140" s="1">
        <f t="shared" si="0"/>
        <v>3</v>
      </c>
    </row>
    <row r="141" spans="1:21" ht="14.25" customHeight="1" x14ac:dyDescent="0.35">
      <c r="A141" s="1" t="s">
        <v>266</v>
      </c>
      <c r="B141" s="3">
        <v>45554</v>
      </c>
      <c r="C141" s="1" t="s">
        <v>267</v>
      </c>
      <c r="D141" s="1">
        <v>21</v>
      </c>
      <c r="E141" s="1" t="s">
        <v>20</v>
      </c>
      <c r="F141" s="1" t="s">
        <v>27</v>
      </c>
      <c r="G141" s="1" t="s">
        <v>28</v>
      </c>
      <c r="H141" s="1" t="s">
        <v>33</v>
      </c>
      <c r="I141" s="1">
        <v>1679.21</v>
      </c>
      <c r="J141" s="1">
        <v>514</v>
      </c>
      <c r="K141" s="1">
        <v>4015</v>
      </c>
      <c r="L141" s="1">
        <v>292</v>
      </c>
      <c r="M141" s="1">
        <v>4</v>
      </c>
      <c r="N141" s="1">
        <v>781.12840470000003</v>
      </c>
      <c r="O141" s="1">
        <v>7.2727272730000001</v>
      </c>
      <c r="P141" s="1">
        <f t="shared" si="0"/>
        <v>4</v>
      </c>
      <c r="U141" s="1">
        <f>COUNTIF(N137:N1000, N141&gt;100)</f>
        <v>0</v>
      </c>
    </row>
    <row r="142" spans="1:21" ht="14.25" customHeight="1" x14ac:dyDescent="0.35">
      <c r="A142" s="1" t="s">
        <v>268</v>
      </c>
      <c r="B142" s="3">
        <v>45517</v>
      </c>
      <c r="C142" s="1" t="s">
        <v>139</v>
      </c>
      <c r="D142" s="1">
        <v>25</v>
      </c>
      <c r="E142" s="1" t="s">
        <v>20</v>
      </c>
      <c r="F142" s="1" t="s">
        <v>47</v>
      </c>
      <c r="G142" s="1" t="s">
        <v>22</v>
      </c>
      <c r="H142" s="1" t="s">
        <v>23</v>
      </c>
      <c r="I142" s="1">
        <v>1194.81</v>
      </c>
      <c r="J142" s="1">
        <v>27254</v>
      </c>
      <c r="K142" s="1">
        <v>2450</v>
      </c>
      <c r="L142" s="1">
        <v>306</v>
      </c>
      <c r="M142" s="1">
        <v>5</v>
      </c>
      <c r="N142" s="1">
        <v>8.9895061280000004</v>
      </c>
      <c r="O142" s="1">
        <v>12.489795920000001</v>
      </c>
      <c r="P142" s="1">
        <f t="shared" si="0"/>
        <v>5</v>
      </c>
    </row>
    <row r="143" spans="1:21" ht="14.25" customHeight="1" x14ac:dyDescent="0.35">
      <c r="A143" s="1" t="s">
        <v>269</v>
      </c>
      <c r="B143" s="3">
        <v>45377</v>
      </c>
      <c r="C143" s="1" t="s">
        <v>240</v>
      </c>
      <c r="D143" s="1">
        <v>34</v>
      </c>
      <c r="E143" s="1" t="s">
        <v>20</v>
      </c>
      <c r="F143" s="1" t="s">
        <v>38</v>
      </c>
      <c r="G143" s="1" t="s">
        <v>58</v>
      </c>
      <c r="H143" s="1" t="s">
        <v>59</v>
      </c>
      <c r="I143" s="1">
        <v>1672.02</v>
      </c>
      <c r="J143" s="1">
        <v>21176</v>
      </c>
      <c r="K143" s="1">
        <v>4692</v>
      </c>
      <c r="L143" s="1">
        <v>80</v>
      </c>
      <c r="M143" s="1">
        <v>3</v>
      </c>
      <c r="N143" s="1">
        <v>22.157159050000001</v>
      </c>
      <c r="O143" s="1">
        <v>1.705029838</v>
      </c>
      <c r="P143" s="1">
        <f t="shared" si="0"/>
        <v>3</v>
      </c>
    </row>
    <row r="144" spans="1:21" ht="14.25" customHeight="1" x14ac:dyDescent="0.35">
      <c r="A144" s="1" t="s">
        <v>270</v>
      </c>
      <c r="B144" s="3">
        <v>45450</v>
      </c>
      <c r="C144" s="1" t="s">
        <v>271</v>
      </c>
      <c r="D144" s="1">
        <v>24</v>
      </c>
      <c r="E144" s="1" t="s">
        <v>26</v>
      </c>
      <c r="F144" s="1" t="s">
        <v>21</v>
      </c>
      <c r="G144" s="1" t="s">
        <v>43</v>
      </c>
      <c r="H144" s="1" t="s">
        <v>59</v>
      </c>
      <c r="I144" s="1">
        <v>1023.46</v>
      </c>
      <c r="J144" s="1">
        <v>9697</v>
      </c>
      <c r="K144" s="1">
        <v>2536</v>
      </c>
      <c r="L144" s="1">
        <v>376</v>
      </c>
      <c r="M144" s="1">
        <v>4</v>
      </c>
      <c r="N144" s="1">
        <v>26.152418269999998</v>
      </c>
      <c r="O144" s="1">
        <v>14.82649842</v>
      </c>
      <c r="P144" s="1">
        <f t="shared" si="0"/>
        <v>4</v>
      </c>
    </row>
    <row r="145" spans="1:16" ht="14.25" customHeight="1" x14ac:dyDescent="0.35">
      <c r="A145" s="1" t="s">
        <v>272</v>
      </c>
      <c r="B145" s="3">
        <v>45655</v>
      </c>
      <c r="C145" s="1" t="s">
        <v>72</v>
      </c>
      <c r="D145" s="1">
        <v>25</v>
      </c>
      <c r="E145" s="1" t="s">
        <v>26</v>
      </c>
      <c r="F145" s="1" t="s">
        <v>42</v>
      </c>
      <c r="G145" s="1" t="s">
        <v>28</v>
      </c>
      <c r="H145" s="1" t="s">
        <v>59</v>
      </c>
      <c r="I145" s="1">
        <v>1146.9000000000001</v>
      </c>
      <c r="J145" s="1">
        <v>22595</v>
      </c>
      <c r="K145" s="1">
        <v>3499</v>
      </c>
      <c r="L145" s="1">
        <v>373</v>
      </c>
      <c r="M145" s="1">
        <v>1</v>
      </c>
      <c r="N145" s="1">
        <v>15.48572693</v>
      </c>
      <c r="O145" s="1">
        <v>10.66018863</v>
      </c>
      <c r="P145" s="1">
        <f t="shared" si="0"/>
        <v>1</v>
      </c>
    </row>
    <row r="146" spans="1:16" ht="14.25" customHeight="1" x14ac:dyDescent="0.35">
      <c r="A146" s="1" t="s">
        <v>273</v>
      </c>
      <c r="B146" s="3">
        <v>45604</v>
      </c>
      <c r="C146" s="1" t="s">
        <v>183</v>
      </c>
      <c r="D146" s="1">
        <v>31</v>
      </c>
      <c r="E146" s="1" t="s">
        <v>26</v>
      </c>
      <c r="F146" s="1" t="s">
        <v>47</v>
      </c>
      <c r="G146" s="1" t="s">
        <v>28</v>
      </c>
      <c r="H146" s="1" t="s">
        <v>59</v>
      </c>
      <c r="I146" s="1">
        <v>1868.56</v>
      </c>
      <c r="J146" s="1">
        <v>23299</v>
      </c>
      <c r="K146" s="1">
        <v>3404</v>
      </c>
      <c r="L146" s="1">
        <v>125</v>
      </c>
      <c r="M146" s="1">
        <v>4</v>
      </c>
      <c r="N146" s="1">
        <v>14.6100691</v>
      </c>
      <c r="O146" s="1">
        <v>3.6721504110000001</v>
      </c>
      <c r="P146" s="1">
        <f t="shared" si="0"/>
        <v>4</v>
      </c>
    </row>
    <row r="147" spans="1:16" ht="14.25" customHeight="1" x14ac:dyDescent="0.35">
      <c r="A147" s="1" t="s">
        <v>274</v>
      </c>
      <c r="B147" s="3">
        <v>45599</v>
      </c>
      <c r="C147" s="1" t="s">
        <v>45</v>
      </c>
      <c r="D147" s="1">
        <v>34</v>
      </c>
      <c r="E147" s="1" t="s">
        <v>26</v>
      </c>
      <c r="F147" s="1" t="s">
        <v>21</v>
      </c>
      <c r="G147" s="1" t="s">
        <v>22</v>
      </c>
      <c r="H147" s="1" t="s">
        <v>23</v>
      </c>
      <c r="I147" s="1">
        <v>1263.78</v>
      </c>
      <c r="J147" s="1">
        <v>34090</v>
      </c>
      <c r="K147" s="1">
        <v>2015</v>
      </c>
      <c r="L147" s="1">
        <v>14</v>
      </c>
      <c r="M147" s="1">
        <v>3</v>
      </c>
      <c r="N147" s="1">
        <v>5.9108242889999998</v>
      </c>
      <c r="O147" s="1">
        <v>0.694789082</v>
      </c>
      <c r="P147" s="1">
        <f t="shared" si="0"/>
        <v>3</v>
      </c>
    </row>
    <row r="148" spans="1:16" ht="14.25" customHeight="1" x14ac:dyDescent="0.35">
      <c r="A148" s="1" t="s">
        <v>275</v>
      </c>
      <c r="B148" s="3">
        <v>45539</v>
      </c>
      <c r="C148" s="1" t="s">
        <v>276</v>
      </c>
      <c r="D148" s="1">
        <v>20</v>
      </c>
      <c r="E148" s="1" t="s">
        <v>20</v>
      </c>
      <c r="F148" s="1" t="s">
        <v>47</v>
      </c>
      <c r="G148" s="1" t="s">
        <v>58</v>
      </c>
      <c r="H148" s="1" t="s">
        <v>29</v>
      </c>
      <c r="I148" s="1">
        <v>1308.43</v>
      </c>
      <c r="J148" s="1">
        <v>18719</v>
      </c>
      <c r="K148" s="1">
        <v>894</v>
      </c>
      <c r="L148" s="1">
        <v>173</v>
      </c>
      <c r="M148" s="1">
        <v>4</v>
      </c>
      <c r="N148" s="1">
        <v>4.7758961480000002</v>
      </c>
      <c r="O148" s="1">
        <v>19.351230430000001</v>
      </c>
      <c r="P148" s="1">
        <f t="shared" si="0"/>
        <v>4</v>
      </c>
    </row>
    <row r="149" spans="1:16" ht="14.25" customHeight="1" x14ac:dyDescent="0.35">
      <c r="A149" s="1" t="s">
        <v>277</v>
      </c>
      <c r="B149" s="3">
        <v>45475</v>
      </c>
      <c r="C149" s="1" t="s">
        <v>278</v>
      </c>
      <c r="D149" s="1">
        <v>57</v>
      </c>
      <c r="E149" s="1" t="s">
        <v>26</v>
      </c>
      <c r="F149" s="1" t="s">
        <v>21</v>
      </c>
      <c r="G149" s="1" t="s">
        <v>28</v>
      </c>
      <c r="H149" s="1" t="s">
        <v>23</v>
      </c>
      <c r="I149" s="1">
        <v>1682.99</v>
      </c>
      <c r="J149" s="1">
        <v>11667</v>
      </c>
      <c r="K149" s="1">
        <v>779</v>
      </c>
      <c r="L149" s="1">
        <v>301</v>
      </c>
      <c r="M149" s="1">
        <v>1</v>
      </c>
      <c r="N149" s="1">
        <v>6.6769520870000001</v>
      </c>
      <c r="O149" s="1">
        <v>38.639281130000001</v>
      </c>
      <c r="P149" s="1">
        <f t="shared" si="0"/>
        <v>1</v>
      </c>
    </row>
    <row r="150" spans="1:16" ht="14.25" customHeight="1" x14ac:dyDescent="0.35">
      <c r="A150" s="1" t="s">
        <v>279</v>
      </c>
      <c r="B150" s="3">
        <v>45413</v>
      </c>
      <c r="C150" s="1" t="s">
        <v>280</v>
      </c>
      <c r="D150" s="1">
        <v>22</v>
      </c>
      <c r="E150" s="1" t="s">
        <v>26</v>
      </c>
      <c r="F150" s="1" t="s">
        <v>47</v>
      </c>
      <c r="G150" s="1" t="s">
        <v>58</v>
      </c>
      <c r="H150" s="1" t="s">
        <v>59</v>
      </c>
      <c r="I150" s="1">
        <v>1821.16</v>
      </c>
      <c r="J150" s="1">
        <v>48120</v>
      </c>
      <c r="K150" s="1">
        <v>3814</v>
      </c>
      <c r="L150" s="1">
        <v>380</v>
      </c>
      <c r="M150" s="1">
        <v>2</v>
      </c>
      <c r="N150" s="1">
        <v>7.9260182879999999</v>
      </c>
      <c r="O150" s="1">
        <v>9.9632931310000004</v>
      </c>
      <c r="P150" s="1">
        <f t="shared" si="0"/>
        <v>2</v>
      </c>
    </row>
    <row r="151" spans="1:16" ht="14.25" customHeight="1" x14ac:dyDescent="0.35">
      <c r="A151" s="1" t="s">
        <v>281</v>
      </c>
      <c r="B151" s="3">
        <v>45368</v>
      </c>
      <c r="C151" s="1" t="s">
        <v>94</v>
      </c>
      <c r="D151" s="1">
        <v>20</v>
      </c>
      <c r="E151" s="1" t="s">
        <v>20</v>
      </c>
      <c r="F151" s="1" t="s">
        <v>21</v>
      </c>
      <c r="G151" s="1" t="s">
        <v>58</v>
      </c>
      <c r="H151" s="1" t="s">
        <v>59</v>
      </c>
      <c r="I151" s="1">
        <v>525.1</v>
      </c>
      <c r="J151" s="1">
        <v>28975</v>
      </c>
      <c r="K151" s="1">
        <v>3451</v>
      </c>
      <c r="L151" s="1">
        <v>226</v>
      </c>
      <c r="M151" s="1">
        <v>3</v>
      </c>
      <c r="N151" s="1">
        <v>11.910267470000001</v>
      </c>
      <c r="O151" s="1">
        <v>6.5488264269999998</v>
      </c>
      <c r="P151" s="1">
        <f t="shared" si="0"/>
        <v>3</v>
      </c>
    </row>
    <row r="152" spans="1:16" ht="14.25" customHeight="1" x14ac:dyDescent="0.35">
      <c r="A152" s="1" t="s">
        <v>282</v>
      </c>
      <c r="B152" s="3">
        <v>45491</v>
      </c>
      <c r="C152" s="1" t="s">
        <v>283</v>
      </c>
      <c r="D152" s="1">
        <v>47</v>
      </c>
      <c r="E152" s="1" t="s">
        <v>32</v>
      </c>
      <c r="F152" s="1" t="s">
        <v>21</v>
      </c>
      <c r="G152" s="1" t="s">
        <v>58</v>
      </c>
      <c r="H152" s="1" t="s">
        <v>59</v>
      </c>
      <c r="I152" s="1">
        <v>1341.12</v>
      </c>
      <c r="J152" s="1">
        <v>44838</v>
      </c>
      <c r="K152" s="1">
        <v>513</v>
      </c>
      <c r="L152" s="1">
        <v>116</v>
      </c>
      <c r="M152" s="1">
        <v>3</v>
      </c>
      <c r="N152" s="1">
        <v>1.1441188280000001</v>
      </c>
      <c r="O152" s="1">
        <v>22.61208577</v>
      </c>
      <c r="P152" s="1">
        <f t="shared" si="0"/>
        <v>3</v>
      </c>
    </row>
    <row r="153" spans="1:16" ht="14.25" customHeight="1" x14ac:dyDescent="0.35">
      <c r="A153" s="1" t="s">
        <v>284</v>
      </c>
      <c r="B153" s="3">
        <v>45377</v>
      </c>
      <c r="C153" s="1" t="s">
        <v>135</v>
      </c>
      <c r="D153" s="1">
        <v>55</v>
      </c>
      <c r="E153" s="1" t="s">
        <v>20</v>
      </c>
      <c r="F153" s="1" t="s">
        <v>47</v>
      </c>
      <c r="G153" s="1" t="s">
        <v>39</v>
      </c>
      <c r="H153" s="1" t="s">
        <v>29</v>
      </c>
      <c r="I153" s="1">
        <v>284.70999999999998</v>
      </c>
      <c r="J153" s="1">
        <v>14614</v>
      </c>
      <c r="K153" s="1">
        <v>4094</v>
      </c>
      <c r="L153" s="1">
        <v>350</v>
      </c>
      <c r="M153" s="1">
        <v>1</v>
      </c>
      <c r="N153" s="1">
        <v>28.014232929999999</v>
      </c>
      <c r="O153" s="1">
        <v>8.5490962380000006</v>
      </c>
      <c r="P153" s="1">
        <f t="shared" si="0"/>
        <v>1</v>
      </c>
    </row>
    <row r="154" spans="1:16" ht="14.25" customHeight="1" x14ac:dyDescent="0.35">
      <c r="A154" s="1" t="s">
        <v>285</v>
      </c>
      <c r="B154" s="3">
        <v>45478</v>
      </c>
      <c r="C154" s="1" t="s">
        <v>286</v>
      </c>
      <c r="D154" s="1">
        <v>31</v>
      </c>
      <c r="E154" s="1" t="s">
        <v>20</v>
      </c>
      <c r="F154" s="1" t="s">
        <v>47</v>
      </c>
      <c r="G154" s="1" t="s">
        <v>39</v>
      </c>
      <c r="H154" s="1" t="s">
        <v>23</v>
      </c>
      <c r="I154" s="1">
        <v>177.34</v>
      </c>
      <c r="J154" s="1">
        <v>46988</v>
      </c>
      <c r="K154" s="1">
        <v>1878</v>
      </c>
      <c r="L154" s="1">
        <v>165</v>
      </c>
      <c r="M154" s="1">
        <v>1</v>
      </c>
      <c r="N154" s="1">
        <v>3.9967651320000002</v>
      </c>
      <c r="O154" s="1">
        <v>8.7859424920000002</v>
      </c>
      <c r="P154" s="1">
        <f t="shared" si="0"/>
        <v>1</v>
      </c>
    </row>
    <row r="155" spans="1:16" ht="14.25" customHeight="1" x14ac:dyDescent="0.35">
      <c r="A155" s="1" t="s">
        <v>287</v>
      </c>
      <c r="B155" s="3">
        <v>45589</v>
      </c>
      <c r="C155" s="1" t="s">
        <v>35</v>
      </c>
      <c r="E155" s="1" t="s">
        <v>32</v>
      </c>
      <c r="G155" s="1" t="s">
        <v>43</v>
      </c>
      <c r="H155" s="1" t="s">
        <v>29</v>
      </c>
      <c r="I155" s="1">
        <v>1292.6099999999999</v>
      </c>
      <c r="J155" s="1">
        <v>5323</v>
      </c>
      <c r="K155" s="1">
        <v>874</v>
      </c>
      <c r="L155" s="1">
        <v>48</v>
      </c>
      <c r="N155" s="1">
        <v>16.419312420000001</v>
      </c>
      <c r="O155" s="1">
        <v>5.4919908470000003</v>
      </c>
      <c r="P155" s="1">
        <f t="shared" si="0"/>
        <v>3</v>
      </c>
    </row>
    <row r="156" spans="1:16" ht="14.25" customHeight="1" x14ac:dyDescent="0.35">
      <c r="A156" s="1" t="s">
        <v>288</v>
      </c>
      <c r="B156" s="3">
        <v>45522</v>
      </c>
      <c r="C156" s="1" t="s">
        <v>289</v>
      </c>
      <c r="D156" s="1">
        <v>18</v>
      </c>
      <c r="E156" s="1" t="s">
        <v>26</v>
      </c>
      <c r="F156" s="1" t="s">
        <v>27</v>
      </c>
      <c r="G156" s="1" t="s">
        <v>43</v>
      </c>
      <c r="H156" s="1" t="s">
        <v>59</v>
      </c>
      <c r="I156" s="1">
        <v>1005.88</v>
      </c>
      <c r="J156" s="1">
        <v>2393</v>
      </c>
      <c r="K156" s="1">
        <v>478</v>
      </c>
      <c r="L156" s="1">
        <v>251</v>
      </c>
      <c r="M156" s="1">
        <v>3</v>
      </c>
      <c r="N156" s="1">
        <v>19.974926870000001</v>
      </c>
      <c r="O156" s="1">
        <v>52.510460250000001</v>
      </c>
      <c r="P156" s="1">
        <f t="shared" si="0"/>
        <v>3</v>
      </c>
    </row>
    <row r="157" spans="1:16" ht="14.25" customHeight="1" x14ac:dyDescent="0.35">
      <c r="A157" s="1" t="s">
        <v>290</v>
      </c>
      <c r="B157" s="3">
        <v>45591</v>
      </c>
      <c r="C157" s="1" t="s">
        <v>167</v>
      </c>
      <c r="D157" s="1">
        <v>39</v>
      </c>
      <c r="E157" s="1" t="s">
        <v>26</v>
      </c>
      <c r="F157" s="1" t="s">
        <v>54</v>
      </c>
      <c r="G157" s="1" t="s">
        <v>22</v>
      </c>
      <c r="H157" s="1" t="s">
        <v>23</v>
      </c>
      <c r="I157" s="1">
        <v>1768.56</v>
      </c>
      <c r="J157" s="1">
        <v>33373</v>
      </c>
      <c r="K157" s="1">
        <v>4445</v>
      </c>
      <c r="L157" s="1">
        <v>17</v>
      </c>
      <c r="M157" s="1">
        <v>1</v>
      </c>
      <c r="N157" s="1">
        <v>13.31915021</v>
      </c>
      <c r="O157" s="1">
        <v>0.382452193</v>
      </c>
      <c r="P157" s="1">
        <f t="shared" si="0"/>
        <v>1</v>
      </c>
    </row>
    <row r="158" spans="1:16" ht="14.25" customHeight="1" x14ac:dyDescent="0.35">
      <c r="A158" s="1" t="s">
        <v>291</v>
      </c>
      <c r="B158" s="3">
        <v>45607</v>
      </c>
      <c r="C158" s="1" t="s">
        <v>292</v>
      </c>
      <c r="D158" s="1">
        <v>53</v>
      </c>
      <c r="E158" s="1" t="s">
        <v>20</v>
      </c>
      <c r="F158" s="1" t="s">
        <v>47</v>
      </c>
      <c r="G158" s="1" t="s">
        <v>28</v>
      </c>
      <c r="H158" s="1" t="s">
        <v>23</v>
      </c>
      <c r="I158" s="1">
        <v>769.37</v>
      </c>
      <c r="J158" s="1">
        <v>10164</v>
      </c>
      <c r="K158" s="1">
        <v>2399</v>
      </c>
      <c r="L158" s="1">
        <v>81</v>
      </c>
      <c r="M158" s="1">
        <v>3</v>
      </c>
      <c r="N158" s="1">
        <v>23.602912239999998</v>
      </c>
      <c r="O158" s="1">
        <v>3.3764068360000001</v>
      </c>
      <c r="P158" s="1">
        <f t="shared" si="0"/>
        <v>3</v>
      </c>
    </row>
    <row r="159" spans="1:16" ht="14.25" customHeight="1" x14ac:dyDescent="0.35">
      <c r="A159" s="1" t="s">
        <v>293</v>
      </c>
      <c r="B159" s="3">
        <v>45630</v>
      </c>
      <c r="C159" s="1" t="s">
        <v>294</v>
      </c>
      <c r="E159" s="1" t="s">
        <v>26</v>
      </c>
      <c r="G159" s="1" t="s">
        <v>39</v>
      </c>
      <c r="H159" s="1" t="s">
        <v>23</v>
      </c>
      <c r="I159" s="1">
        <v>1716.19</v>
      </c>
      <c r="J159" s="1">
        <v>23319</v>
      </c>
      <c r="K159" s="1">
        <v>3525</v>
      </c>
      <c r="L159" s="1">
        <v>263</v>
      </c>
      <c r="N159" s="1">
        <v>15.11642866</v>
      </c>
      <c r="O159" s="1">
        <v>7.4609929079999997</v>
      </c>
      <c r="P159" s="1">
        <f t="shared" si="0"/>
        <v>3</v>
      </c>
    </row>
    <row r="160" spans="1:16" ht="14.25" customHeight="1" x14ac:dyDescent="0.35">
      <c r="A160" s="1" t="s">
        <v>295</v>
      </c>
      <c r="B160" s="3">
        <v>45355</v>
      </c>
      <c r="C160" s="1" t="s">
        <v>296</v>
      </c>
      <c r="D160" s="1">
        <v>44</v>
      </c>
      <c r="E160" s="1" t="s">
        <v>20</v>
      </c>
      <c r="F160" s="1" t="s">
        <v>38</v>
      </c>
      <c r="G160" s="1" t="s">
        <v>39</v>
      </c>
      <c r="H160" s="1" t="s">
        <v>23</v>
      </c>
      <c r="I160" s="1">
        <v>1538</v>
      </c>
      <c r="J160" s="1">
        <v>44434</v>
      </c>
      <c r="K160" s="1">
        <v>4867</v>
      </c>
      <c r="L160" s="1">
        <v>300</v>
      </c>
      <c r="N160" s="1">
        <v>10.953324029999999</v>
      </c>
      <c r="O160" s="1">
        <v>6.1639613730000002</v>
      </c>
      <c r="P160" s="1">
        <f t="shared" si="0"/>
        <v>3</v>
      </c>
    </row>
    <row r="161" spans="1:16" ht="14.25" customHeight="1" x14ac:dyDescent="0.35">
      <c r="A161" s="1" t="s">
        <v>297</v>
      </c>
      <c r="B161" s="3">
        <v>45327</v>
      </c>
      <c r="C161" s="1" t="s">
        <v>283</v>
      </c>
      <c r="D161" s="1">
        <v>47</v>
      </c>
      <c r="E161" s="1" t="s">
        <v>20</v>
      </c>
      <c r="F161" s="1" t="s">
        <v>38</v>
      </c>
      <c r="G161" s="1" t="s">
        <v>43</v>
      </c>
      <c r="H161" s="1" t="s">
        <v>59</v>
      </c>
      <c r="I161" s="1">
        <v>684.45</v>
      </c>
      <c r="J161" s="1">
        <v>30615</v>
      </c>
      <c r="K161" s="1">
        <v>4526</v>
      </c>
      <c r="L161" s="1">
        <v>325</v>
      </c>
      <c r="N161" s="1">
        <v>14.78360281</v>
      </c>
      <c r="O161" s="1">
        <v>7.1807335400000003</v>
      </c>
      <c r="P161" s="1">
        <f t="shared" si="0"/>
        <v>3</v>
      </c>
    </row>
    <row r="162" spans="1:16" ht="14.25" customHeight="1" x14ac:dyDescent="0.35">
      <c r="A162" s="1" t="s">
        <v>298</v>
      </c>
      <c r="B162" s="3">
        <v>45369</v>
      </c>
      <c r="C162" s="1" t="s">
        <v>299</v>
      </c>
      <c r="D162" s="1">
        <v>33</v>
      </c>
      <c r="E162" s="1" t="s">
        <v>26</v>
      </c>
      <c r="F162" s="1" t="s">
        <v>38</v>
      </c>
      <c r="G162" s="1" t="s">
        <v>28</v>
      </c>
      <c r="H162" s="1" t="s">
        <v>23</v>
      </c>
      <c r="I162" s="1">
        <v>592.63</v>
      </c>
      <c r="J162" s="1">
        <v>17339</v>
      </c>
      <c r="K162" s="1">
        <v>3613</v>
      </c>
      <c r="L162" s="1">
        <v>72</v>
      </c>
      <c r="N162" s="1">
        <v>20.837418540000002</v>
      </c>
      <c r="O162" s="1">
        <v>1.992803764</v>
      </c>
      <c r="P162" s="1">
        <f t="shared" si="0"/>
        <v>3</v>
      </c>
    </row>
    <row r="163" spans="1:16" ht="14.25" customHeight="1" x14ac:dyDescent="0.35">
      <c r="A163" s="1" t="s">
        <v>300</v>
      </c>
      <c r="B163" s="3">
        <v>45580</v>
      </c>
      <c r="C163" s="1" t="s">
        <v>108</v>
      </c>
      <c r="D163" s="1">
        <v>22</v>
      </c>
      <c r="E163" s="1" t="s">
        <v>26</v>
      </c>
      <c r="F163" s="1" t="s">
        <v>54</v>
      </c>
      <c r="G163" s="1" t="s">
        <v>39</v>
      </c>
      <c r="H163" s="1" t="s">
        <v>23</v>
      </c>
      <c r="I163" s="1">
        <v>1433.46</v>
      </c>
      <c r="J163" s="1">
        <v>42777</v>
      </c>
      <c r="K163" s="1">
        <v>2839</v>
      </c>
      <c r="L163" s="1">
        <v>264</v>
      </c>
      <c r="M163" s="1">
        <v>3</v>
      </c>
      <c r="N163" s="1">
        <v>6.6367440450000004</v>
      </c>
      <c r="O163" s="1">
        <v>9.2990489610000004</v>
      </c>
      <c r="P163" s="1">
        <f t="shared" si="0"/>
        <v>3</v>
      </c>
    </row>
    <row r="164" spans="1:16" ht="14.25" customHeight="1" x14ac:dyDescent="0.35">
      <c r="A164" s="1" t="s">
        <v>301</v>
      </c>
      <c r="B164" s="3">
        <v>45409</v>
      </c>
      <c r="C164" s="1" t="s">
        <v>74</v>
      </c>
      <c r="D164" s="1">
        <v>39</v>
      </c>
      <c r="E164" s="1" t="s">
        <v>26</v>
      </c>
      <c r="F164" s="1" t="s">
        <v>38</v>
      </c>
      <c r="G164" s="1" t="s">
        <v>28</v>
      </c>
      <c r="H164" s="1" t="s">
        <v>23</v>
      </c>
      <c r="I164" s="1">
        <v>1562.84</v>
      </c>
      <c r="J164" s="1">
        <v>36265</v>
      </c>
      <c r="K164" s="1">
        <v>2424</v>
      </c>
      <c r="L164" s="1">
        <v>343</v>
      </c>
      <c r="M164" s="1">
        <v>1</v>
      </c>
      <c r="N164" s="1">
        <v>6.6841307050000003</v>
      </c>
      <c r="O164" s="1">
        <v>14.150165019999999</v>
      </c>
      <c r="P164" s="1">
        <f t="shared" si="0"/>
        <v>1</v>
      </c>
    </row>
    <row r="165" spans="1:16" ht="14.25" customHeight="1" x14ac:dyDescent="0.35">
      <c r="A165" s="1" t="s">
        <v>302</v>
      </c>
      <c r="B165" s="3">
        <v>45507</v>
      </c>
      <c r="C165" s="1" t="s">
        <v>209</v>
      </c>
      <c r="D165" s="1">
        <v>64</v>
      </c>
      <c r="E165" s="1" t="s">
        <v>20</v>
      </c>
      <c r="F165" s="1" t="s">
        <v>42</v>
      </c>
      <c r="G165" s="1" t="s">
        <v>28</v>
      </c>
      <c r="H165" s="1" t="s">
        <v>29</v>
      </c>
      <c r="I165" s="1">
        <v>1173.8699999999999</v>
      </c>
      <c r="J165" s="1">
        <v>21220</v>
      </c>
      <c r="K165" s="1">
        <v>4446</v>
      </c>
      <c r="L165" s="1">
        <v>247</v>
      </c>
      <c r="N165" s="1">
        <v>20.95193214</v>
      </c>
      <c r="O165" s="1">
        <v>5.5555555559999998</v>
      </c>
      <c r="P165" s="1">
        <f t="shared" si="0"/>
        <v>3</v>
      </c>
    </row>
    <row r="166" spans="1:16" ht="14.25" customHeight="1" x14ac:dyDescent="0.35">
      <c r="A166" s="1" t="s">
        <v>303</v>
      </c>
      <c r="B166" s="3">
        <v>45453</v>
      </c>
      <c r="C166" s="1" t="s">
        <v>294</v>
      </c>
      <c r="D166" s="1">
        <v>45</v>
      </c>
      <c r="E166" s="1" t="s">
        <v>26</v>
      </c>
      <c r="F166" s="1" t="s">
        <v>47</v>
      </c>
      <c r="G166" s="1" t="s">
        <v>28</v>
      </c>
      <c r="H166" s="1" t="s">
        <v>33</v>
      </c>
      <c r="I166" s="1">
        <v>316.95999999999998</v>
      </c>
      <c r="J166" s="1">
        <v>42898</v>
      </c>
      <c r="K166" s="1">
        <v>2113</v>
      </c>
      <c r="L166" s="1">
        <v>267</v>
      </c>
      <c r="M166" s="1">
        <v>1</v>
      </c>
      <c r="N166" s="1">
        <v>4.9256375590000001</v>
      </c>
      <c r="O166" s="1">
        <v>12.636062470000001</v>
      </c>
      <c r="P166" s="1">
        <f t="shared" si="0"/>
        <v>1</v>
      </c>
    </row>
    <row r="167" spans="1:16" ht="14.25" customHeight="1" x14ac:dyDescent="0.35">
      <c r="A167" s="1" t="s">
        <v>304</v>
      </c>
      <c r="B167" s="3">
        <v>45337</v>
      </c>
      <c r="C167" s="1" t="s">
        <v>120</v>
      </c>
      <c r="D167" s="1">
        <v>62</v>
      </c>
      <c r="E167" s="1" t="s">
        <v>26</v>
      </c>
      <c r="F167" s="1" t="s">
        <v>38</v>
      </c>
      <c r="G167" s="1" t="s">
        <v>22</v>
      </c>
      <c r="H167" s="1" t="s">
        <v>59</v>
      </c>
      <c r="I167" s="1">
        <v>1607.24</v>
      </c>
      <c r="J167" s="1">
        <v>7128</v>
      </c>
      <c r="K167" s="1">
        <v>3584</v>
      </c>
      <c r="L167" s="1">
        <v>371</v>
      </c>
      <c r="M167" s="1">
        <v>2</v>
      </c>
      <c r="N167" s="1">
        <v>50.280583610000001</v>
      </c>
      <c r="O167" s="1">
        <v>10.3515625</v>
      </c>
      <c r="P167" s="1">
        <f t="shared" si="0"/>
        <v>2</v>
      </c>
    </row>
    <row r="168" spans="1:16" ht="14.25" customHeight="1" x14ac:dyDescent="0.35">
      <c r="A168" s="1" t="s">
        <v>305</v>
      </c>
      <c r="B168" s="3">
        <v>45408</v>
      </c>
      <c r="C168" s="1" t="s">
        <v>157</v>
      </c>
      <c r="D168" s="1">
        <v>28</v>
      </c>
      <c r="E168" s="1" t="s">
        <v>20</v>
      </c>
      <c r="F168" s="1" t="s">
        <v>42</v>
      </c>
      <c r="G168" s="1" t="s">
        <v>28</v>
      </c>
      <c r="H168" s="1" t="s">
        <v>33</v>
      </c>
      <c r="I168" s="1">
        <v>1275.19</v>
      </c>
      <c r="J168" s="1">
        <v>30571</v>
      </c>
      <c r="K168" s="1">
        <v>1296</v>
      </c>
      <c r="L168" s="1">
        <v>132</v>
      </c>
      <c r="M168" s="1">
        <v>1</v>
      </c>
      <c r="N168" s="1">
        <v>4.2393117660000001</v>
      </c>
      <c r="O168" s="1">
        <v>10.18518519</v>
      </c>
      <c r="P168" s="1">
        <f t="shared" si="0"/>
        <v>1</v>
      </c>
    </row>
    <row r="169" spans="1:16" ht="14.25" customHeight="1" x14ac:dyDescent="0.35">
      <c r="A169" s="1" t="s">
        <v>306</v>
      </c>
      <c r="B169" s="3">
        <v>45337</v>
      </c>
      <c r="C169" s="1" t="s">
        <v>250</v>
      </c>
      <c r="D169" s="1">
        <v>45</v>
      </c>
      <c r="E169" s="1" t="s">
        <v>26</v>
      </c>
      <c r="F169" s="1" t="s">
        <v>54</v>
      </c>
      <c r="G169" s="1" t="s">
        <v>22</v>
      </c>
      <c r="H169" s="1" t="s">
        <v>33</v>
      </c>
      <c r="I169" s="1">
        <v>1302.56</v>
      </c>
      <c r="J169" s="1">
        <v>45017</v>
      </c>
      <c r="K169" s="1">
        <v>251</v>
      </c>
      <c r="L169" s="1">
        <v>50</v>
      </c>
      <c r="N169" s="1">
        <v>0.55756714100000004</v>
      </c>
      <c r="O169" s="1">
        <v>19.920318730000002</v>
      </c>
      <c r="P169" s="1">
        <f t="shared" si="0"/>
        <v>3</v>
      </c>
    </row>
    <row r="170" spans="1:16" ht="14.25" customHeight="1" x14ac:dyDescent="0.35">
      <c r="A170" s="1" t="s">
        <v>307</v>
      </c>
      <c r="B170" s="3">
        <v>45653</v>
      </c>
      <c r="C170" s="1" t="s">
        <v>65</v>
      </c>
      <c r="D170" s="1">
        <v>18</v>
      </c>
      <c r="E170" s="1" t="s">
        <v>32</v>
      </c>
      <c r="F170" s="1" t="s">
        <v>54</v>
      </c>
      <c r="G170" s="1" t="s">
        <v>39</v>
      </c>
      <c r="H170" s="1" t="s">
        <v>59</v>
      </c>
      <c r="I170" s="1">
        <v>1092.58</v>
      </c>
      <c r="J170" s="1">
        <v>41758</v>
      </c>
      <c r="K170" s="1">
        <v>4051</v>
      </c>
      <c r="L170" s="1">
        <v>84</v>
      </c>
      <c r="M170" s="1">
        <v>4</v>
      </c>
      <c r="N170" s="1">
        <v>9.7011351119999993</v>
      </c>
      <c r="O170" s="1">
        <v>2.0735620830000001</v>
      </c>
      <c r="P170" s="1">
        <f t="shared" si="0"/>
        <v>4</v>
      </c>
    </row>
    <row r="171" spans="1:16" ht="14.25" customHeight="1" x14ac:dyDescent="0.35">
      <c r="A171" s="1" t="s">
        <v>308</v>
      </c>
      <c r="B171" s="3">
        <v>45334</v>
      </c>
      <c r="C171" s="1" t="s">
        <v>309</v>
      </c>
      <c r="D171" s="1">
        <v>39</v>
      </c>
      <c r="E171" s="1" t="s">
        <v>32</v>
      </c>
      <c r="F171" s="1" t="s">
        <v>42</v>
      </c>
      <c r="G171" s="1" t="s">
        <v>28</v>
      </c>
      <c r="H171" s="1" t="s">
        <v>33</v>
      </c>
      <c r="I171" s="1">
        <v>835.42</v>
      </c>
      <c r="J171" s="1">
        <v>7997</v>
      </c>
      <c r="K171" s="1">
        <v>2332</v>
      </c>
      <c r="L171" s="1">
        <v>117</v>
      </c>
      <c r="M171" s="1">
        <v>1</v>
      </c>
      <c r="N171" s="1">
        <v>29.160935349999999</v>
      </c>
      <c r="O171" s="1">
        <v>5.0171526589999997</v>
      </c>
      <c r="P171" s="1">
        <f t="shared" si="0"/>
        <v>1</v>
      </c>
    </row>
    <row r="172" spans="1:16" ht="14.25" customHeight="1" x14ac:dyDescent="0.35">
      <c r="A172" s="1" t="s">
        <v>310</v>
      </c>
      <c r="B172" s="3">
        <v>45644</v>
      </c>
      <c r="C172" s="1" t="s">
        <v>74</v>
      </c>
      <c r="E172" s="1" t="s">
        <v>32</v>
      </c>
      <c r="G172" s="1" t="s">
        <v>58</v>
      </c>
      <c r="H172" s="1" t="s">
        <v>33</v>
      </c>
      <c r="I172" s="1">
        <v>1636.97</v>
      </c>
      <c r="J172" s="1">
        <v>24481</v>
      </c>
      <c r="K172" s="1">
        <v>2827</v>
      </c>
      <c r="L172" s="1">
        <v>93</v>
      </c>
      <c r="N172" s="1">
        <v>11.54773089</v>
      </c>
      <c r="O172" s="1">
        <v>3.2897064029999998</v>
      </c>
      <c r="P172" s="1">
        <f t="shared" si="0"/>
        <v>3</v>
      </c>
    </row>
    <row r="173" spans="1:16" ht="14.25" customHeight="1" x14ac:dyDescent="0.35">
      <c r="A173" s="1" t="s">
        <v>311</v>
      </c>
      <c r="B173" s="3">
        <v>45582</v>
      </c>
      <c r="C173" s="1" t="s">
        <v>312</v>
      </c>
      <c r="D173" s="1">
        <v>63</v>
      </c>
      <c r="E173" s="1" t="s">
        <v>26</v>
      </c>
      <c r="F173" s="1" t="s">
        <v>54</v>
      </c>
      <c r="G173" s="1" t="s">
        <v>28</v>
      </c>
      <c r="H173" s="1" t="s">
        <v>23</v>
      </c>
      <c r="I173" s="1">
        <v>1077.04</v>
      </c>
      <c r="J173" s="1">
        <v>4347</v>
      </c>
      <c r="K173" s="1">
        <v>3382</v>
      </c>
      <c r="L173" s="1">
        <v>163</v>
      </c>
      <c r="M173" s="1">
        <v>2</v>
      </c>
      <c r="N173" s="1">
        <v>77.800782150000003</v>
      </c>
      <c r="O173" s="1">
        <v>4.8196333530000004</v>
      </c>
      <c r="P173" s="1">
        <f t="shared" si="0"/>
        <v>2</v>
      </c>
    </row>
    <row r="174" spans="1:16" ht="14.25" customHeight="1" x14ac:dyDescent="0.35">
      <c r="A174" s="1" t="s">
        <v>313</v>
      </c>
      <c r="B174" s="3">
        <v>45387</v>
      </c>
      <c r="C174" s="1" t="s">
        <v>314</v>
      </c>
      <c r="D174" s="1">
        <v>21</v>
      </c>
      <c r="E174" s="1" t="s">
        <v>26</v>
      </c>
      <c r="F174" s="1" t="s">
        <v>42</v>
      </c>
      <c r="G174" s="1" t="s">
        <v>39</v>
      </c>
      <c r="H174" s="1" t="s">
        <v>33</v>
      </c>
      <c r="I174" s="1">
        <v>1509.02</v>
      </c>
      <c r="J174" s="1">
        <v>39791</v>
      </c>
      <c r="K174" s="1">
        <v>3198</v>
      </c>
      <c r="L174" s="1">
        <v>283</v>
      </c>
      <c r="M174" s="1">
        <v>2</v>
      </c>
      <c r="N174" s="1">
        <v>8.0369932899999998</v>
      </c>
      <c r="O174" s="1">
        <v>8.8492808010000008</v>
      </c>
      <c r="P174" s="1">
        <f t="shared" si="0"/>
        <v>2</v>
      </c>
    </row>
    <row r="175" spans="1:16" ht="14.25" customHeight="1" x14ac:dyDescent="0.35">
      <c r="A175" s="1" t="s">
        <v>315</v>
      </c>
      <c r="B175" s="3">
        <v>45475</v>
      </c>
      <c r="C175" s="1" t="s">
        <v>316</v>
      </c>
      <c r="D175" s="1">
        <v>23</v>
      </c>
      <c r="E175" s="1" t="s">
        <v>26</v>
      </c>
      <c r="F175" s="1" t="s">
        <v>47</v>
      </c>
      <c r="G175" s="1" t="s">
        <v>22</v>
      </c>
      <c r="H175" s="1" t="s">
        <v>33</v>
      </c>
      <c r="I175" s="1">
        <v>1057.3399999999999</v>
      </c>
      <c r="J175" s="1">
        <v>3895</v>
      </c>
      <c r="K175" s="1">
        <v>1298</v>
      </c>
      <c r="L175" s="1">
        <v>218</v>
      </c>
      <c r="M175" s="1">
        <v>5</v>
      </c>
      <c r="N175" s="1">
        <v>33.324775350000003</v>
      </c>
      <c r="O175" s="1">
        <v>16.795069340000001</v>
      </c>
      <c r="P175" s="1">
        <f t="shared" si="0"/>
        <v>5</v>
      </c>
    </row>
    <row r="176" spans="1:16" ht="14.25" customHeight="1" x14ac:dyDescent="0.35">
      <c r="A176" s="1" t="s">
        <v>317</v>
      </c>
      <c r="B176" s="3">
        <v>45522</v>
      </c>
      <c r="C176" s="1" t="s">
        <v>276</v>
      </c>
      <c r="D176" s="1">
        <v>18</v>
      </c>
      <c r="E176" s="1" t="s">
        <v>32</v>
      </c>
      <c r="F176" s="1" t="s">
        <v>21</v>
      </c>
      <c r="G176" s="1" t="s">
        <v>28</v>
      </c>
      <c r="H176" s="1" t="s">
        <v>29</v>
      </c>
      <c r="I176" s="1">
        <v>317.67</v>
      </c>
      <c r="J176" s="1">
        <v>23696</v>
      </c>
      <c r="K176" s="1">
        <v>2329</v>
      </c>
      <c r="L176" s="1">
        <v>341</v>
      </c>
      <c r="M176" s="1">
        <v>5</v>
      </c>
      <c r="N176" s="1">
        <v>9.8286630650000006</v>
      </c>
      <c r="O176" s="1">
        <v>14.641477030000001</v>
      </c>
      <c r="P176" s="1">
        <f t="shared" si="0"/>
        <v>5</v>
      </c>
    </row>
    <row r="177" spans="1:21" ht="14.25" customHeight="1" x14ac:dyDescent="0.35">
      <c r="A177" s="1" t="s">
        <v>318</v>
      </c>
      <c r="B177" s="3">
        <v>45557</v>
      </c>
      <c r="C177" s="1" t="s">
        <v>112</v>
      </c>
      <c r="D177" s="1">
        <v>63</v>
      </c>
      <c r="E177" s="1" t="s">
        <v>26</v>
      </c>
      <c r="F177" s="1" t="s">
        <v>54</v>
      </c>
      <c r="G177" s="1" t="s">
        <v>28</v>
      </c>
      <c r="H177" s="1" t="s">
        <v>23</v>
      </c>
      <c r="I177" s="1">
        <v>285.07</v>
      </c>
      <c r="J177" s="1">
        <v>38068</v>
      </c>
      <c r="K177" s="1">
        <v>2716</v>
      </c>
      <c r="L177" s="1">
        <v>243</v>
      </c>
      <c r="M177" s="1">
        <v>4</v>
      </c>
      <c r="N177" s="1">
        <v>7.1346012400000003</v>
      </c>
      <c r="O177" s="1">
        <v>8.9469808539999995</v>
      </c>
      <c r="P177" s="1">
        <f t="shared" si="0"/>
        <v>4</v>
      </c>
    </row>
    <row r="178" spans="1:21" ht="14.25" customHeight="1" x14ac:dyDescent="0.35">
      <c r="A178" s="1" t="s">
        <v>319</v>
      </c>
      <c r="B178" s="3">
        <v>45561</v>
      </c>
      <c r="C178" s="1" t="s">
        <v>299</v>
      </c>
      <c r="D178" s="1">
        <v>35</v>
      </c>
      <c r="E178" s="1" t="s">
        <v>20</v>
      </c>
      <c r="F178" s="1" t="s">
        <v>27</v>
      </c>
      <c r="G178" s="1" t="s">
        <v>22</v>
      </c>
      <c r="H178" s="1" t="s">
        <v>23</v>
      </c>
      <c r="I178" s="1">
        <v>110.33</v>
      </c>
      <c r="J178" s="1">
        <v>30034</v>
      </c>
      <c r="K178" s="1">
        <v>2366</v>
      </c>
      <c r="L178" s="1">
        <v>97</v>
      </c>
      <c r="M178" s="1">
        <v>3</v>
      </c>
      <c r="N178" s="1">
        <v>7.8777385630000003</v>
      </c>
      <c r="O178" s="1">
        <v>4.0997464069999996</v>
      </c>
      <c r="P178" s="1">
        <f t="shared" si="0"/>
        <v>3</v>
      </c>
    </row>
    <row r="179" spans="1:21" ht="14.25" customHeight="1" x14ac:dyDescent="0.35">
      <c r="A179" s="1" t="s">
        <v>320</v>
      </c>
      <c r="B179" s="3">
        <v>45633</v>
      </c>
      <c r="C179" s="1" t="s">
        <v>321</v>
      </c>
      <c r="D179" s="1">
        <v>28</v>
      </c>
      <c r="E179" s="1" t="s">
        <v>32</v>
      </c>
      <c r="F179" s="1" t="s">
        <v>38</v>
      </c>
      <c r="G179" s="1" t="s">
        <v>28</v>
      </c>
      <c r="H179" s="1" t="s">
        <v>59</v>
      </c>
      <c r="I179" s="1">
        <v>641.88</v>
      </c>
      <c r="J179" s="1">
        <v>33060</v>
      </c>
      <c r="K179" s="1">
        <v>560</v>
      </c>
      <c r="L179" s="1">
        <v>331</v>
      </c>
      <c r="M179" s="1">
        <v>1</v>
      </c>
      <c r="N179" s="1">
        <v>1.693889897</v>
      </c>
      <c r="O179" s="1">
        <v>59.107142860000003</v>
      </c>
      <c r="P179" s="1">
        <f t="shared" si="0"/>
        <v>1</v>
      </c>
    </row>
    <row r="180" spans="1:21" ht="14.25" customHeight="1" x14ac:dyDescent="0.35">
      <c r="A180" s="1" t="s">
        <v>322</v>
      </c>
      <c r="B180" s="3">
        <v>45293</v>
      </c>
      <c r="C180" s="1" t="s">
        <v>196</v>
      </c>
      <c r="D180" s="1">
        <v>57</v>
      </c>
      <c r="E180" s="1" t="s">
        <v>32</v>
      </c>
      <c r="F180" s="1" t="s">
        <v>54</v>
      </c>
      <c r="G180" s="1" t="s">
        <v>39</v>
      </c>
      <c r="H180" s="1" t="s">
        <v>59</v>
      </c>
      <c r="I180" s="1">
        <v>304.58999999999997</v>
      </c>
      <c r="J180" s="1">
        <v>9742</v>
      </c>
      <c r="K180" s="1">
        <v>2808</v>
      </c>
      <c r="L180" s="1">
        <v>397</v>
      </c>
      <c r="M180" s="1">
        <v>2</v>
      </c>
      <c r="N180" s="1">
        <v>28.823650170000001</v>
      </c>
      <c r="O180" s="1">
        <v>14.138176639999999</v>
      </c>
      <c r="P180" s="1">
        <f t="shared" si="0"/>
        <v>2</v>
      </c>
    </row>
    <row r="181" spans="1:21" ht="14.25" customHeight="1" x14ac:dyDescent="0.35">
      <c r="A181" s="1" t="s">
        <v>323</v>
      </c>
      <c r="B181" s="3">
        <v>45579</v>
      </c>
      <c r="C181" s="1" t="s">
        <v>324</v>
      </c>
      <c r="E181" s="1" t="s">
        <v>26</v>
      </c>
      <c r="G181" s="1" t="s">
        <v>58</v>
      </c>
      <c r="H181" s="1" t="s">
        <v>23</v>
      </c>
      <c r="I181" s="1">
        <v>1625.89</v>
      </c>
      <c r="J181" s="1">
        <v>737</v>
      </c>
      <c r="K181" s="1">
        <v>1817</v>
      </c>
      <c r="L181" s="1">
        <v>42</v>
      </c>
      <c r="N181" s="1">
        <v>246.5400271</v>
      </c>
      <c r="O181" s="1">
        <v>2.3115024769999999</v>
      </c>
      <c r="P181" s="1">
        <f t="shared" si="0"/>
        <v>3</v>
      </c>
      <c r="U181" s="1">
        <f>COUNTIF(N177:N1000, N181&gt;100)</f>
        <v>0</v>
      </c>
    </row>
    <row r="182" spans="1:21" ht="14.25" customHeight="1" x14ac:dyDescent="0.35">
      <c r="A182" s="1" t="s">
        <v>325</v>
      </c>
      <c r="B182" s="3">
        <v>45500</v>
      </c>
      <c r="C182" s="1" t="s">
        <v>326</v>
      </c>
      <c r="D182" s="1">
        <v>57</v>
      </c>
      <c r="E182" s="1" t="s">
        <v>20</v>
      </c>
      <c r="F182" s="1" t="s">
        <v>27</v>
      </c>
      <c r="G182" s="1" t="s">
        <v>43</v>
      </c>
      <c r="H182" s="1" t="s">
        <v>29</v>
      </c>
      <c r="I182" s="1">
        <v>1031.83</v>
      </c>
      <c r="J182" s="1">
        <v>41302</v>
      </c>
      <c r="K182" s="1">
        <v>1392</v>
      </c>
      <c r="L182" s="1">
        <v>289</v>
      </c>
      <c r="N182" s="1">
        <v>3.3702968379999998</v>
      </c>
      <c r="O182" s="1">
        <v>20.761494249999998</v>
      </c>
      <c r="P182" s="1">
        <f t="shared" si="0"/>
        <v>3</v>
      </c>
    </row>
    <row r="183" spans="1:21" ht="14.25" customHeight="1" x14ac:dyDescent="0.35">
      <c r="A183" s="1" t="s">
        <v>327</v>
      </c>
      <c r="B183" s="3">
        <v>45340</v>
      </c>
      <c r="C183" s="1" t="s">
        <v>116</v>
      </c>
      <c r="D183" s="1">
        <v>20</v>
      </c>
      <c r="E183" s="1" t="s">
        <v>20</v>
      </c>
      <c r="F183" s="1" t="s">
        <v>38</v>
      </c>
      <c r="G183" s="1" t="s">
        <v>43</v>
      </c>
      <c r="H183" s="1" t="s">
        <v>23</v>
      </c>
      <c r="I183" s="1">
        <v>1164.83</v>
      </c>
      <c r="J183" s="1">
        <v>27872</v>
      </c>
      <c r="K183" s="1">
        <v>3872</v>
      </c>
      <c r="L183" s="1">
        <v>354</v>
      </c>
      <c r="M183" s="1">
        <v>2</v>
      </c>
      <c r="N183" s="1">
        <v>13.89207807</v>
      </c>
      <c r="O183" s="1">
        <v>9.1425619830000002</v>
      </c>
      <c r="P183" s="1">
        <f t="shared" si="0"/>
        <v>2</v>
      </c>
    </row>
    <row r="184" spans="1:21" ht="14.25" customHeight="1" x14ac:dyDescent="0.35">
      <c r="A184" s="1" t="s">
        <v>328</v>
      </c>
      <c r="B184" s="3">
        <v>45445</v>
      </c>
      <c r="C184" s="1" t="s">
        <v>329</v>
      </c>
      <c r="D184" s="1">
        <v>37</v>
      </c>
      <c r="E184" s="1" t="s">
        <v>32</v>
      </c>
      <c r="F184" s="1" t="s">
        <v>21</v>
      </c>
      <c r="G184" s="1" t="s">
        <v>28</v>
      </c>
      <c r="H184" s="1" t="s">
        <v>59</v>
      </c>
      <c r="I184" s="1">
        <v>945.56</v>
      </c>
      <c r="J184" s="1">
        <v>11853</v>
      </c>
      <c r="K184" s="1">
        <v>81</v>
      </c>
      <c r="L184" s="1">
        <v>206</v>
      </c>
      <c r="N184" s="1">
        <v>0.68337129799999996</v>
      </c>
      <c r="O184" s="1">
        <v>254.32098769999999</v>
      </c>
      <c r="P184" s="1">
        <f t="shared" si="0"/>
        <v>3</v>
      </c>
    </row>
    <row r="185" spans="1:21" ht="14.25" customHeight="1" x14ac:dyDescent="0.35">
      <c r="A185" s="1" t="s">
        <v>330</v>
      </c>
      <c r="B185" s="3">
        <v>45453</v>
      </c>
      <c r="C185" s="1" t="s">
        <v>331</v>
      </c>
      <c r="D185" s="1">
        <v>40</v>
      </c>
      <c r="E185" s="1" t="s">
        <v>26</v>
      </c>
      <c r="F185" s="1" t="s">
        <v>27</v>
      </c>
      <c r="G185" s="1" t="s">
        <v>58</v>
      </c>
      <c r="H185" s="1" t="s">
        <v>33</v>
      </c>
      <c r="I185" s="1">
        <v>1340.52</v>
      </c>
      <c r="J185" s="1">
        <v>49606</v>
      </c>
      <c r="K185" s="1">
        <v>2365</v>
      </c>
      <c r="L185" s="1">
        <v>10</v>
      </c>
      <c r="M185" s="1">
        <v>2</v>
      </c>
      <c r="N185" s="1">
        <v>4.7675684389999997</v>
      </c>
      <c r="O185" s="1">
        <v>0.422832981</v>
      </c>
      <c r="P185" s="1">
        <f t="shared" si="0"/>
        <v>2</v>
      </c>
    </row>
    <row r="186" spans="1:21" ht="14.25" customHeight="1" x14ac:dyDescent="0.35">
      <c r="A186" s="1" t="s">
        <v>332</v>
      </c>
      <c r="B186" s="3">
        <v>45547</v>
      </c>
      <c r="C186" s="1" t="s">
        <v>333</v>
      </c>
      <c r="D186" s="1">
        <v>30</v>
      </c>
      <c r="E186" s="1" t="s">
        <v>20</v>
      </c>
      <c r="F186" s="1" t="s">
        <v>27</v>
      </c>
      <c r="G186" s="1" t="s">
        <v>39</v>
      </c>
      <c r="H186" s="1" t="s">
        <v>33</v>
      </c>
      <c r="I186" s="1">
        <v>1071.8800000000001</v>
      </c>
      <c r="J186" s="1">
        <v>19159</v>
      </c>
      <c r="K186" s="1">
        <v>4763</v>
      </c>
      <c r="L186" s="1">
        <v>302</v>
      </c>
      <c r="N186" s="1">
        <v>24.86037893</v>
      </c>
      <c r="O186" s="1">
        <v>6.3405416749999999</v>
      </c>
      <c r="P186" s="1">
        <f t="shared" si="0"/>
        <v>3</v>
      </c>
    </row>
    <row r="187" spans="1:21" ht="14.25" customHeight="1" x14ac:dyDescent="0.35">
      <c r="A187" s="1" t="s">
        <v>334</v>
      </c>
      <c r="B187" s="3">
        <v>45630</v>
      </c>
      <c r="C187" s="1" t="s">
        <v>335</v>
      </c>
      <c r="D187" s="1">
        <v>42</v>
      </c>
      <c r="E187" s="1" t="s">
        <v>20</v>
      </c>
      <c r="F187" s="1" t="s">
        <v>21</v>
      </c>
      <c r="G187" s="1" t="s">
        <v>28</v>
      </c>
      <c r="H187" s="1" t="s">
        <v>33</v>
      </c>
      <c r="I187" s="1">
        <v>1871.86</v>
      </c>
      <c r="J187" s="1">
        <v>5843</v>
      </c>
      <c r="K187" s="1">
        <v>4548</v>
      </c>
      <c r="L187" s="1">
        <v>317</v>
      </c>
      <c r="M187" s="1">
        <v>5</v>
      </c>
      <c r="N187" s="1">
        <v>77.836727710000005</v>
      </c>
      <c r="O187" s="1">
        <v>6.9700967460000003</v>
      </c>
      <c r="P187" s="1">
        <f t="shared" si="0"/>
        <v>5</v>
      </c>
    </row>
    <row r="188" spans="1:21" ht="14.25" customHeight="1" x14ac:dyDescent="0.35">
      <c r="A188" s="1" t="s">
        <v>336</v>
      </c>
      <c r="B188" s="3">
        <v>45356</v>
      </c>
      <c r="C188" s="1" t="s">
        <v>37</v>
      </c>
      <c r="D188" s="1">
        <v>20</v>
      </c>
      <c r="E188" s="1" t="s">
        <v>20</v>
      </c>
      <c r="F188" s="1" t="s">
        <v>21</v>
      </c>
      <c r="G188" s="1" t="s">
        <v>39</v>
      </c>
      <c r="H188" s="1" t="s">
        <v>29</v>
      </c>
      <c r="I188" s="1">
        <v>1691.24</v>
      </c>
      <c r="J188" s="1">
        <v>32091</v>
      </c>
      <c r="K188" s="1">
        <v>2988</v>
      </c>
      <c r="L188" s="1">
        <v>222</v>
      </c>
      <c r="N188" s="1">
        <v>9.3110217819999992</v>
      </c>
      <c r="O188" s="1">
        <v>7.4297188759999999</v>
      </c>
      <c r="P188" s="1">
        <f t="shared" si="0"/>
        <v>3</v>
      </c>
    </row>
    <row r="189" spans="1:21" ht="14.25" customHeight="1" x14ac:dyDescent="0.35">
      <c r="A189" s="1" t="s">
        <v>337</v>
      </c>
      <c r="B189" s="3">
        <v>45606</v>
      </c>
      <c r="C189" s="1" t="s">
        <v>37</v>
      </c>
      <c r="D189" s="1">
        <v>25</v>
      </c>
      <c r="E189" s="1" t="s">
        <v>26</v>
      </c>
      <c r="F189" s="1" t="s">
        <v>47</v>
      </c>
      <c r="G189" s="1" t="s">
        <v>43</v>
      </c>
      <c r="H189" s="1" t="s">
        <v>29</v>
      </c>
      <c r="I189" s="1">
        <v>412</v>
      </c>
      <c r="J189" s="1">
        <v>40238</v>
      </c>
      <c r="K189" s="1">
        <v>4935</v>
      </c>
      <c r="L189" s="1">
        <v>376</v>
      </c>
      <c r="M189" s="1">
        <v>4</v>
      </c>
      <c r="N189" s="1">
        <v>12.264526070000001</v>
      </c>
      <c r="O189" s="1">
        <v>7.6190476189999998</v>
      </c>
      <c r="P189" s="1">
        <f t="shared" si="0"/>
        <v>4</v>
      </c>
    </row>
    <row r="190" spans="1:21" ht="14.25" customHeight="1" x14ac:dyDescent="0.35">
      <c r="A190" s="1" t="s">
        <v>338</v>
      </c>
      <c r="B190" s="3">
        <v>45558</v>
      </c>
      <c r="C190" s="1" t="s">
        <v>294</v>
      </c>
      <c r="D190" s="1">
        <v>46</v>
      </c>
      <c r="E190" s="1" t="s">
        <v>32</v>
      </c>
      <c r="F190" s="1" t="s">
        <v>47</v>
      </c>
      <c r="G190" s="1" t="s">
        <v>22</v>
      </c>
      <c r="H190" s="1" t="s">
        <v>33</v>
      </c>
      <c r="I190" s="1">
        <v>1753.45</v>
      </c>
      <c r="J190" s="1">
        <v>46250</v>
      </c>
      <c r="K190" s="1">
        <v>243</v>
      </c>
      <c r="L190" s="1">
        <v>87</v>
      </c>
      <c r="M190" s="1">
        <v>5</v>
      </c>
      <c r="N190" s="1">
        <v>0.52540540499999999</v>
      </c>
      <c r="O190" s="1">
        <v>35.802469139999999</v>
      </c>
      <c r="P190" s="1">
        <f t="shared" si="0"/>
        <v>5</v>
      </c>
    </row>
    <row r="191" spans="1:21" ht="14.25" customHeight="1" x14ac:dyDescent="0.35">
      <c r="A191" s="1" t="s">
        <v>339</v>
      </c>
      <c r="B191" s="3">
        <v>45319</v>
      </c>
      <c r="C191" s="1" t="s">
        <v>340</v>
      </c>
      <c r="D191" s="1">
        <v>55</v>
      </c>
      <c r="E191" s="1" t="s">
        <v>26</v>
      </c>
      <c r="F191" s="1" t="s">
        <v>42</v>
      </c>
      <c r="G191" s="1" t="s">
        <v>39</v>
      </c>
      <c r="H191" s="1" t="s">
        <v>29</v>
      </c>
      <c r="I191" s="1">
        <v>965.48</v>
      </c>
      <c r="J191" s="1">
        <v>7358</v>
      </c>
      <c r="K191" s="1">
        <v>1985</v>
      </c>
      <c r="L191" s="1">
        <v>57</v>
      </c>
      <c r="M191" s="1">
        <v>4</v>
      </c>
      <c r="N191" s="1">
        <v>26.977439520000001</v>
      </c>
      <c r="O191" s="1">
        <v>2.8715365240000001</v>
      </c>
      <c r="P191" s="1">
        <f t="shared" si="0"/>
        <v>4</v>
      </c>
    </row>
    <row r="192" spans="1:21" ht="14.25" customHeight="1" x14ac:dyDescent="0.35">
      <c r="A192" s="1" t="s">
        <v>341</v>
      </c>
      <c r="B192" s="3">
        <v>45448</v>
      </c>
      <c r="C192" s="1" t="s">
        <v>326</v>
      </c>
      <c r="D192" s="1">
        <v>25</v>
      </c>
      <c r="E192" s="1" t="s">
        <v>32</v>
      </c>
      <c r="F192" s="1" t="s">
        <v>54</v>
      </c>
      <c r="G192" s="1" t="s">
        <v>22</v>
      </c>
      <c r="H192" s="1" t="s">
        <v>23</v>
      </c>
      <c r="I192" s="1">
        <v>1938.03</v>
      </c>
      <c r="J192" s="1">
        <v>40841</v>
      </c>
      <c r="K192" s="1">
        <v>32</v>
      </c>
      <c r="L192" s="1">
        <v>55</v>
      </c>
      <c r="M192" s="1">
        <v>1</v>
      </c>
      <c r="N192" s="1">
        <v>7.8352636000000003E-2</v>
      </c>
      <c r="O192" s="1">
        <v>171.875</v>
      </c>
      <c r="P192" s="1">
        <f t="shared" si="0"/>
        <v>1</v>
      </c>
    </row>
    <row r="193" spans="1:16" ht="14.25" customHeight="1" x14ac:dyDescent="0.35">
      <c r="A193" s="1" t="s">
        <v>342</v>
      </c>
      <c r="B193" s="3">
        <v>45300</v>
      </c>
      <c r="C193" s="1" t="s">
        <v>149</v>
      </c>
      <c r="E193" s="1" t="s">
        <v>26</v>
      </c>
      <c r="G193" s="1" t="s">
        <v>22</v>
      </c>
      <c r="H193" s="1" t="s">
        <v>33</v>
      </c>
      <c r="I193" s="1">
        <v>1216.25</v>
      </c>
      <c r="J193" s="1">
        <v>33832</v>
      </c>
      <c r="K193" s="1">
        <v>3981</v>
      </c>
      <c r="L193" s="1">
        <v>132</v>
      </c>
      <c r="N193" s="1">
        <v>11.76696619</v>
      </c>
      <c r="O193" s="1">
        <v>3.315749812</v>
      </c>
      <c r="P193" s="1">
        <f t="shared" si="0"/>
        <v>3</v>
      </c>
    </row>
    <row r="194" spans="1:16" ht="14.25" customHeight="1" x14ac:dyDescent="0.35">
      <c r="A194" s="1" t="s">
        <v>343</v>
      </c>
      <c r="B194" s="3">
        <v>45539</v>
      </c>
      <c r="C194" s="1" t="s">
        <v>344</v>
      </c>
      <c r="D194" s="1">
        <v>53</v>
      </c>
      <c r="E194" s="1" t="s">
        <v>32</v>
      </c>
      <c r="F194" s="1" t="s">
        <v>54</v>
      </c>
      <c r="G194" s="1" t="s">
        <v>43</v>
      </c>
      <c r="H194" s="1" t="s">
        <v>29</v>
      </c>
      <c r="I194" s="1">
        <v>50.16</v>
      </c>
      <c r="J194" s="1">
        <v>3704</v>
      </c>
      <c r="K194" s="1">
        <v>160</v>
      </c>
      <c r="L194" s="1">
        <v>246</v>
      </c>
      <c r="M194" s="1">
        <v>5</v>
      </c>
      <c r="N194" s="1">
        <v>4.3196544279999998</v>
      </c>
      <c r="O194" s="1">
        <v>153.75</v>
      </c>
      <c r="P194" s="1">
        <f t="shared" si="0"/>
        <v>5</v>
      </c>
    </row>
    <row r="195" spans="1:16" ht="14.25" customHeight="1" x14ac:dyDescent="0.35">
      <c r="A195" s="1" t="s">
        <v>345</v>
      </c>
      <c r="B195" s="3">
        <v>45392</v>
      </c>
      <c r="C195" s="1" t="s">
        <v>217</v>
      </c>
      <c r="D195" s="1">
        <v>50</v>
      </c>
      <c r="E195" s="1" t="s">
        <v>26</v>
      </c>
      <c r="F195" s="1" t="s">
        <v>21</v>
      </c>
      <c r="G195" s="1" t="s">
        <v>58</v>
      </c>
      <c r="H195" s="1" t="s">
        <v>23</v>
      </c>
      <c r="I195" s="1">
        <v>67.47</v>
      </c>
      <c r="J195" s="1">
        <v>26963</v>
      </c>
      <c r="K195" s="1">
        <v>4916</v>
      </c>
      <c r="L195" s="1">
        <v>303</v>
      </c>
      <c r="M195" s="1">
        <v>5</v>
      </c>
      <c r="N195" s="1">
        <v>18.232392539999999</v>
      </c>
      <c r="O195" s="1">
        <v>6.1635476000000002</v>
      </c>
      <c r="P195" s="1">
        <f t="shared" si="0"/>
        <v>5</v>
      </c>
    </row>
    <row r="196" spans="1:16" ht="14.25" customHeight="1" x14ac:dyDescent="0.35">
      <c r="A196" s="1" t="s">
        <v>346</v>
      </c>
      <c r="B196" s="3">
        <v>45546</v>
      </c>
      <c r="C196" s="1" t="s">
        <v>125</v>
      </c>
      <c r="D196" s="1">
        <v>43</v>
      </c>
      <c r="E196" s="1" t="s">
        <v>20</v>
      </c>
      <c r="F196" s="1" t="s">
        <v>47</v>
      </c>
      <c r="G196" s="1" t="s">
        <v>58</v>
      </c>
      <c r="H196" s="1" t="s">
        <v>23</v>
      </c>
      <c r="I196" s="1">
        <v>575.80999999999995</v>
      </c>
      <c r="J196" s="1">
        <v>44295</v>
      </c>
      <c r="K196" s="1">
        <v>1494</v>
      </c>
      <c r="L196" s="1">
        <v>159</v>
      </c>
      <c r="M196" s="1">
        <v>4</v>
      </c>
      <c r="N196" s="1">
        <v>3.3728411779999998</v>
      </c>
      <c r="O196" s="1">
        <v>10.642570279999999</v>
      </c>
      <c r="P196" s="1">
        <f t="shared" si="0"/>
        <v>4</v>
      </c>
    </row>
    <row r="197" spans="1:16" ht="14.25" customHeight="1" x14ac:dyDescent="0.35">
      <c r="A197" s="1" t="s">
        <v>347</v>
      </c>
      <c r="B197" s="3">
        <v>45602</v>
      </c>
      <c r="C197" s="1" t="s">
        <v>348</v>
      </c>
      <c r="D197" s="1">
        <v>59</v>
      </c>
      <c r="E197" s="1" t="s">
        <v>32</v>
      </c>
      <c r="F197" s="1" t="s">
        <v>38</v>
      </c>
      <c r="G197" s="1" t="s">
        <v>28</v>
      </c>
      <c r="H197" s="1" t="s">
        <v>29</v>
      </c>
      <c r="I197" s="1">
        <v>1655.32</v>
      </c>
      <c r="J197" s="1">
        <v>8094</v>
      </c>
      <c r="K197" s="1">
        <v>199</v>
      </c>
      <c r="L197" s="1">
        <v>396</v>
      </c>
      <c r="N197" s="1">
        <v>2.4586113169999999</v>
      </c>
      <c r="O197" s="1">
        <v>198.99497489999999</v>
      </c>
      <c r="P197" s="1">
        <f t="shared" si="0"/>
        <v>3</v>
      </c>
    </row>
    <row r="198" spans="1:16" ht="14.25" customHeight="1" x14ac:dyDescent="0.35">
      <c r="A198" s="1" t="s">
        <v>349</v>
      </c>
      <c r="B198" s="3">
        <v>45590</v>
      </c>
      <c r="C198" s="1" t="s">
        <v>292</v>
      </c>
      <c r="D198" s="1">
        <v>38</v>
      </c>
      <c r="E198" s="1" t="s">
        <v>20</v>
      </c>
      <c r="F198" s="1" t="s">
        <v>54</v>
      </c>
      <c r="G198" s="1" t="s">
        <v>28</v>
      </c>
      <c r="H198" s="1" t="s">
        <v>23</v>
      </c>
      <c r="I198" s="1">
        <v>1129.2</v>
      </c>
      <c r="J198" s="1">
        <v>45497</v>
      </c>
      <c r="K198" s="1">
        <v>4281</v>
      </c>
      <c r="L198" s="1">
        <v>186</v>
      </c>
      <c r="M198" s="1">
        <v>1</v>
      </c>
      <c r="N198" s="1">
        <v>9.4094116099999994</v>
      </c>
      <c r="O198" s="1">
        <v>4.3447792569999999</v>
      </c>
      <c r="P198" s="1">
        <f t="shared" si="0"/>
        <v>1</v>
      </c>
    </row>
    <row r="199" spans="1:16" ht="14.25" customHeight="1" x14ac:dyDescent="0.35">
      <c r="A199" s="1" t="s">
        <v>350</v>
      </c>
      <c r="B199" s="3">
        <v>45640</v>
      </c>
      <c r="C199" s="1" t="s">
        <v>351</v>
      </c>
      <c r="D199" s="1">
        <v>23</v>
      </c>
      <c r="E199" s="1" t="s">
        <v>26</v>
      </c>
      <c r="F199" s="1" t="s">
        <v>38</v>
      </c>
      <c r="G199" s="1" t="s">
        <v>39</v>
      </c>
      <c r="H199" s="1" t="s">
        <v>59</v>
      </c>
      <c r="I199" s="1">
        <v>209.89</v>
      </c>
      <c r="J199" s="1">
        <v>10841</v>
      </c>
      <c r="K199" s="1">
        <v>4314</v>
      </c>
      <c r="L199" s="1">
        <v>232</v>
      </c>
      <c r="N199" s="1">
        <v>39.793376989999999</v>
      </c>
      <c r="O199" s="1">
        <v>5.3778395919999999</v>
      </c>
      <c r="P199" s="1">
        <f t="shared" si="0"/>
        <v>3</v>
      </c>
    </row>
    <row r="200" spans="1:16" ht="14.25" customHeight="1" x14ac:dyDescent="0.35">
      <c r="A200" s="1" t="s">
        <v>352</v>
      </c>
      <c r="B200" s="3">
        <v>45299</v>
      </c>
      <c r="C200" s="1" t="s">
        <v>224</v>
      </c>
      <c r="D200" s="1">
        <v>53</v>
      </c>
      <c r="E200" s="1" t="s">
        <v>20</v>
      </c>
      <c r="F200" s="1" t="s">
        <v>27</v>
      </c>
      <c r="G200" s="1" t="s">
        <v>39</v>
      </c>
      <c r="H200" s="1" t="s">
        <v>29</v>
      </c>
      <c r="I200" s="1">
        <v>1009.29</v>
      </c>
      <c r="J200" s="1">
        <v>17431</v>
      </c>
      <c r="K200" s="1">
        <v>1641</v>
      </c>
      <c r="L200" s="1">
        <v>28</v>
      </c>
      <c r="N200" s="1">
        <v>9.414261947</v>
      </c>
      <c r="O200" s="1">
        <v>1.706276661</v>
      </c>
      <c r="P200" s="1">
        <f t="shared" si="0"/>
        <v>3</v>
      </c>
    </row>
    <row r="201" spans="1:16" ht="14.25" customHeight="1" x14ac:dyDescent="0.35">
      <c r="A201" s="1" t="s">
        <v>353</v>
      </c>
      <c r="B201" s="3">
        <v>45533</v>
      </c>
      <c r="C201" s="1" t="s">
        <v>80</v>
      </c>
      <c r="D201" s="1">
        <v>33</v>
      </c>
      <c r="E201" s="1" t="s">
        <v>20</v>
      </c>
      <c r="F201" s="1" t="s">
        <v>42</v>
      </c>
      <c r="G201" s="1" t="s">
        <v>39</v>
      </c>
      <c r="H201" s="1" t="s">
        <v>23</v>
      </c>
      <c r="I201" s="1">
        <v>464.01</v>
      </c>
      <c r="J201" s="1">
        <v>39208</v>
      </c>
      <c r="K201" s="1">
        <v>2198</v>
      </c>
      <c r="L201" s="1">
        <v>25</v>
      </c>
      <c r="M201" s="1">
        <v>5</v>
      </c>
      <c r="N201" s="1">
        <v>5.6059987759999999</v>
      </c>
      <c r="O201" s="1">
        <v>1.137397634</v>
      </c>
      <c r="P201" s="1">
        <f t="shared" si="0"/>
        <v>5</v>
      </c>
    </row>
    <row r="202" spans="1:16" ht="14.25" customHeight="1" x14ac:dyDescent="0.35">
      <c r="A202" s="1" t="s">
        <v>354</v>
      </c>
      <c r="B202" s="3">
        <v>45435</v>
      </c>
      <c r="C202" s="1" t="s">
        <v>240</v>
      </c>
      <c r="D202" s="1">
        <v>58</v>
      </c>
      <c r="E202" s="1" t="s">
        <v>26</v>
      </c>
      <c r="F202" s="1" t="s">
        <v>21</v>
      </c>
      <c r="G202" s="1" t="s">
        <v>39</v>
      </c>
      <c r="H202" s="1" t="s">
        <v>59</v>
      </c>
      <c r="I202" s="1">
        <v>155.44999999999999</v>
      </c>
      <c r="J202" s="1">
        <v>22674</v>
      </c>
      <c r="K202" s="1">
        <v>928</v>
      </c>
      <c r="L202" s="1">
        <v>24</v>
      </c>
      <c r="M202" s="1">
        <v>2</v>
      </c>
      <c r="N202" s="1">
        <v>4.0927935079999997</v>
      </c>
      <c r="O202" s="1">
        <v>2.5862068969999998</v>
      </c>
      <c r="P202" s="1">
        <f t="shared" si="0"/>
        <v>2</v>
      </c>
    </row>
    <row r="203" spans="1:16" ht="14.25" customHeight="1" x14ac:dyDescent="0.35">
      <c r="A203" s="1" t="s">
        <v>355</v>
      </c>
      <c r="B203" s="3">
        <v>45420</v>
      </c>
      <c r="C203" s="1" t="s">
        <v>356</v>
      </c>
      <c r="D203" s="1">
        <v>22</v>
      </c>
      <c r="E203" s="1" t="s">
        <v>32</v>
      </c>
      <c r="F203" s="1" t="s">
        <v>42</v>
      </c>
      <c r="G203" s="1" t="s">
        <v>28</v>
      </c>
      <c r="H203" s="1" t="s">
        <v>29</v>
      </c>
      <c r="I203" s="1">
        <v>748.87</v>
      </c>
      <c r="J203" s="1">
        <v>4168</v>
      </c>
      <c r="K203" s="1">
        <v>3750</v>
      </c>
      <c r="L203" s="1">
        <v>180</v>
      </c>
      <c r="M203" s="1">
        <v>3</v>
      </c>
      <c r="N203" s="1">
        <v>89.971209209999998</v>
      </c>
      <c r="O203" s="1">
        <v>4.8</v>
      </c>
      <c r="P203" s="1">
        <f t="shared" si="0"/>
        <v>3</v>
      </c>
    </row>
    <row r="204" spans="1:16" ht="14.25" customHeight="1" x14ac:dyDescent="0.35">
      <c r="A204" s="1" t="s">
        <v>357</v>
      </c>
      <c r="B204" s="3">
        <v>45502</v>
      </c>
      <c r="C204" s="1" t="s">
        <v>358</v>
      </c>
      <c r="D204" s="1">
        <v>45</v>
      </c>
      <c r="E204" s="1" t="s">
        <v>26</v>
      </c>
      <c r="F204" s="1" t="s">
        <v>27</v>
      </c>
      <c r="G204" s="1" t="s">
        <v>39</v>
      </c>
      <c r="H204" s="1" t="s">
        <v>33</v>
      </c>
      <c r="I204" s="1">
        <v>408.12</v>
      </c>
      <c r="J204" s="1">
        <v>4512</v>
      </c>
      <c r="K204" s="1">
        <v>2509</v>
      </c>
      <c r="L204" s="1">
        <v>363</v>
      </c>
      <c r="N204" s="1">
        <v>55.607269500000001</v>
      </c>
      <c r="O204" s="1">
        <v>14.4679155</v>
      </c>
      <c r="P204" s="1">
        <f t="shared" si="0"/>
        <v>3</v>
      </c>
    </row>
    <row r="205" spans="1:16" ht="14.25" customHeight="1" x14ac:dyDescent="0.35">
      <c r="A205" s="1" t="s">
        <v>359</v>
      </c>
      <c r="B205" s="3">
        <v>45523</v>
      </c>
      <c r="C205" s="1" t="s">
        <v>294</v>
      </c>
      <c r="D205" s="1">
        <v>26</v>
      </c>
      <c r="E205" s="1" t="s">
        <v>26</v>
      </c>
      <c r="F205" s="1" t="s">
        <v>54</v>
      </c>
      <c r="G205" s="1" t="s">
        <v>28</v>
      </c>
      <c r="H205" s="1" t="s">
        <v>59</v>
      </c>
      <c r="I205" s="1">
        <v>402.39</v>
      </c>
      <c r="J205" s="1">
        <v>26391</v>
      </c>
      <c r="K205" s="1">
        <v>2056</v>
      </c>
      <c r="L205" s="1">
        <v>238</v>
      </c>
      <c r="M205" s="1">
        <v>2</v>
      </c>
      <c r="N205" s="1">
        <v>7.7905346519999998</v>
      </c>
      <c r="O205" s="1">
        <v>11.57587549</v>
      </c>
      <c r="P205" s="1">
        <f t="shared" si="0"/>
        <v>2</v>
      </c>
    </row>
    <row r="206" spans="1:16" ht="14.25" customHeight="1" x14ac:dyDescent="0.35">
      <c r="A206" s="1" t="s">
        <v>360</v>
      </c>
      <c r="B206" s="3">
        <v>45468</v>
      </c>
      <c r="C206" s="1" t="s">
        <v>356</v>
      </c>
      <c r="D206" s="1">
        <v>19</v>
      </c>
      <c r="E206" s="1" t="s">
        <v>26</v>
      </c>
      <c r="F206" s="1" t="s">
        <v>27</v>
      </c>
      <c r="G206" s="1" t="s">
        <v>39</v>
      </c>
      <c r="H206" s="1" t="s">
        <v>33</v>
      </c>
      <c r="I206" s="1">
        <v>1074.33</v>
      </c>
      <c r="J206" s="1">
        <v>26900</v>
      </c>
      <c r="K206" s="1">
        <v>2876</v>
      </c>
      <c r="L206" s="1">
        <v>166</v>
      </c>
      <c r="M206" s="1">
        <v>4</v>
      </c>
      <c r="N206" s="1">
        <v>10.69144981</v>
      </c>
      <c r="O206" s="1">
        <v>5.7719054239999998</v>
      </c>
      <c r="P206" s="1">
        <f t="shared" si="0"/>
        <v>4</v>
      </c>
    </row>
    <row r="207" spans="1:16" ht="14.25" customHeight="1" x14ac:dyDescent="0.35">
      <c r="A207" s="1" t="s">
        <v>361</v>
      </c>
      <c r="B207" s="3">
        <v>45336</v>
      </c>
      <c r="C207" s="1" t="s">
        <v>78</v>
      </c>
      <c r="D207" s="1">
        <v>38</v>
      </c>
      <c r="E207" s="1" t="s">
        <v>26</v>
      </c>
      <c r="F207" s="1" t="s">
        <v>38</v>
      </c>
      <c r="G207" s="1" t="s">
        <v>43</v>
      </c>
      <c r="H207" s="1" t="s">
        <v>33</v>
      </c>
      <c r="I207" s="1">
        <v>1503.97</v>
      </c>
      <c r="J207" s="1">
        <v>33466</v>
      </c>
      <c r="K207" s="1">
        <v>3898</v>
      </c>
      <c r="L207" s="1">
        <v>169</v>
      </c>
      <c r="N207" s="1">
        <v>11.647642380000001</v>
      </c>
      <c r="O207" s="1">
        <v>4.3355566960000003</v>
      </c>
      <c r="P207" s="1">
        <f t="shared" si="0"/>
        <v>3</v>
      </c>
    </row>
    <row r="208" spans="1:16" ht="14.25" customHeight="1" x14ac:dyDescent="0.35">
      <c r="A208" s="1" t="s">
        <v>362</v>
      </c>
      <c r="B208" s="3">
        <v>45301</v>
      </c>
      <c r="C208" s="1" t="s">
        <v>363</v>
      </c>
      <c r="D208" s="1">
        <v>20</v>
      </c>
      <c r="E208" s="1" t="s">
        <v>26</v>
      </c>
      <c r="F208" s="1" t="s">
        <v>38</v>
      </c>
      <c r="G208" s="1" t="s">
        <v>39</v>
      </c>
      <c r="H208" s="1" t="s">
        <v>23</v>
      </c>
      <c r="I208" s="1">
        <v>1987.15</v>
      </c>
      <c r="J208" s="1">
        <v>23853</v>
      </c>
      <c r="K208" s="1">
        <v>3607</v>
      </c>
      <c r="L208" s="1">
        <v>263</v>
      </c>
      <c r="N208" s="1">
        <v>15.121787619999999</v>
      </c>
      <c r="O208" s="1">
        <v>7.2913778760000003</v>
      </c>
      <c r="P208" s="1">
        <f t="shared" si="0"/>
        <v>3</v>
      </c>
    </row>
    <row r="209" spans="1:16" ht="14.25" customHeight="1" x14ac:dyDescent="0.35">
      <c r="A209" s="1" t="s">
        <v>364</v>
      </c>
      <c r="B209" s="3">
        <v>45594</v>
      </c>
      <c r="C209" s="1" t="s">
        <v>120</v>
      </c>
      <c r="D209" s="1">
        <v>64</v>
      </c>
      <c r="E209" s="1" t="s">
        <v>26</v>
      </c>
      <c r="F209" s="1" t="s">
        <v>27</v>
      </c>
      <c r="G209" s="1" t="s">
        <v>39</v>
      </c>
      <c r="H209" s="1" t="s">
        <v>33</v>
      </c>
      <c r="I209" s="1">
        <v>1418.37</v>
      </c>
      <c r="J209" s="1">
        <v>4546</v>
      </c>
      <c r="K209" s="1">
        <v>4425</v>
      </c>
      <c r="L209" s="1">
        <v>72</v>
      </c>
      <c r="M209" s="1">
        <v>1</v>
      </c>
      <c r="N209" s="1">
        <v>97.338319400000003</v>
      </c>
      <c r="O209" s="1">
        <v>1.6271186440000001</v>
      </c>
      <c r="P209" s="1">
        <f t="shared" si="0"/>
        <v>1</v>
      </c>
    </row>
    <row r="210" spans="1:16" ht="14.25" customHeight="1" x14ac:dyDescent="0.35">
      <c r="A210" s="1" t="s">
        <v>365</v>
      </c>
      <c r="B210" s="3">
        <v>45468</v>
      </c>
      <c r="C210" s="1" t="s">
        <v>366</v>
      </c>
      <c r="D210" s="1">
        <v>61</v>
      </c>
      <c r="E210" s="1" t="s">
        <v>32</v>
      </c>
      <c r="F210" s="1" t="s">
        <v>54</v>
      </c>
      <c r="G210" s="1" t="s">
        <v>28</v>
      </c>
      <c r="H210" s="1" t="s">
        <v>23</v>
      </c>
      <c r="I210" s="1">
        <v>330.82</v>
      </c>
      <c r="J210" s="1">
        <v>42577</v>
      </c>
      <c r="K210" s="1">
        <v>30</v>
      </c>
      <c r="L210" s="1">
        <v>260</v>
      </c>
      <c r="M210" s="1">
        <v>3</v>
      </c>
      <c r="N210" s="1">
        <v>7.0460576999999996E-2</v>
      </c>
      <c r="O210" s="1">
        <v>866.66666669999995</v>
      </c>
      <c r="P210" s="1">
        <f t="shared" si="0"/>
        <v>3</v>
      </c>
    </row>
    <row r="211" spans="1:16" ht="14.25" customHeight="1" x14ac:dyDescent="0.35">
      <c r="A211" s="1" t="s">
        <v>367</v>
      </c>
      <c r="B211" s="3">
        <v>45419</v>
      </c>
      <c r="C211" s="1" t="s">
        <v>253</v>
      </c>
      <c r="D211" s="1">
        <v>31</v>
      </c>
      <c r="E211" s="1" t="s">
        <v>26</v>
      </c>
      <c r="F211" s="1" t="s">
        <v>27</v>
      </c>
      <c r="G211" s="1" t="s">
        <v>28</v>
      </c>
      <c r="H211" s="1" t="s">
        <v>29</v>
      </c>
      <c r="I211" s="1">
        <v>1247.71</v>
      </c>
      <c r="J211" s="1">
        <v>37476</v>
      </c>
      <c r="K211" s="1">
        <v>4398</v>
      </c>
      <c r="L211" s="1">
        <v>171</v>
      </c>
      <c r="M211" s="1">
        <v>1</v>
      </c>
      <c r="N211" s="1">
        <v>11.73551073</v>
      </c>
      <c r="O211" s="1">
        <v>3.8881309690000001</v>
      </c>
      <c r="P211" s="1">
        <f t="shared" si="0"/>
        <v>1</v>
      </c>
    </row>
    <row r="212" spans="1:16" ht="14.25" customHeight="1" x14ac:dyDescent="0.35">
      <c r="A212" s="1" t="s">
        <v>368</v>
      </c>
      <c r="B212" s="3">
        <v>45297</v>
      </c>
      <c r="C212" s="1" t="s">
        <v>248</v>
      </c>
      <c r="D212" s="1">
        <v>26</v>
      </c>
      <c r="E212" s="1" t="s">
        <v>32</v>
      </c>
      <c r="F212" s="1" t="s">
        <v>54</v>
      </c>
      <c r="G212" s="1" t="s">
        <v>28</v>
      </c>
      <c r="H212" s="1" t="s">
        <v>59</v>
      </c>
      <c r="I212" s="1">
        <v>422.85</v>
      </c>
      <c r="J212" s="1">
        <v>24238</v>
      </c>
      <c r="K212" s="1">
        <v>1730</v>
      </c>
      <c r="L212" s="1">
        <v>105</v>
      </c>
      <c r="M212" s="1">
        <v>3</v>
      </c>
      <c r="N212" s="1">
        <v>7.1375526029999996</v>
      </c>
      <c r="O212" s="1">
        <v>6.0693641620000003</v>
      </c>
      <c r="P212" s="1">
        <f t="shared" si="0"/>
        <v>3</v>
      </c>
    </row>
    <row r="213" spans="1:16" ht="14.25" customHeight="1" x14ac:dyDescent="0.35">
      <c r="A213" s="1" t="s">
        <v>369</v>
      </c>
      <c r="B213" s="3">
        <v>45436</v>
      </c>
      <c r="C213" s="1" t="s">
        <v>190</v>
      </c>
      <c r="E213" s="1" t="s">
        <v>20</v>
      </c>
      <c r="G213" s="1" t="s">
        <v>22</v>
      </c>
      <c r="H213" s="1" t="s">
        <v>33</v>
      </c>
      <c r="I213" s="1">
        <v>701.34</v>
      </c>
      <c r="J213" s="1">
        <v>4023</v>
      </c>
      <c r="K213" s="1">
        <v>200</v>
      </c>
      <c r="L213" s="1">
        <v>110</v>
      </c>
      <c r="N213" s="1">
        <v>4.9714143670000004</v>
      </c>
      <c r="O213" s="1">
        <v>55</v>
      </c>
      <c r="P213" s="1">
        <f t="shared" si="0"/>
        <v>3</v>
      </c>
    </row>
    <row r="214" spans="1:16" ht="14.25" customHeight="1" x14ac:dyDescent="0.35">
      <c r="A214" s="1" t="s">
        <v>370</v>
      </c>
      <c r="B214" s="3">
        <v>45303</v>
      </c>
      <c r="C214" s="1" t="s">
        <v>316</v>
      </c>
      <c r="D214" s="1">
        <v>29</v>
      </c>
      <c r="E214" s="1" t="s">
        <v>20</v>
      </c>
      <c r="F214" s="1" t="s">
        <v>54</v>
      </c>
      <c r="G214" s="1" t="s">
        <v>58</v>
      </c>
      <c r="H214" s="1" t="s">
        <v>29</v>
      </c>
      <c r="I214" s="1">
        <v>1298.1600000000001</v>
      </c>
      <c r="J214" s="1">
        <v>33502</v>
      </c>
      <c r="K214" s="1">
        <v>4060</v>
      </c>
      <c r="L214" s="1">
        <v>107</v>
      </c>
      <c r="M214" s="1">
        <v>1</v>
      </c>
      <c r="N214" s="1">
        <v>12.118679480000001</v>
      </c>
      <c r="O214" s="1">
        <v>2.63546798</v>
      </c>
      <c r="P214" s="1">
        <f t="shared" si="0"/>
        <v>1</v>
      </c>
    </row>
    <row r="215" spans="1:16" ht="14.25" customHeight="1" x14ac:dyDescent="0.35">
      <c r="A215" s="1" t="s">
        <v>371</v>
      </c>
      <c r="B215" s="3">
        <v>45654</v>
      </c>
      <c r="C215" s="1" t="s">
        <v>139</v>
      </c>
      <c r="D215" s="1">
        <v>18</v>
      </c>
      <c r="E215" s="1" t="s">
        <v>20</v>
      </c>
      <c r="F215" s="1" t="s">
        <v>47</v>
      </c>
      <c r="G215" s="1" t="s">
        <v>28</v>
      </c>
      <c r="H215" s="1" t="s">
        <v>23</v>
      </c>
      <c r="I215" s="1">
        <v>1665.49</v>
      </c>
      <c r="J215" s="1">
        <v>40141</v>
      </c>
      <c r="K215" s="1">
        <v>4874</v>
      </c>
      <c r="L215" s="1">
        <v>219</v>
      </c>
      <c r="M215" s="1">
        <v>1</v>
      </c>
      <c r="N215" s="1">
        <v>12.14219875</v>
      </c>
      <c r="O215" s="1">
        <v>4.4932293799999998</v>
      </c>
      <c r="P215" s="1">
        <f t="shared" si="0"/>
        <v>1</v>
      </c>
    </row>
    <row r="216" spans="1:16" ht="14.25" customHeight="1" x14ac:dyDescent="0.35">
      <c r="A216" s="1" t="s">
        <v>372</v>
      </c>
      <c r="B216" s="3">
        <v>45452</v>
      </c>
      <c r="C216" s="1" t="s">
        <v>198</v>
      </c>
      <c r="D216" s="1">
        <v>28</v>
      </c>
      <c r="E216" s="1" t="s">
        <v>20</v>
      </c>
      <c r="F216" s="1" t="s">
        <v>42</v>
      </c>
      <c r="G216" s="1" t="s">
        <v>43</v>
      </c>
      <c r="H216" s="1" t="s">
        <v>59</v>
      </c>
      <c r="I216" s="1">
        <v>746.58</v>
      </c>
      <c r="J216" s="1">
        <v>48288</v>
      </c>
      <c r="K216" s="1">
        <v>2590</v>
      </c>
      <c r="L216" s="1">
        <v>263</v>
      </c>
      <c r="M216" s="1">
        <v>1</v>
      </c>
      <c r="N216" s="1">
        <v>5.3636514249999996</v>
      </c>
      <c r="O216" s="1">
        <v>10.154440149999999</v>
      </c>
      <c r="P216" s="1">
        <f t="shared" si="0"/>
        <v>1</v>
      </c>
    </row>
    <row r="217" spans="1:16" ht="14.25" customHeight="1" x14ac:dyDescent="0.35">
      <c r="A217" s="1" t="s">
        <v>373</v>
      </c>
      <c r="B217" s="3">
        <v>45588</v>
      </c>
      <c r="C217" s="1" t="s">
        <v>289</v>
      </c>
      <c r="D217" s="1">
        <v>59</v>
      </c>
      <c r="E217" s="1" t="s">
        <v>26</v>
      </c>
      <c r="F217" s="1" t="s">
        <v>54</v>
      </c>
      <c r="G217" s="1" t="s">
        <v>39</v>
      </c>
      <c r="H217" s="1" t="s">
        <v>23</v>
      </c>
      <c r="I217" s="1">
        <v>492.7</v>
      </c>
      <c r="J217" s="1">
        <v>10581</v>
      </c>
      <c r="K217" s="1">
        <v>389</v>
      </c>
      <c r="L217" s="1">
        <v>280</v>
      </c>
      <c r="M217" s="1">
        <v>1</v>
      </c>
      <c r="N217" s="1">
        <v>3.6764010960000002</v>
      </c>
      <c r="O217" s="1">
        <v>71.979434449999999</v>
      </c>
      <c r="P217" s="1">
        <f t="shared" si="0"/>
        <v>1</v>
      </c>
    </row>
    <row r="218" spans="1:16" ht="14.25" customHeight="1" x14ac:dyDescent="0.35">
      <c r="A218" s="1" t="s">
        <v>374</v>
      </c>
      <c r="B218" s="3">
        <v>45328</v>
      </c>
      <c r="C218" s="1" t="s">
        <v>375</v>
      </c>
      <c r="D218" s="1">
        <v>51</v>
      </c>
      <c r="E218" s="1" t="s">
        <v>32</v>
      </c>
      <c r="F218" s="1" t="s">
        <v>54</v>
      </c>
      <c r="G218" s="1" t="s">
        <v>58</v>
      </c>
      <c r="H218" s="1" t="s">
        <v>33</v>
      </c>
      <c r="I218" s="1">
        <v>262.14999999999998</v>
      </c>
      <c r="J218" s="1">
        <v>26738</v>
      </c>
      <c r="K218" s="1">
        <v>4256</v>
      </c>
      <c r="L218" s="1">
        <v>287</v>
      </c>
      <c r="M218" s="1">
        <v>4</v>
      </c>
      <c r="N218" s="1">
        <v>15.9174209</v>
      </c>
      <c r="O218" s="1">
        <v>6.7434210529999996</v>
      </c>
      <c r="P218" s="1">
        <f t="shared" si="0"/>
        <v>4</v>
      </c>
    </row>
    <row r="219" spans="1:16" ht="14.25" customHeight="1" x14ac:dyDescent="0.35">
      <c r="A219" s="1" t="s">
        <v>376</v>
      </c>
      <c r="B219" s="3">
        <v>45361</v>
      </c>
      <c r="C219" s="1" t="s">
        <v>131</v>
      </c>
      <c r="D219" s="1">
        <v>45</v>
      </c>
      <c r="E219" s="1" t="s">
        <v>20</v>
      </c>
      <c r="F219" s="1" t="s">
        <v>38</v>
      </c>
      <c r="G219" s="1" t="s">
        <v>58</v>
      </c>
      <c r="H219" s="1" t="s">
        <v>29</v>
      </c>
      <c r="I219" s="1">
        <v>1158.22</v>
      </c>
      <c r="J219" s="1">
        <v>36951</v>
      </c>
      <c r="K219" s="1">
        <v>478</v>
      </c>
      <c r="L219" s="1">
        <v>103</v>
      </c>
      <c r="M219" s="1">
        <v>2</v>
      </c>
      <c r="N219" s="1">
        <v>1.2936050450000001</v>
      </c>
      <c r="O219" s="1">
        <v>21.548117149999999</v>
      </c>
      <c r="P219" s="1">
        <f t="shared" si="0"/>
        <v>2</v>
      </c>
    </row>
    <row r="220" spans="1:16" ht="14.25" customHeight="1" x14ac:dyDescent="0.35">
      <c r="A220" s="1" t="s">
        <v>377</v>
      </c>
      <c r="B220" s="3">
        <v>45655</v>
      </c>
      <c r="C220" s="1" t="s">
        <v>157</v>
      </c>
      <c r="D220" s="1">
        <v>49</v>
      </c>
      <c r="E220" s="1" t="s">
        <v>20</v>
      </c>
      <c r="F220" s="1" t="s">
        <v>42</v>
      </c>
      <c r="G220" s="1" t="s">
        <v>43</v>
      </c>
      <c r="H220" s="1" t="s">
        <v>29</v>
      </c>
      <c r="I220" s="1">
        <v>1935.02</v>
      </c>
      <c r="J220" s="1">
        <v>13246</v>
      </c>
      <c r="K220" s="1">
        <v>2792</v>
      </c>
      <c r="L220" s="1">
        <v>362</v>
      </c>
      <c r="M220" s="1">
        <v>2</v>
      </c>
      <c r="N220" s="1">
        <v>21.078061300000002</v>
      </c>
      <c r="O220" s="1">
        <v>12.96561605</v>
      </c>
      <c r="P220" s="1">
        <f t="shared" si="0"/>
        <v>2</v>
      </c>
    </row>
    <row r="221" spans="1:16" ht="14.25" customHeight="1" x14ac:dyDescent="0.35">
      <c r="A221" s="1" t="s">
        <v>378</v>
      </c>
      <c r="B221" s="3">
        <v>45385</v>
      </c>
      <c r="C221" s="1" t="s">
        <v>141</v>
      </c>
      <c r="D221" s="1">
        <v>29</v>
      </c>
      <c r="E221" s="1" t="s">
        <v>20</v>
      </c>
      <c r="F221" s="1" t="s">
        <v>47</v>
      </c>
      <c r="G221" s="1" t="s">
        <v>58</v>
      </c>
      <c r="H221" s="1" t="s">
        <v>29</v>
      </c>
      <c r="I221" s="1">
        <v>1108.98</v>
      </c>
      <c r="J221" s="1">
        <v>42457</v>
      </c>
      <c r="K221" s="1">
        <v>2556</v>
      </c>
      <c r="L221" s="1">
        <v>22</v>
      </c>
      <c r="N221" s="1">
        <v>6.0202086819999998</v>
      </c>
      <c r="O221" s="1">
        <v>0.86071987500000002</v>
      </c>
      <c r="P221" s="1">
        <f t="shared" si="0"/>
        <v>3</v>
      </c>
    </row>
    <row r="222" spans="1:16" ht="14.25" customHeight="1" x14ac:dyDescent="0.35">
      <c r="A222" s="1" t="s">
        <v>379</v>
      </c>
      <c r="B222" s="3">
        <v>45341</v>
      </c>
      <c r="C222" s="1" t="s">
        <v>25</v>
      </c>
      <c r="D222" s="1">
        <v>49</v>
      </c>
      <c r="E222" s="1" t="s">
        <v>20</v>
      </c>
      <c r="F222" s="1" t="s">
        <v>21</v>
      </c>
      <c r="G222" s="1" t="s">
        <v>22</v>
      </c>
      <c r="H222" s="1" t="s">
        <v>29</v>
      </c>
      <c r="I222" s="1">
        <v>112.84</v>
      </c>
      <c r="J222" s="1">
        <v>23139</v>
      </c>
      <c r="K222" s="1">
        <v>508</v>
      </c>
      <c r="L222" s="1">
        <v>395</v>
      </c>
      <c r="M222" s="1">
        <v>3</v>
      </c>
      <c r="N222" s="1">
        <v>2.195427633</v>
      </c>
      <c r="O222" s="1">
        <v>77.755905510000005</v>
      </c>
      <c r="P222" s="1">
        <f t="shared" si="0"/>
        <v>3</v>
      </c>
    </row>
    <row r="223" spans="1:16" ht="14.25" customHeight="1" x14ac:dyDescent="0.35">
      <c r="A223" s="1" t="s">
        <v>380</v>
      </c>
      <c r="B223" s="3">
        <v>45609</v>
      </c>
      <c r="C223" s="1" t="s">
        <v>381</v>
      </c>
      <c r="D223" s="1">
        <v>54</v>
      </c>
      <c r="E223" s="1" t="s">
        <v>26</v>
      </c>
      <c r="F223" s="1" t="s">
        <v>42</v>
      </c>
      <c r="G223" s="1" t="s">
        <v>43</v>
      </c>
      <c r="H223" s="1" t="s">
        <v>29</v>
      </c>
      <c r="I223" s="1">
        <v>651.14</v>
      </c>
      <c r="J223" s="1">
        <v>17054</v>
      </c>
      <c r="K223" s="1">
        <v>2952</v>
      </c>
      <c r="L223" s="1">
        <v>319</v>
      </c>
      <c r="M223" s="1">
        <v>4</v>
      </c>
      <c r="N223" s="1">
        <v>17.309722059999999</v>
      </c>
      <c r="O223" s="1">
        <v>10.80623306</v>
      </c>
      <c r="P223" s="1">
        <f t="shared" si="0"/>
        <v>4</v>
      </c>
    </row>
    <row r="224" spans="1:16" ht="14.25" customHeight="1" x14ac:dyDescent="0.35">
      <c r="A224" s="1" t="s">
        <v>382</v>
      </c>
      <c r="B224" s="3">
        <v>45515</v>
      </c>
      <c r="C224" s="1" t="s">
        <v>383</v>
      </c>
      <c r="D224" s="1">
        <v>51</v>
      </c>
      <c r="E224" s="1" t="s">
        <v>26</v>
      </c>
      <c r="F224" s="1" t="s">
        <v>42</v>
      </c>
      <c r="G224" s="1" t="s">
        <v>43</v>
      </c>
      <c r="H224" s="1" t="s">
        <v>59</v>
      </c>
      <c r="I224" s="1">
        <v>1451.52</v>
      </c>
      <c r="J224" s="1">
        <v>45447</v>
      </c>
      <c r="K224" s="1">
        <v>1539</v>
      </c>
      <c r="L224" s="1">
        <v>371</v>
      </c>
      <c r="M224" s="1">
        <v>5</v>
      </c>
      <c r="N224" s="1">
        <v>3.3863621359999998</v>
      </c>
      <c r="O224" s="1">
        <v>24.106562700000001</v>
      </c>
      <c r="P224" s="1">
        <f t="shared" si="0"/>
        <v>5</v>
      </c>
    </row>
    <row r="225" spans="1:21" ht="14.25" customHeight="1" x14ac:dyDescent="0.35">
      <c r="A225" s="1" t="s">
        <v>384</v>
      </c>
      <c r="B225" s="3">
        <v>45427</v>
      </c>
      <c r="C225" s="1" t="s">
        <v>97</v>
      </c>
      <c r="D225" s="1">
        <v>27</v>
      </c>
      <c r="E225" s="1" t="s">
        <v>26</v>
      </c>
      <c r="F225" s="1" t="s">
        <v>54</v>
      </c>
      <c r="G225" s="1" t="s">
        <v>39</v>
      </c>
      <c r="H225" s="1" t="s">
        <v>29</v>
      </c>
      <c r="I225" s="1">
        <v>1895.22</v>
      </c>
      <c r="J225" s="1">
        <v>30197</v>
      </c>
      <c r="K225" s="1">
        <v>296</v>
      </c>
      <c r="L225" s="1">
        <v>36</v>
      </c>
      <c r="N225" s="1">
        <v>0.98022982400000003</v>
      </c>
      <c r="O225" s="1">
        <v>12.162162159999999</v>
      </c>
      <c r="P225" s="1">
        <f t="shared" si="0"/>
        <v>3</v>
      </c>
    </row>
    <row r="226" spans="1:21" ht="14.25" customHeight="1" x14ac:dyDescent="0.35">
      <c r="A226" s="1" t="s">
        <v>385</v>
      </c>
      <c r="B226" s="3">
        <v>45384</v>
      </c>
      <c r="C226" s="1" t="s">
        <v>129</v>
      </c>
      <c r="D226" s="1">
        <v>47</v>
      </c>
      <c r="E226" s="1" t="s">
        <v>20</v>
      </c>
      <c r="F226" s="1" t="s">
        <v>42</v>
      </c>
      <c r="G226" s="1" t="s">
        <v>43</v>
      </c>
      <c r="H226" s="1" t="s">
        <v>59</v>
      </c>
      <c r="I226" s="1">
        <v>336.05</v>
      </c>
      <c r="J226" s="1">
        <v>5603</v>
      </c>
      <c r="K226" s="1">
        <v>734</v>
      </c>
      <c r="L226" s="1">
        <v>44</v>
      </c>
      <c r="M226" s="1">
        <v>1</v>
      </c>
      <c r="N226" s="1">
        <v>13.10012493</v>
      </c>
      <c r="O226" s="1">
        <v>5.9945504090000004</v>
      </c>
      <c r="P226" s="1">
        <f t="shared" si="0"/>
        <v>1</v>
      </c>
    </row>
    <row r="227" spans="1:21" ht="14.25" customHeight="1" x14ac:dyDescent="0.35">
      <c r="A227" s="1" t="s">
        <v>386</v>
      </c>
      <c r="B227" s="3">
        <v>45606</v>
      </c>
      <c r="C227" s="1" t="s">
        <v>258</v>
      </c>
      <c r="D227" s="1">
        <v>32</v>
      </c>
      <c r="E227" s="1" t="s">
        <v>26</v>
      </c>
      <c r="F227" s="1" t="s">
        <v>38</v>
      </c>
      <c r="G227" s="1" t="s">
        <v>43</v>
      </c>
      <c r="H227" s="1" t="s">
        <v>59</v>
      </c>
      <c r="I227" s="1">
        <v>1731.3</v>
      </c>
      <c r="J227" s="1">
        <v>43938</v>
      </c>
      <c r="K227" s="1">
        <v>4680</v>
      </c>
      <c r="L227" s="1">
        <v>297</v>
      </c>
      <c r="N227" s="1">
        <v>10.651372390000001</v>
      </c>
      <c r="O227" s="1">
        <v>6.346153846</v>
      </c>
      <c r="P227" s="1">
        <f t="shared" si="0"/>
        <v>3</v>
      </c>
    </row>
    <row r="228" spans="1:21" ht="14.25" customHeight="1" x14ac:dyDescent="0.35">
      <c r="A228" s="1" t="s">
        <v>387</v>
      </c>
      <c r="B228" s="3">
        <v>45470</v>
      </c>
      <c r="C228" s="1" t="s">
        <v>388</v>
      </c>
      <c r="D228" s="1">
        <v>20</v>
      </c>
      <c r="E228" s="1" t="s">
        <v>20</v>
      </c>
      <c r="F228" s="1" t="s">
        <v>42</v>
      </c>
      <c r="G228" s="1" t="s">
        <v>39</v>
      </c>
      <c r="H228" s="1" t="s">
        <v>29</v>
      </c>
      <c r="I228" s="1">
        <v>1564.51</v>
      </c>
      <c r="J228" s="1">
        <v>18743</v>
      </c>
      <c r="K228" s="1">
        <v>4432</v>
      </c>
      <c r="L228" s="1">
        <v>314</v>
      </c>
      <c r="M228" s="1">
        <v>3</v>
      </c>
      <c r="N228" s="1">
        <v>23.646161230000001</v>
      </c>
      <c r="O228" s="1">
        <v>7.0848375450000001</v>
      </c>
      <c r="P228" s="1">
        <f t="shared" si="0"/>
        <v>3</v>
      </c>
    </row>
    <row r="229" spans="1:21" ht="14.25" customHeight="1" x14ac:dyDescent="0.35">
      <c r="A229" s="1" t="s">
        <v>389</v>
      </c>
      <c r="B229" s="3">
        <v>45468</v>
      </c>
      <c r="C229" s="1" t="s">
        <v>390</v>
      </c>
      <c r="D229" s="1">
        <v>27</v>
      </c>
      <c r="E229" s="1" t="s">
        <v>26</v>
      </c>
      <c r="F229" s="1" t="s">
        <v>27</v>
      </c>
      <c r="G229" s="1" t="s">
        <v>58</v>
      </c>
      <c r="H229" s="1" t="s">
        <v>59</v>
      </c>
      <c r="I229" s="1">
        <v>884.06</v>
      </c>
      <c r="J229" s="1">
        <v>33765</v>
      </c>
      <c r="K229" s="1">
        <v>3602</v>
      </c>
      <c r="L229" s="1">
        <v>71</v>
      </c>
      <c r="M229" s="1">
        <v>2</v>
      </c>
      <c r="N229" s="1">
        <v>10.66785133</v>
      </c>
      <c r="O229" s="1">
        <v>1.971127152</v>
      </c>
      <c r="P229" s="1">
        <f t="shared" si="0"/>
        <v>2</v>
      </c>
    </row>
    <row r="230" spans="1:21" ht="14.25" customHeight="1" x14ac:dyDescent="0.35">
      <c r="A230" s="1" t="s">
        <v>391</v>
      </c>
      <c r="B230" s="3">
        <v>45626</v>
      </c>
      <c r="C230" s="1" t="s">
        <v>392</v>
      </c>
      <c r="D230" s="1">
        <v>29</v>
      </c>
      <c r="E230" s="1" t="s">
        <v>32</v>
      </c>
      <c r="F230" s="1" t="s">
        <v>42</v>
      </c>
      <c r="G230" s="1" t="s">
        <v>39</v>
      </c>
      <c r="H230" s="1" t="s">
        <v>29</v>
      </c>
      <c r="I230" s="1">
        <v>1875.48</v>
      </c>
      <c r="J230" s="1">
        <v>32952</v>
      </c>
      <c r="K230" s="1">
        <v>901</v>
      </c>
      <c r="L230" s="1">
        <v>392</v>
      </c>
      <c r="M230" s="1">
        <v>4</v>
      </c>
      <c r="N230" s="1">
        <v>2.7342801649999999</v>
      </c>
      <c r="O230" s="1">
        <v>43.507214210000001</v>
      </c>
      <c r="P230" s="1">
        <f t="shared" si="0"/>
        <v>4</v>
      </c>
    </row>
    <row r="231" spans="1:21" ht="14.25" customHeight="1" x14ac:dyDescent="0.35">
      <c r="A231" s="1" t="s">
        <v>393</v>
      </c>
      <c r="B231" s="3">
        <v>45339</v>
      </c>
      <c r="C231" s="1" t="s">
        <v>256</v>
      </c>
      <c r="D231" s="1">
        <v>19</v>
      </c>
      <c r="E231" s="1" t="s">
        <v>32</v>
      </c>
      <c r="F231" s="1" t="s">
        <v>47</v>
      </c>
      <c r="G231" s="1" t="s">
        <v>22</v>
      </c>
      <c r="H231" s="1" t="s">
        <v>59</v>
      </c>
      <c r="I231" s="1">
        <v>1087.97</v>
      </c>
      <c r="J231" s="1">
        <v>20564</v>
      </c>
      <c r="K231" s="1">
        <v>534</v>
      </c>
      <c r="L231" s="1">
        <v>6</v>
      </c>
      <c r="M231" s="1">
        <v>5</v>
      </c>
      <c r="N231" s="1">
        <v>2.5967710560000001</v>
      </c>
      <c r="O231" s="1">
        <v>1.123595506</v>
      </c>
      <c r="P231" s="1">
        <f t="shared" si="0"/>
        <v>5</v>
      </c>
    </row>
    <row r="232" spans="1:21" ht="14.25" customHeight="1" x14ac:dyDescent="0.35">
      <c r="A232" s="1" t="s">
        <v>394</v>
      </c>
      <c r="B232" s="3">
        <v>45418</v>
      </c>
      <c r="C232" s="1" t="s">
        <v>294</v>
      </c>
      <c r="D232" s="1">
        <v>52</v>
      </c>
      <c r="E232" s="1" t="s">
        <v>26</v>
      </c>
      <c r="F232" s="1" t="s">
        <v>21</v>
      </c>
      <c r="G232" s="1" t="s">
        <v>39</v>
      </c>
      <c r="H232" s="1" t="s">
        <v>23</v>
      </c>
      <c r="I232" s="1">
        <v>715.4</v>
      </c>
      <c r="J232" s="1">
        <v>47785</v>
      </c>
      <c r="K232" s="1">
        <v>3256</v>
      </c>
      <c r="L232" s="1">
        <v>314</v>
      </c>
      <c r="N232" s="1">
        <v>6.81385372</v>
      </c>
      <c r="O232" s="1">
        <v>9.6437346440000002</v>
      </c>
      <c r="P232" s="1">
        <f t="shared" si="0"/>
        <v>3</v>
      </c>
    </row>
    <row r="233" spans="1:21" ht="14.25" customHeight="1" x14ac:dyDescent="0.35">
      <c r="A233" s="1" t="s">
        <v>395</v>
      </c>
      <c r="B233" s="3">
        <v>45503</v>
      </c>
      <c r="C233" s="1" t="s">
        <v>267</v>
      </c>
      <c r="D233" s="1">
        <v>35</v>
      </c>
      <c r="E233" s="1" t="s">
        <v>26</v>
      </c>
      <c r="F233" s="1" t="s">
        <v>54</v>
      </c>
      <c r="G233" s="1" t="s">
        <v>39</v>
      </c>
      <c r="H233" s="1" t="s">
        <v>33</v>
      </c>
      <c r="I233" s="1">
        <v>867.52</v>
      </c>
      <c r="J233" s="1">
        <v>23149</v>
      </c>
      <c r="K233" s="1">
        <v>3981</v>
      </c>
      <c r="L233" s="1">
        <v>71</v>
      </c>
      <c r="M233" s="1">
        <v>5</v>
      </c>
      <c r="N233" s="1">
        <v>17.19728714</v>
      </c>
      <c r="O233" s="1">
        <v>1.7834714899999999</v>
      </c>
      <c r="P233" s="1">
        <f t="shared" si="0"/>
        <v>5</v>
      </c>
    </row>
    <row r="234" spans="1:21" ht="14.25" customHeight="1" x14ac:dyDescent="0.35">
      <c r="A234" s="1" t="s">
        <v>396</v>
      </c>
      <c r="B234" s="3">
        <v>45397</v>
      </c>
      <c r="C234" s="1" t="s">
        <v>283</v>
      </c>
      <c r="D234" s="1">
        <v>23</v>
      </c>
      <c r="E234" s="1" t="s">
        <v>20</v>
      </c>
      <c r="F234" s="1" t="s">
        <v>38</v>
      </c>
      <c r="G234" s="1" t="s">
        <v>39</v>
      </c>
      <c r="H234" s="1" t="s">
        <v>29</v>
      </c>
      <c r="I234" s="1">
        <v>526.45000000000005</v>
      </c>
      <c r="J234" s="1">
        <v>24687</v>
      </c>
      <c r="K234" s="1">
        <v>3886</v>
      </c>
      <c r="L234" s="1">
        <v>260</v>
      </c>
      <c r="M234" s="1">
        <v>5</v>
      </c>
      <c r="N234" s="1">
        <v>15.7410783</v>
      </c>
      <c r="O234" s="1">
        <v>6.6906845080000004</v>
      </c>
      <c r="P234" s="1">
        <f t="shared" si="0"/>
        <v>5</v>
      </c>
    </row>
    <row r="235" spans="1:21" ht="14.25" customHeight="1" x14ac:dyDescent="0.35">
      <c r="A235" s="1" t="s">
        <v>397</v>
      </c>
      <c r="B235" s="3">
        <v>45369</v>
      </c>
      <c r="C235" s="1" t="s">
        <v>375</v>
      </c>
      <c r="D235" s="1">
        <v>56</v>
      </c>
      <c r="E235" s="1" t="s">
        <v>26</v>
      </c>
      <c r="F235" s="1" t="s">
        <v>38</v>
      </c>
      <c r="G235" s="1" t="s">
        <v>43</v>
      </c>
      <c r="H235" s="1" t="s">
        <v>23</v>
      </c>
      <c r="I235" s="1">
        <v>880.74</v>
      </c>
      <c r="J235" s="1">
        <v>1867</v>
      </c>
      <c r="K235" s="1">
        <v>4531</v>
      </c>
      <c r="L235" s="1">
        <v>230</v>
      </c>
      <c r="M235" s="1">
        <v>4</v>
      </c>
      <c r="N235" s="1">
        <v>242.68880559999999</v>
      </c>
      <c r="O235" s="1">
        <v>5.0761421320000002</v>
      </c>
      <c r="P235" s="1">
        <f t="shared" si="0"/>
        <v>4</v>
      </c>
      <c r="U235" s="1">
        <f>COUNTIF(N231:N1000, N235&gt;100)</f>
        <v>0</v>
      </c>
    </row>
    <row r="236" spans="1:21" ht="14.25" customHeight="1" x14ac:dyDescent="0.35">
      <c r="A236" s="1" t="s">
        <v>398</v>
      </c>
      <c r="B236" s="3">
        <v>45316</v>
      </c>
      <c r="C236" s="1" t="s">
        <v>123</v>
      </c>
      <c r="D236" s="1">
        <v>49</v>
      </c>
      <c r="E236" s="1" t="s">
        <v>32</v>
      </c>
      <c r="F236" s="1" t="s">
        <v>47</v>
      </c>
      <c r="G236" s="1" t="s">
        <v>43</v>
      </c>
      <c r="H236" s="1" t="s">
        <v>23</v>
      </c>
      <c r="I236" s="1">
        <v>1305.48</v>
      </c>
      <c r="J236" s="1">
        <v>48180</v>
      </c>
      <c r="K236" s="1">
        <v>3428</v>
      </c>
      <c r="L236" s="1">
        <v>235</v>
      </c>
      <c r="M236" s="1">
        <v>3</v>
      </c>
      <c r="N236" s="1">
        <v>7.1149854709999998</v>
      </c>
      <c r="O236" s="1">
        <v>6.8553092180000004</v>
      </c>
      <c r="P236" s="1">
        <f t="shared" si="0"/>
        <v>3</v>
      </c>
    </row>
    <row r="237" spans="1:21" ht="14.25" customHeight="1" x14ac:dyDescent="0.35">
      <c r="A237" s="1" t="s">
        <v>399</v>
      </c>
      <c r="B237" s="3">
        <v>45359</v>
      </c>
      <c r="C237" s="1" t="s">
        <v>87</v>
      </c>
      <c r="D237" s="1">
        <v>32</v>
      </c>
      <c r="E237" s="1" t="s">
        <v>26</v>
      </c>
      <c r="F237" s="1" t="s">
        <v>47</v>
      </c>
      <c r="G237" s="1" t="s">
        <v>58</v>
      </c>
      <c r="H237" s="1" t="s">
        <v>29</v>
      </c>
      <c r="I237" s="1">
        <v>785.75</v>
      </c>
      <c r="J237" s="1">
        <v>12360</v>
      </c>
      <c r="K237" s="1">
        <v>830</v>
      </c>
      <c r="L237" s="1">
        <v>338</v>
      </c>
      <c r="M237" s="1">
        <v>3</v>
      </c>
      <c r="N237" s="1">
        <v>6.715210356</v>
      </c>
      <c r="O237" s="1">
        <v>40.722891570000002</v>
      </c>
      <c r="P237" s="1">
        <f t="shared" si="0"/>
        <v>3</v>
      </c>
    </row>
    <row r="238" spans="1:21" ht="14.25" customHeight="1" x14ac:dyDescent="0.35">
      <c r="A238" s="1" t="s">
        <v>400</v>
      </c>
      <c r="B238" s="3">
        <v>45341</v>
      </c>
      <c r="C238" s="1" t="s">
        <v>401</v>
      </c>
      <c r="D238" s="1">
        <v>35</v>
      </c>
      <c r="E238" s="1" t="s">
        <v>20</v>
      </c>
      <c r="F238" s="1" t="s">
        <v>47</v>
      </c>
      <c r="G238" s="1" t="s">
        <v>28</v>
      </c>
      <c r="H238" s="1" t="s">
        <v>59</v>
      </c>
      <c r="I238" s="1">
        <v>307.75</v>
      </c>
      <c r="J238" s="1">
        <v>37454</v>
      </c>
      <c r="K238" s="1">
        <v>2046</v>
      </c>
      <c r="L238" s="1">
        <v>25</v>
      </c>
      <c r="M238" s="1">
        <v>3</v>
      </c>
      <c r="N238" s="1">
        <v>5.4627009129999999</v>
      </c>
      <c r="O238" s="1">
        <v>1.221896383</v>
      </c>
      <c r="P238" s="1">
        <f t="shared" si="0"/>
        <v>3</v>
      </c>
    </row>
    <row r="239" spans="1:21" ht="14.25" customHeight="1" x14ac:dyDescent="0.35">
      <c r="A239" s="1" t="s">
        <v>402</v>
      </c>
      <c r="B239" s="3">
        <v>45325</v>
      </c>
      <c r="C239" s="1" t="s">
        <v>403</v>
      </c>
      <c r="D239" s="1">
        <v>40</v>
      </c>
      <c r="E239" s="1" t="s">
        <v>26</v>
      </c>
      <c r="F239" s="1" t="s">
        <v>27</v>
      </c>
      <c r="G239" s="1" t="s">
        <v>22</v>
      </c>
      <c r="H239" s="1" t="s">
        <v>23</v>
      </c>
      <c r="I239" s="1">
        <v>1845.67</v>
      </c>
      <c r="J239" s="1">
        <v>29637</v>
      </c>
      <c r="K239" s="1">
        <v>3427</v>
      </c>
      <c r="L239" s="1">
        <v>256</v>
      </c>
      <c r="M239" s="1">
        <v>2</v>
      </c>
      <c r="N239" s="1">
        <v>11.563248639999999</v>
      </c>
      <c r="O239" s="1">
        <v>7.4700904579999996</v>
      </c>
      <c r="P239" s="1">
        <f t="shared" si="0"/>
        <v>2</v>
      </c>
    </row>
    <row r="240" spans="1:21" ht="14.25" customHeight="1" x14ac:dyDescent="0.35">
      <c r="A240" s="1" t="s">
        <v>404</v>
      </c>
      <c r="B240" s="3">
        <v>45623</v>
      </c>
      <c r="C240" s="1" t="s">
        <v>366</v>
      </c>
      <c r="D240" s="1">
        <v>34</v>
      </c>
      <c r="E240" s="1" t="s">
        <v>20</v>
      </c>
      <c r="F240" s="1" t="s">
        <v>47</v>
      </c>
      <c r="G240" s="1" t="s">
        <v>43</v>
      </c>
      <c r="H240" s="1" t="s">
        <v>33</v>
      </c>
      <c r="I240" s="1">
        <v>1466.41</v>
      </c>
      <c r="J240" s="1">
        <v>40785</v>
      </c>
      <c r="K240" s="1">
        <v>294</v>
      </c>
      <c r="L240" s="1">
        <v>309</v>
      </c>
      <c r="M240" s="1">
        <v>5</v>
      </c>
      <c r="N240" s="1">
        <v>0.72085325499999997</v>
      </c>
      <c r="O240" s="1">
        <v>105.1020408</v>
      </c>
      <c r="P240" s="1">
        <f t="shared" si="0"/>
        <v>5</v>
      </c>
    </row>
    <row r="241" spans="1:16" ht="14.25" customHeight="1" x14ac:dyDescent="0.35">
      <c r="A241" s="1" t="s">
        <v>405</v>
      </c>
      <c r="B241" s="3">
        <v>45639</v>
      </c>
      <c r="C241" s="1" t="s">
        <v>406</v>
      </c>
      <c r="E241" s="1" t="s">
        <v>20</v>
      </c>
      <c r="G241" s="1" t="s">
        <v>39</v>
      </c>
      <c r="H241" s="1" t="s">
        <v>23</v>
      </c>
      <c r="I241" s="1">
        <v>394.75</v>
      </c>
      <c r="J241" s="1">
        <v>39706</v>
      </c>
      <c r="K241" s="1">
        <v>3487</v>
      </c>
      <c r="L241" s="1">
        <v>331</v>
      </c>
      <c r="N241" s="1">
        <v>8.7820480530000005</v>
      </c>
      <c r="O241" s="1">
        <v>9.492400344</v>
      </c>
      <c r="P241" s="1">
        <f t="shared" si="0"/>
        <v>3</v>
      </c>
    </row>
    <row r="242" spans="1:16" ht="14.25" customHeight="1" x14ac:dyDescent="0.35">
      <c r="A242" s="1" t="s">
        <v>407</v>
      </c>
      <c r="B242" s="3">
        <v>45360</v>
      </c>
      <c r="C242" s="1" t="s">
        <v>41</v>
      </c>
      <c r="D242" s="1">
        <v>57</v>
      </c>
      <c r="E242" s="1" t="s">
        <v>20</v>
      </c>
      <c r="F242" s="1" t="s">
        <v>47</v>
      </c>
      <c r="G242" s="1" t="s">
        <v>43</v>
      </c>
      <c r="H242" s="1" t="s">
        <v>33</v>
      </c>
      <c r="I242" s="1">
        <v>1661.73</v>
      </c>
      <c r="J242" s="1">
        <v>32350</v>
      </c>
      <c r="K242" s="1">
        <v>4136</v>
      </c>
      <c r="L242" s="1">
        <v>82</v>
      </c>
      <c r="M242" s="1">
        <v>5</v>
      </c>
      <c r="N242" s="1">
        <v>12.785162290000001</v>
      </c>
      <c r="O242" s="1">
        <v>1.9825918760000001</v>
      </c>
      <c r="P242" s="1">
        <f t="shared" si="0"/>
        <v>5</v>
      </c>
    </row>
    <row r="243" spans="1:16" ht="14.25" customHeight="1" x14ac:dyDescent="0.35">
      <c r="A243" s="1" t="s">
        <v>408</v>
      </c>
      <c r="B243" s="3">
        <v>45522</v>
      </c>
      <c r="C243" s="1" t="s">
        <v>207</v>
      </c>
      <c r="E243" s="1" t="s">
        <v>20</v>
      </c>
      <c r="G243" s="1" t="s">
        <v>28</v>
      </c>
      <c r="H243" s="1" t="s">
        <v>33</v>
      </c>
      <c r="I243" s="1">
        <v>1903.52</v>
      </c>
      <c r="J243" s="1">
        <v>7720</v>
      </c>
      <c r="K243" s="1">
        <v>2503</v>
      </c>
      <c r="L243" s="1">
        <v>312</v>
      </c>
      <c r="N243" s="1">
        <v>32.422279789999997</v>
      </c>
      <c r="O243" s="1">
        <v>12.46504195</v>
      </c>
      <c r="P243" s="1">
        <f t="shared" si="0"/>
        <v>3</v>
      </c>
    </row>
    <row r="244" spans="1:16" ht="14.25" customHeight="1" x14ac:dyDescent="0.35">
      <c r="A244" s="1" t="s">
        <v>409</v>
      </c>
      <c r="B244" s="3">
        <v>45387</v>
      </c>
      <c r="C244" s="1" t="s">
        <v>240</v>
      </c>
      <c r="D244" s="1">
        <v>20</v>
      </c>
      <c r="E244" s="1" t="s">
        <v>20</v>
      </c>
      <c r="F244" s="1" t="s">
        <v>38</v>
      </c>
      <c r="G244" s="1" t="s">
        <v>22</v>
      </c>
      <c r="H244" s="1" t="s">
        <v>33</v>
      </c>
      <c r="I244" s="1">
        <v>598.57000000000005</v>
      </c>
      <c r="J244" s="1">
        <v>30323</v>
      </c>
      <c r="K244" s="1">
        <v>2913</v>
      </c>
      <c r="L244" s="1">
        <v>265</v>
      </c>
      <c r="M244" s="1">
        <v>1</v>
      </c>
      <c r="N244" s="1">
        <v>9.6065692709999997</v>
      </c>
      <c r="O244" s="1">
        <v>9.0971507040000006</v>
      </c>
      <c r="P244" s="1">
        <f t="shared" si="0"/>
        <v>1</v>
      </c>
    </row>
    <row r="245" spans="1:16" ht="14.25" customHeight="1" x14ac:dyDescent="0.35">
      <c r="A245" s="1" t="s">
        <v>410</v>
      </c>
      <c r="B245" s="3">
        <v>45417</v>
      </c>
      <c r="C245" s="1" t="s">
        <v>411</v>
      </c>
      <c r="D245" s="1">
        <v>40</v>
      </c>
      <c r="E245" s="1" t="s">
        <v>32</v>
      </c>
      <c r="F245" s="1" t="s">
        <v>38</v>
      </c>
      <c r="G245" s="1" t="s">
        <v>28</v>
      </c>
      <c r="H245" s="1" t="s">
        <v>33</v>
      </c>
      <c r="I245" s="1">
        <v>1099.93</v>
      </c>
      <c r="J245" s="1">
        <v>35184</v>
      </c>
      <c r="K245" s="1">
        <v>2740</v>
      </c>
      <c r="L245" s="1">
        <v>31</v>
      </c>
      <c r="M245" s="1">
        <v>3</v>
      </c>
      <c r="N245" s="1">
        <v>7.7876307410000001</v>
      </c>
      <c r="O245" s="1">
        <v>1.131386861</v>
      </c>
      <c r="P245" s="1">
        <f t="shared" si="0"/>
        <v>3</v>
      </c>
    </row>
    <row r="246" spans="1:16" ht="14.25" customHeight="1" x14ac:dyDescent="0.35">
      <c r="A246" s="1" t="s">
        <v>412</v>
      </c>
      <c r="B246" s="3">
        <v>45543</v>
      </c>
      <c r="C246" s="1" t="s">
        <v>326</v>
      </c>
      <c r="D246" s="1">
        <v>22</v>
      </c>
      <c r="E246" s="1" t="s">
        <v>20</v>
      </c>
      <c r="F246" s="1" t="s">
        <v>42</v>
      </c>
      <c r="G246" s="1" t="s">
        <v>43</v>
      </c>
      <c r="H246" s="1" t="s">
        <v>59</v>
      </c>
      <c r="I246" s="1">
        <v>1870.23</v>
      </c>
      <c r="J246" s="1">
        <v>4858</v>
      </c>
      <c r="K246" s="1">
        <v>2255</v>
      </c>
      <c r="L246" s="1">
        <v>205</v>
      </c>
      <c r="N246" s="1">
        <v>46.418279130000002</v>
      </c>
      <c r="O246" s="1">
        <v>9.0909090910000003</v>
      </c>
      <c r="P246" s="1">
        <f t="shared" si="0"/>
        <v>3</v>
      </c>
    </row>
    <row r="247" spans="1:16" ht="14.25" customHeight="1" x14ac:dyDescent="0.35">
      <c r="A247" s="1" t="s">
        <v>413</v>
      </c>
      <c r="B247" s="3">
        <v>45353</v>
      </c>
      <c r="C247" s="1" t="s">
        <v>326</v>
      </c>
      <c r="D247" s="1">
        <v>64</v>
      </c>
      <c r="E247" s="1" t="s">
        <v>20</v>
      </c>
      <c r="F247" s="1" t="s">
        <v>21</v>
      </c>
      <c r="G247" s="1" t="s">
        <v>58</v>
      </c>
      <c r="H247" s="1" t="s">
        <v>29</v>
      </c>
      <c r="I247" s="1">
        <v>699.4</v>
      </c>
      <c r="J247" s="1">
        <v>16566</v>
      </c>
      <c r="K247" s="1">
        <v>4254</v>
      </c>
      <c r="L247" s="1">
        <v>29</v>
      </c>
      <c r="M247" s="1">
        <v>1</v>
      </c>
      <c r="N247" s="1">
        <v>25.679101769999999</v>
      </c>
      <c r="O247" s="1">
        <v>0.68171133100000003</v>
      </c>
      <c r="P247" s="1">
        <f t="shared" si="0"/>
        <v>1</v>
      </c>
    </row>
    <row r="248" spans="1:16" ht="14.25" customHeight="1" x14ac:dyDescent="0.35">
      <c r="A248" s="1" t="s">
        <v>414</v>
      </c>
      <c r="B248" s="3">
        <v>45642</v>
      </c>
      <c r="C248" s="1" t="s">
        <v>415</v>
      </c>
      <c r="D248" s="1">
        <v>51</v>
      </c>
      <c r="E248" s="1" t="s">
        <v>32</v>
      </c>
      <c r="F248" s="1" t="s">
        <v>42</v>
      </c>
      <c r="G248" s="1" t="s">
        <v>22</v>
      </c>
      <c r="H248" s="1" t="s">
        <v>59</v>
      </c>
      <c r="I248" s="1">
        <v>758.46</v>
      </c>
      <c r="J248" s="1">
        <v>34903</v>
      </c>
      <c r="K248" s="1">
        <v>1492</v>
      </c>
      <c r="L248" s="1">
        <v>340</v>
      </c>
      <c r="M248" s="1">
        <v>5</v>
      </c>
      <c r="N248" s="1">
        <v>4.2747041799999996</v>
      </c>
      <c r="O248" s="1">
        <v>22.788203750000001</v>
      </c>
      <c r="P248" s="1">
        <f t="shared" si="0"/>
        <v>5</v>
      </c>
    </row>
    <row r="249" spans="1:16" ht="14.25" customHeight="1" x14ac:dyDescent="0.35">
      <c r="A249" s="1" t="s">
        <v>416</v>
      </c>
      <c r="B249" s="3">
        <v>45370</v>
      </c>
      <c r="C249" s="1" t="s">
        <v>149</v>
      </c>
      <c r="D249" s="1">
        <v>57</v>
      </c>
      <c r="E249" s="1" t="s">
        <v>26</v>
      </c>
      <c r="F249" s="1" t="s">
        <v>21</v>
      </c>
      <c r="G249" s="1" t="s">
        <v>22</v>
      </c>
      <c r="H249" s="1" t="s">
        <v>23</v>
      </c>
      <c r="I249" s="1">
        <v>411.03</v>
      </c>
      <c r="J249" s="1">
        <v>5499</v>
      </c>
      <c r="K249" s="1">
        <v>1550</v>
      </c>
      <c r="L249" s="1">
        <v>18</v>
      </c>
      <c r="M249" s="1">
        <v>3</v>
      </c>
      <c r="N249" s="1">
        <v>28.186943079999999</v>
      </c>
      <c r="O249" s="1">
        <v>1.161290323</v>
      </c>
      <c r="P249" s="1">
        <f t="shared" si="0"/>
        <v>3</v>
      </c>
    </row>
    <row r="250" spans="1:16" ht="14.25" customHeight="1" x14ac:dyDescent="0.35">
      <c r="A250" s="1" t="s">
        <v>417</v>
      </c>
      <c r="B250" s="3">
        <v>45656</v>
      </c>
      <c r="C250" s="1" t="s">
        <v>351</v>
      </c>
      <c r="D250" s="1">
        <v>50</v>
      </c>
      <c r="E250" s="1" t="s">
        <v>32</v>
      </c>
      <c r="F250" s="1" t="s">
        <v>21</v>
      </c>
      <c r="G250" s="1" t="s">
        <v>28</v>
      </c>
      <c r="H250" s="1" t="s">
        <v>23</v>
      </c>
      <c r="I250" s="1">
        <v>946.44</v>
      </c>
      <c r="J250" s="1">
        <v>30703</v>
      </c>
      <c r="K250" s="1">
        <v>2607</v>
      </c>
      <c r="L250" s="1">
        <v>289</v>
      </c>
      <c r="M250" s="1">
        <v>4</v>
      </c>
      <c r="N250" s="1">
        <v>8.4910269350000007</v>
      </c>
      <c r="O250" s="1">
        <v>11.08553893</v>
      </c>
      <c r="P250" s="1">
        <f t="shared" si="0"/>
        <v>4</v>
      </c>
    </row>
    <row r="251" spans="1:16" ht="14.25" customHeight="1" x14ac:dyDescent="0.35">
      <c r="A251" s="1" t="s">
        <v>418</v>
      </c>
      <c r="B251" s="3">
        <v>45368</v>
      </c>
      <c r="C251" s="1" t="s">
        <v>192</v>
      </c>
      <c r="D251" s="1">
        <v>42</v>
      </c>
      <c r="E251" s="1" t="s">
        <v>20</v>
      </c>
      <c r="F251" s="1" t="s">
        <v>54</v>
      </c>
      <c r="G251" s="1" t="s">
        <v>22</v>
      </c>
      <c r="H251" s="1" t="s">
        <v>23</v>
      </c>
      <c r="I251" s="1">
        <v>1811.41</v>
      </c>
      <c r="J251" s="1">
        <v>23980</v>
      </c>
      <c r="K251" s="1">
        <v>1485</v>
      </c>
      <c r="L251" s="1">
        <v>384</v>
      </c>
      <c r="N251" s="1">
        <v>6.1926605500000003</v>
      </c>
      <c r="O251" s="1">
        <v>25.858585860000002</v>
      </c>
      <c r="P251" s="1">
        <f t="shared" si="0"/>
        <v>3</v>
      </c>
    </row>
    <row r="252" spans="1:16" ht="14.25" customHeight="1" x14ac:dyDescent="0.35">
      <c r="A252" s="1" t="s">
        <v>419</v>
      </c>
      <c r="B252" s="3">
        <v>45414</v>
      </c>
      <c r="C252" s="1" t="s">
        <v>420</v>
      </c>
      <c r="D252" s="1">
        <v>28</v>
      </c>
      <c r="E252" s="1" t="s">
        <v>32</v>
      </c>
      <c r="F252" s="1" t="s">
        <v>54</v>
      </c>
      <c r="G252" s="1" t="s">
        <v>39</v>
      </c>
      <c r="H252" s="1" t="s">
        <v>29</v>
      </c>
      <c r="I252" s="1">
        <v>1934.61</v>
      </c>
      <c r="J252" s="1">
        <v>7195</v>
      </c>
      <c r="K252" s="1">
        <v>3150</v>
      </c>
      <c r="L252" s="1">
        <v>324</v>
      </c>
      <c r="N252" s="1">
        <v>43.780403059999998</v>
      </c>
      <c r="O252" s="1">
        <v>10.28571429</v>
      </c>
      <c r="P252" s="1">
        <f t="shared" si="0"/>
        <v>3</v>
      </c>
    </row>
    <row r="253" spans="1:16" ht="14.25" customHeight="1" x14ac:dyDescent="0.35">
      <c r="A253" s="1" t="s">
        <v>421</v>
      </c>
      <c r="B253" s="3">
        <v>45645</v>
      </c>
      <c r="C253" s="1" t="s">
        <v>92</v>
      </c>
      <c r="D253" s="1">
        <v>34</v>
      </c>
      <c r="E253" s="1" t="s">
        <v>32</v>
      </c>
      <c r="F253" s="1" t="s">
        <v>47</v>
      </c>
      <c r="G253" s="1" t="s">
        <v>43</v>
      </c>
      <c r="H253" s="1" t="s">
        <v>29</v>
      </c>
      <c r="I253" s="1">
        <v>359.82</v>
      </c>
      <c r="J253" s="1">
        <v>29915</v>
      </c>
      <c r="K253" s="1">
        <v>1376</v>
      </c>
      <c r="L253" s="1">
        <v>360</v>
      </c>
      <c r="M253" s="1">
        <v>3</v>
      </c>
      <c r="N253" s="1">
        <v>4.599699148</v>
      </c>
      <c r="O253" s="1">
        <v>26.162790699999999</v>
      </c>
      <c r="P253" s="1">
        <f t="shared" si="0"/>
        <v>3</v>
      </c>
    </row>
    <row r="254" spans="1:16" ht="14.25" customHeight="1" x14ac:dyDescent="0.35">
      <c r="A254" s="1" t="s">
        <v>422</v>
      </c>
      <c r="B254" s="3">
        <v>45300</v>
      </c>
      <c r="C254" s="1" t="s">
        <v>123</v>
      </c>
      <c r="D254" s="1">
        <v>59</v>
      </c>
      <c r="E254" s="1" t="s">
        <v>26</v>
      </c>
      <c r="F254" s="1" t="s">
        <v>27</v>
      </c>
      <c r="G254" s="1" t="s">
        <v>28</v>
      </c>
      <c r="H254" s="1" t="s">
        <v>23</v>
      </c>
      <c r="I254" s="1">
        <v>1861.2</v>
      </c>
      <c r="J254" s="1">
        <v>22153</v>
      </c>
      <c r="K254" s="1">
        <v>1966</v>
      </c>
      <c r="L254" s="1">
        <v>127</v>
      </c>
      <c r="M254" s="1">
        <v>2</v>
      </c>
      <c r="N254" s="1">
        <v>8.8746445180000002</v>
      </c>
      <c r="O254" s="1">
        <v>6.4598168869999997</v>
      </c>
      <c r="P254" s="1">
        <f t="shared" si="0"/>
        <v>2</v>
      </c>
    </row>
    <row r="255" spans="1:16" ht="14.25" customHeight="1" x14ac:dyDescent="0.35">
      <c r="A255" s="1" t="s">
        <v>423</v>
      </c>
      <c r="B255" s="3">
        <v>45472</v>
      </c>
      <c r="C255" s="1" t="s">
        <v>56</v>
      </c>
      <c r="D255" s="1">
        <v>50</v>
      </c>
      <c r="E255" s="1" t="s">
        <v>20</v>
      </c>
      <c r="F255" s="1" t="s">
        <v>38</v>
      </c>
      <c r="G255" s="1" t="s">
        <v>43</v>
      </c>
      <c r="H255" s="1" t="s">
        <v>23</v>
      </c>
      <c r="I255" s="1">
        <v>431.94</v>
      </c>
      <c r="J255" s="1">
        <v>13414</v>
      </c>
      <c r="K255" s="1">
        <v>1643</v>
      </c>
      <c r="L255" s="1">
        <v>22</v>
      </c>
      <c r="M255" s="1">
        <v>4</v>
      </c>
      <c r="N255" s="1">
        <v>12.248397199999999</v>
      </c>
      <c r="O255" s="1">
        <v>1.3390139990000001</v>
      </c>
      <c r="P255" s="1">
        <f t="shared" si="0"/>
        <v>4</v>
      </c>
    </row>
    <row r="256" spans="1:16" ht="14.25" customHeight="1" x14ac:dyDescent="0.35">
      <c r="A256" s="1" t="s">
        <v>424</v>
      </c>
      <c r="B256" s="3">
        <v>45386</v>
      </c>
      <c r="C256" s="1" t="s">
        <v>425</v>
      </c>
      <c r="D256" s="1">
        <v>61</v>
      </c>
      <c r="E256" s="1" t="s">
        <v>26</v>
      </c>
      <c r="F256" s="1" t="s">
        <v>21</v>
      </c>
      <c r="G256" s="1" t="s">
        <v>22</v>
      </c>
      <c r="H256" s="1" t="s">
        <v>33</v>
      </c>
      <c r="I256" s="1">
        <v>1762.48</v>
      </c>
      <c r="J256" s="1">
        <v>32047</v>
      </c>
      <c r="K256" s="1">
        <v>3075</v>
      </c>
      <c r="L256" s="1">
        <v>15</v>
      </c>
      <c r="N256" s="1">
        <v>9.5952819300000005</v>
      </c>
      <c r="O256" s="1">
        <v>0.487804878</v>
      </c>
      <c r="P256" s="1">
        <f t="shared" si="0"/>
        <v>3</v>
      </c>
    </row>
    <row r="257" spans="1:21" ht="14.25" customHeight="1" x14ac:dyDescent="0.35">
      <c r="A257" s="1" t="s">
        <v>426</v>
      </c>
      <c r="B257" s="3">
        <v>45645</v>
      </c>
      <c r="C257" s="1" t="s">
        <v>110</v>
      </c>
      <c r="D257" s="1">
        <v>37</v>
      </c>
      <c r="E257" s="1" t="s">
        <v>32</v>
      </c>
      <c r="F257" s="1" t="s">
        <v>27</v>
      </c>
      <c r="G257" s="1" t="s">
        <v>43</v>
      </c>
      <c r="H257" s="1" t="s">
        <v>33</v>
      </c>
      <c r="I257" s="1">
        <v>1601.81</v>
      </c>
      <c r="J257" s="1">
        <v>26123</v>
      </c>
      <c r="K257" s="1">
        <v>4979</v>
      </c>
      <c r="L257" s="1">
        <v>229</v>
      </c>
      <c r="M257" s="1">
        <v>2</v>
      </c>
      <c r="N257" s="1">
        <v>19.059832329999999</v>
      </c>
      <c r="O257" s="1">
        <v>4.5993171320000004</v>
      </c>
      <c r="P257" s="1">
        <f t="shared" si="0"/>
        <v>2</v>
      </c>
    </row>
    <row r="258" spans="1:21" ht="14.25" customHeight="1" x14ac:dyDescent="0.35">
      <c r="A258" s="1" t="s">
        <v>427</v>
      </c>
      <c r="B258" s="3">
        <v>45499</v>
      </c>
      <c r="C258" s="1" t="s">
        <v>209</v>
      </c>
      <c r="D258" s="1">
        <v>36</v>
      </c>
      <c r="E258" s="1" t="s">
        <v>20</v>
      </c>
      <c r="F258" s="1" t="s">
        <v>21</v>
      </c>
      <c r="G258" s="1" t="s">
        <v>28</v>
      </c>
      <c r="H258" s="1" t="s">
        <v>59</v>
      </c>
      <c r="I258" s="1">
        <v>109.48</v>
      </c>
      <c r="J258" s="1">
        <v>27149</v>
      </c>
      <c r="K258" s="1">
        <v>2463</v>
      </c>
      <c r="L258" s="1">
        <v>229</v>
      </c>
      <c r="M258" s="1">
        <v>3</v>
      </c>
      <c r="N258" s="1">
        <v>9.0721573539999998</v>
      </c>
      <c r="O258" s="1">
        <v>9.2976045470000006</v>
      </c>
      <c r="P258" s="1">
        <f t="shared" si="0"/>
        <v>3</v>
      </c>
    </row>
    <row r="259" spans="1:21" ht="14.25" customHeight="1" x14ac:dyDescent="0.35">
      <c r="A259" s="1" t="s">
        <v>428</v>
      </c>
      <c r="B259" s="3">
        <v>45476</v>
      </c>
      <c r="C259" s="1" t="s">
        <v>152</v>
      </c>
      <c r="D259" s="1">
        <v>62</v>
      </c>
      <c r="E259" s="1" t="s">
        <v>32</v>
      </c>
      <c r="F259" s="1" t="s">
        <v>38</v>
      </c>
      <c r="G259" s="1" t="s">
        <v>28</v>
      </c>
      <c r="H259" s="1" t="s">
        <v>29</v>
      </c>
      <c r="I259" s="1">
        <v>776.48</v>
      </c>
      <c r="J259" s="1">
        <v>34102</v>
      </c>
      <c r="K259" s="1">
        <v>3834</v>
      </c>
      <c r="L259" s="1">
        <v>81</v>
      </c>
      <c r="M259" s="1">
        <v>2</v>
      </c>
      <c r="N259" s="1">
        <v>11.242742359999999</v>
      </c>
      <c r="O259" s="1">
        <v>2.1126760560000002</v>
      </c>
      <c r="P259" s="1">
        <f t="shared" si="0"/>
        <v>2</v>
      </c>
    </row>
    <row r="260" spans="1:21" ht="14.25" customHeight="1" x14ac:dyDescent="0.35">
      <c r="A260" s="1" t="s">
        <v>429</v>
      </c>
      <c r="B260" s="3">
        <v>45473</v>
      </c>
      <c r="C260" s="1" t="s">
        <v>375</v>
      </c>
      <c r="D260" s="1">
        <v>36</v>
      </c>
      <c r="E260" s="1" t="s">
        <v>20</v>
      </c>
      <c r="F260" s="1" t="s">
        <v>54</v>
      </c>
      <c r="G260" s="1" t="s">
        <v>43</v>
      </c>
      <c r="H260" s="1" t="s">
        <v>33</v>
      </c>
      <c r="I260" s="1">
        <v>615.96</v>
      </c>
      <c r="J260" s="1">
        <v>28673</v>
      </c>
      <c r="K260" s="1">
        <v>2909</v>
      </c>
      <c r="L260" s="1">
        <v>5</v>
      </c>
      <c r="N260" s="1">
        <v>10.14543299</v>
      </c>
      <c r="O260" s="1">
        <v>0.171880371</v>
      </c>
      <c r="P260" s="1">
        <f t="shared" si="0"/>
        <v>3</v>
      </c>
    </row>
    <row r="261" spans="1:21" ht="14.25" customHeight="1" x14ac:dyDescent="0.35">
      <c r="A261" s="1" t="s">
        <v>430</v>
      </c>
      <c r="B261" s="3">
        <v>45326</v>
      </c>
      <c r="C261" s="1" t="s">
        <v>19</v>
      </c>
      <c r="D261" s="1">
        <v>18</v>
      </c>
      <c r="E261" s="1" t="s">
        <v>32</v>
      </c>
      <c r="F261" s="1" t="s">
        <v>42</v>
      </c>
      <c r="G261" s="1" t="s">
        <v>39</v>
      </c>
      <c r="H261" s="1" t="s">
        <v>33</v>
      </c>
      <c r="I261" s="1">
        <v>1706.15</v>
      </c>
      <c r="J261" s="1">
        <v>24320</v>
      </c>
      <c r="K261" s="1">
        <v>19</v>
      </c>
      <c r="L261" s="1">
        <v>332</v>
      </c>
      <c r="N261" s="1">
        <v>7.8125E-2</v>
      </c>
      <c r="O261" s="1">
        <v>1747.3684209999999</v>
      </c>
      <c r="P261" s="1">
        <f t="shared" si="0"/>
        <v>3</v>
      </c>
    </row>
    <row r="262" spans="1:21" ht="14.25" customHeight="1" x14ac:dyDescent="0.35">
      <c r="A262" s="1" t="s">
        <v>431</v>
      </c>
      <c r="B262" s="3">
        <v>45560</v>
      </c>
      <c r="C262" s="1" t="s">
        <v>106</v>
      </c>
      <c r="D262" s="1">
        <v>30</v>
      </c>
      <c r="E262" s="1" t="s">
        <v>32</v>
      </c>
      <c r="F262" s="1" t="s">
        <v>54</v>
      </c>
      <c r="G262" s="1" t="s">
        <v>28</v>
      </c>
      <c r="H262" s="1" t="s">
        <v>23</v>
      </c>
      <c r="I262" s="1">
        <v>517.16</v>
      </c>
      <c r="J262" s="1">
        <v>47225</v>
      </c>
      <c r="K262" s="1">
        <v>983</v>
      </c>
      <c r="L262" s="1">
        <v>254</v>
      </c>
      <c r="M262" s="1">
        <v>2</v>
      </c>
      <c r="N262" s="1">
        <v>2.0815246159999998</v>
      </c>
      <c r="O262" s="1">
        <v>25.839267549999999</v>
      </c>
      <c r="P262" s="1">
        <f t="shared" si="0"/>
        <v>2</v>
      </c>
    </row>
    <row r="263" spans="1:21" ht="14.25" customHeight="1" x14ac:dyDescent="0.35">
      <c r="A263" s="1" t="s">
        <v>432</v>
      </c>
      <c r="B263" s="3">
        <v>45552</v>
      </c>
      <c r="C263" s="1" t="s">
        <v>276</v>
      </c>
      <c r="D263" s="1">
        <v>63</v>
      </c>
      <c r="E263" s="1" t="s">
        <v>26</v>
      </c>
      <c r="F263" s="1" t="s">
        <v>27</v>
      </c>
      <c r="G263" s="1" t="s">
        <v>58</v>
      </c>
      <c r="H263" s="1" t="s">
        <v>33</v>
      </c>
      <c r="I263" s="1">
        <v>948.55</v>
      </c>
      <c r="J263" s="1">
        <v>41270</v>
      </c>
      <c r="K263" s="1">
        <v>3422</v>
      </c>
      <c r="L263" s="1">
        <v>106</v>
      </c>
      <c r="M263" s="1">
        <v>3</v>
      </c>
      <c r="N263" s="1">
        <v>8.2917373390000009</v>
      </c>
      <c r="O263" s="1">
        <v>3.0976037409999999</v>
      </c>
      <c r="P263" s="1">
        <f t="shared" si="0"/>
        <v>3</v>
      </c>
    </row>
    <row r="264" spans="1:21" ht="14.25" customHeight="1" x14ac:dyDescent="0.35">
      <c r="A264" s="1" t="s">
        <v>433</v>
      </c>
      <c r="B264" s="3">
        <v>45336</v>
      </c>
      <c r="C264" s="1" t="s">
        <v>178</v>
      </c>
      <c r="D264" s="1">
        <v>39</v>
      </c>
      <c r="E264" s="1" t="s">
        <v>26</v>
      </c>
      <c r="F264" s="1" t="s">
        <v>21</v>
      </c>
      <c r="G264" s="1" t="s">
        <v>28</v>
      </c>
      <c r="H264" s="1" t="s">
        <v>33</v>
      </c>
      <c r="I264" s="1">
        <v>1451.79</v>
      </c>
      <c r="J264" s="1">
        <v>5135</v>
      </c>
      <c r="K264" s="1">
        <v>275</v>
      </c>
      <c r="L264" s="1">
        <v>340</v>
      </c>
      <c r="M264" s="1">
        <v>2</v>
      </c>
      <c r="N264" s="1">
        <v>5.3554040900000004</v>
      </c>
      <c r="O264" s="1">
        <v>123.6363636</v>
      </c>
      <c r="P264" s="1">
        <f t="shared" si="0"/>
        <v>2</v>
      </c>
    </row>
    <row r="265" spans="1:21" ht="14.25" customHeight="1" x14ac:dyDescent="0.35">
      <c r="A265" s="1" t="s">
        <v>434</v>
      </c>
      <c r="B265" s="3">
        <v>45603</v>
      </c>
      <c r="C265" s="1" t="s">
        <v>235</v>
      </c>
      <c r="D265" s="1">
        <v>34</v>
      </c>
      <c r="E265" s="1" t="s">
        <v>26</v>
      </c>
      <c r="F265" s="1" t="s">
        <v>27</v>
      </c>
      <c r="G265" s="1" t="s">
        <v>22</v>
      </c>
      <c r="H265" s="1" t="s">
        <v>59</v>
      </c>
      <c r="I265" s="1">
        <v>1998.65</v>
      </c>
      <c r="J265" s="1">
        <v>40015</v>
      </c>
      <c r="K265" s="1">
        <v>2666</v>
      </c>
      <c r="L265" s="1">
        <v>160</v>
      </c>
      <c r="N265" s="1">
        <v>6.6625015620000001</v>
      </c>
      <c r="O265" s="1">
        <v>6.001500375</v>
      </c>
      <c r="P265" s="1">
        <f t="shared" si="0"/>
        <v>3</v>
      </c>
    </row>
    <row r="266" spans="1:21" ht="14.25" customHeight="1" x14ac:dyDescent="0.35">
      <c r="A266" s="1" t="s">
        <v>435</v>
      </c>
      <c r="B266" s="3">
        <v>45568</v>
      </c>
      <c r="C266" s="1" t="s">
        <v>102</v>
      </c>
      <c r="D266" s="1">
        <v>64</v>
      </c>
      <c r="E266" s="1" t="s">
        <v>26</v>
      </c>
      <c r="F266" s="1" t="s">
        <v>42</v>
      </c>
      <c r="G266" s="1" t="s">
        <v>22</v>
      </c>
      <c r="H266" s="1" t="s">
        <v>33</v>
      </c>
      <c r="I266" s="1">
        <v>758.2</v>
      </c>
      <c r="J266" s="1">
        <v>25415</v>
      </c>
      <c r="K266" s="1">
        <v>457</v>
      </c>
      <c r="L266" s="1">
        <v>357</v>
      </c>
      <c r="M266" s="1">
        <v>5</v>
      </c>
      <c r="N266" s="1">
        <v>1.7981506979999999</v>
      </c>
      <c r="O266" s="1">
        <v>78.118161929999999</v>
      </c>
      <c r="P266" s="1">
        <f t="shared" si="0"/>
        <v>5</v>
      </c>
    </row>
    <row r="267" spans="1:21" ht="14.25" customHeight="1" x14ac:dyDescent="0.35">
      <c r="A267" s="1" t="s">
        <v>436</v>
      </c>
      <c r="B267" s="3">
        <v>45591</v>
      </c>
      <c r="C267" s="1" t="s">
        <v>85</v>
      </c>
      <c r="D267" s="1">
        <v>45</v>
      </c>
      <c r="E267" s="1" t="s">
        <v>26</v>
      </c>
      <c r="F267" s="1" t="s">
        <v>27</v>
      </c>
      <c r="G267" s="1" t="s">
        <v>22</v>
      </c>
      <c r="H267" s="1" t="s">
        <v>23</v>
      </c>
      <c r="I267" s="1">
        <v>698.36</v>
      </c>
      <c r="J267" s="1">
        <v>4391</v>
      </c>
      <c r="K267" s="1">
        <v>2248</v>
      </c>
      <c r="L267" s="1">
        <v>40</v>
      </c>
      <c r="M267" s="1">
        <v>2</v>
      </c>
      <c r="N267" s="1">
        <v>51.195627420000001</v>
      </c>
      <c r="O267" s="1">
        <v>1.779359431</v>
      </c>
      <c r="P267" s="1">
        <f t="shared" si="0"/>
        <v>2</v>
      </c>
    </row>
    <row r="268" spans="1:21" ht="14.25" customHeight="1" x14ac:dyDescent="0.35">
      <c r="A268" s="1" t="s">
        <v>437</v>
      </c>
      <c r="B268" s="3">
        <v>45566</v>
      </c>
      <c r="C268" s="1" t="s">
        <v>85</v>
      </c>
      <c r="D268" s="1">
        <v>36</v>
      </c>
      <c r="E268" s="1" t="s">
        <v>26</v>
      </c>
      <c r="F268" s="1" t="s">
        <v>47</v>
      </c>
      <c r="G268" s="1" t="s">
        <v>43</v>
      </c>
      <c r="H268" s="1" t="s">
        <v>59</v>
      </c>
      <c r="I268" s="1">
        <v>1089.8499999999999</v>
      </c>
      <c r="J268" s="1">
        <v>7470</v>
      </c>
      <c r="K268" s="1">
        <v>4068</v>
      </c>
      <c r="L268" s="1">
        <v>33</v>
      </c>
      <c r="M268" s="1">
        <v>4</v>
      </c>
      <c r="N268" s="1">
        <v>54.457831329999998</v>
      </c>
      <c r="O268" s="1">
        <v>0.81120943999999995</v>
      </c>
      <c r="P268" s="1">
        <f t="shared" si="0"/>
        <v>4</v>
      </c>
    </row>
    <row r="269" spans="1:21" ht="14.25" customHeight="1" x14ac:dyDescent="0.35">
      <c r="A269" s="1" t="s">
        <v>438</v>
      </c>
      <c r="B269" s="3">
        <v>45476</v>
      </c>
      <c r="C269" s="1" t="s">
        <v>439</v>
      </c>
      <c r="D269" s="1">
        <v>33</v>
      </c>
      <c r="E269" s="1" t="s">
        <v>26</v>
      </c>
      <c r="F269" s="1" t="s">
        <v>21</v>
      </c>
      <c r="G269" s="1" t="s">
        <v>43</v>
      </c>
      <c r="H269" s="1" t="s">
        <v>29</v>
      </c>
      <c r="I269" s="1">
        <v>1846.83</v>
      </c>
      <c r="J269" s="1">
        <v>39373</v>
      </c>
      <c r="K269" s="1">
        <v>2905</v>
      </c>
      <c r="L269" s="1">
        <v>167</v>
      </c>
      <c r="M269" s="1">
        <v>2</v>
      </c>
      <c r="N269" s="1">
        <v>7.3781525410000004</v>
      </c>
      <c r="O269" s="1">
        <v>5.7487091220000002</v>
      </c>
      <c r="P269" s="1">
        <f t="shared" si="0"/>
        <v>2</v>
      </c>
    </row>
    <row r="270" spans="1:21" ht="14.25" customHeight="1" x14ac:dyDescent="0.35">
      <c r="A270" s="1" t="s">
        <v>440</v>
      </c>
      <c r="B270" s="3">
        <v>45441</v>
      </c>
      <c r="C270" s="1" t="s">
        <v>167</v>
      </c>
      <c r="D270" s="1">
        <v>60</v>
      </c>
      <c r="E270" s="1" t="s">
        <v>32</v>
      </c>
      <c r="F270" s="1" t="s">
        <v>27</v>
      </c>
      <c r="G270" s="1" t="s">
        <v>22</v>
      </c>
      <c r="H270" s="1" t="s">
        <v>59</v>
      </c>
      <c r="I270" s="1">
        <v>1987.42</v>
      </c>
      <c r="J270" s="1">
        <v>41458</v>
      </c>
      <c r="K270" s="1">
        <v>3867</v>
      </c>
      <c r="L270" s="1">
        <v>202</v>
      </c>
      <c r="M270" s="1">
        <v>2</v>
      </c>
      <c r="N270" s="1">
        <v>9.3275121809999995</v>
      </c>
      <c r="O270" s="1">
        <v>5.2236876130000001</v>
      </c>
      <c r="P270" s="1">
        <f t="shared" si="0"/>
        <v>2</v>
      </c>
    </row>
    <row r="271" spans="1:21" ht="14.25" customHeight="1" x14ac:dyDescent="0.35">
      <c r="A271" s="1" t="s">
        <v>441</v>
      </c>
      <c r="B271" s="3">
        <v>45413</v>
      </c>
      <c r="C271" s="1" t="s">
        <v>442</v>
      </c>
      <c r="D271" s="1">
        <v>46</v>
      </c>
      <c r="E271" s="1" t="s">
        <v>32</v>
      </c>
      <c r="F271" s="1" t="s">
        <v>27</v>
      </c>
      <c r="G271" s="1" t="s">
        <v>28</v>
      </c>
      <c r="H271" s="1" t="s">
        <v>33</v>
      </c>
      <c r="I271" s="1">
        <v>607.95000000000005</v>
      </c>
      <c r="J271" s="1">
        <v>10972</v>
      </c>
      <c r="K271" s="1">
        <v>2613</v>
      </c>
      <c r="L271" s="1">
        <v>373</v>
      </c>
      <c r="M271" s="1">
        <v>4</v>
      </c>
      <c r="N271" s="1">
        <v>23.815165879999999</v>
      </c>
      <c r="O271" s="1">
        <v>14.274779949999999</v>
      </c>
      <c r="P271" s="1">
        <f t="shared" si="0"/>
        <v>4</v>
      </c>
    </row>
    <row r="272" spans="1:21" ht="14.25" customHeight="1" x14ac:dyDescent="0.35">
      <c r="A272" s="1" t="s">
        <v>443</v>
      </c>
      <c r="B272" s="3">
        <v>45310</v>
      </c>
      <c r="C272" s="1" t="s">
        <v>375</v>
      </c>
      <c r="D272" s="1">
        <v>37</v>
      </c>
      <c r="E272" s="1" t="s">
        <v>20</v>
      </c>
      <c r="F272" s="1" t="s">
        <v>54</v>
      </c>
      <c r="G272" s="1" t="s">
        <v>58</v>
      </c>
      <c r="H272" s="1" t="s">
        <v>23</v>
      </c>
      <c r="I272" s="1">
        <v>966.22</v>
      </c>
      <c r="J272" s="1">
        <v>3400</v>
      </c>
      <c r="K272" s="1">
        <v>3943</v>
      </c>
      <c r="L272" s="1">
        <v>142</v>
      </c>
      <c r="M272" s="1">
        <v>2</v>
      </c>
      <c r="N272" s="1">
        <v>115.97058819999999</v>
      </c>
      <c r="O272" s="1">
        <v>3.6013187929999999</v>
      </c>
      <c r="P272" s="1">
        <f t="shared" si="0"/>
        <v>2</v>
      </c>
      <c r="U272" s="1">
        <f>COUNTIF(N268:N1000, N272&gt;100)</f>
        <v>0</v>
      </c>
    </row>
    <row r="273" spans="1:16" ht="14.25" customHeight="1" x14ac:dyDescent="0.35">
      <c r="A273" s="1" t="s">
        <v>444</v>
      </c>
      <c r="B273" s="3">
        <v>45651</v>
      </c>
      <c r="C273" s="1" t="s">
        <v>253</v>
      </c>
      <c r="D273" s="1">
        <v>28</v>
      </c>
      <c r="E273" s="1" t="s">
        <v>32</v>
      </c>
      <c r="F273" s="1" t="s">
        <v>21</v>
      </c>
      <c r="G273" s="1" t="s">
        <v>28</v>
      </c>
      <c r="H273" s="1" t="s">
        <v>33</v>
      </c>
      <c r="I273" s="1">
        <v>1344.32</v>
      </c>
      <c r="J273" s="1">
        <v>39311</v>
      </c>
      <c r="K273" s="1">
        <v>86</v>
      </c>
      <c r="L273" s="1">
        <v>320</v>
      </c>
      <c r="M273" s="1">
        <v>5</v>
      </c>
      <c r="N273" s="1">
        <v>0.21876828400000001</v>
      </c>
      <c r="O273" s="1">
        <v>372.09302330000003</v>
      </c>
      <c r="P273" s="1">
        <f t="shared" si="0"/>
        <v>5</v>
      </c>
    </row>
    <row r="274" spans="1:16" ht="14.25" customHeight="1" x14ac:dyDescent="0.35">
      <c r="A274" s="1" t="s">
        <v>445</v>
      </c>
      <c r="B274" s="3">
        <v>45539</v>
      </c>
      <c r="C274" s="1" t="s">
        <v>231</v>
      </c>
      <c r="D274" s="1">
        <v>62</v>
      </c>
      <c r="E274" s="1" t="s">
        <v>20</v>
      </c>
      <c r="F274" s="1" t="s">
        <v>27</v>
      </c>
      <c r="G274" s="1" t="s">
        <v>43</v>
      </c>
      <c r="H274" s="1" t="s">
        <v>29</v>
      </c>
      <c r="I274" s="1">
        <v>417.52</v>
      </c>
      <c r="J274" s="1">
        <v>5397</v>
      </c>
      <c r="K274" s="1">
        <v>2231</v>
      </c>
      <c r="L274" s="1">
        <v>380</v>
      </c>
      <c r="M274" s="1">
        <v>4</v>
      </c>
      <c r="N274" s="1">
        <v>41.337780250000002</v>
      </c>
      <c r="O274" s="1">
        <v>17.032720749999999</v>
      </c>
      <c r="P274" s="1">
        <f t="shared" si="0"/>
        <v>4</v>
      </c>
    </row>
    <row r="275" spans="1:16" ht="14.25" customHeight="1" x14ac:dyDescent="0.35">
      <c r="A275" s="1" t="s">
        <v>446</v>
      </c>
      <c r="B275" s="3">
        <v>45297</v>
      </c>
      <c r="C275" s="1" t="s">
        <v>76</v>
      </c>
      <c r="D275" s="1">
        <v>61</v>
      </c>
      <c r="E275" s="1" t="s">
        <v>32</v>
      </c>
      <c r="F275" s="1" t="s">
        <v>42</v>
      </c>
      <c r="G275" s="1" t="s">
        <v>58</v>
      </c>
      <c r="H275" s="1" t="s">
        <v>29</v>
      </c>
      <c r="I275" s="1">
        <v>379.51</v>
      </c>
      <c r="J275" s="1">
        <v>47022</v>
      </c>
      <c r="K275" s="1">
        <v>2647</v>
      </c>
      <c r="L275" s="1">
        <v>175</v>
      </c>
      <c r="M275" s="1">
        <v>1</v>
      </c>
      <c r="N275" s="1">
        <v>5.6292799120000003</v>
      </c>
      <c r="O275" s="1">
        <v>6.611258028</v>
      </c>
      <c r="P275" s="1">
        <f t="shared" si="0"/>
        <v>1</v>
      </c>
    </row>
    <row r="276" spans="1:16" ht="14.25" customHeight="1" x14ac:dyDescent="0.35">
      <c r="A276" s="1" t="s">
        <v>447</v>
      </c>
      <c r="B276" s="3">
        <v>45425</v>
      </c>
      <c r="C276" s="1" t="s">
        <v>448</v>
      </c>
      <c r="D276" s="1">
        <v>43</v>
      </c>
      <c r="E276" s="1" t="s">
        <v>20</v>
      </c>
      <c r="F276" s="1" t="s">
        <v>42</v>
      </c>
      <c r="G276" s="1" t="s">
        <v>43</v>
      </c>
      <c r="H276" s="1" t="s">
        <v>23</v>
      </c>
      <c r="I276" s="1">
        <v>698.4</v>
      </c>
      <c r="J276" s="1">
        <v>6481</v>
      </c>
      <c r="K276" s="1">
        <v>2419</v>
      </c>
      <c r="L276" s="1">
        <v>111</v>
      </c>
      <c r="M276" s="1">
        <v>2</v>
      </c>
      <c r="N276" s="1">
        <v>37.324486960000002</v>
      </c>
      <c r="O276" s="1">
        <v>4.5886730050000004</v>
      </c>
      <c r="P276" s="1">
        <f t="shared" si="0"/>
        <v>2</v>
      </c>
    </row>
    <row r="277" spans="1:16" ht="14.25" customHeight="1" x14ac:dyDescent="0.35">
      <c r="A277" s="1" t="s">
        <v>449</v>
      </c>
      <c r="B277" s="3">
        <v>45618</v>
      </c>
      <c r="C277" s="1" t="s">
        <v>363</v>
      </c>
      <c r="D277" s="1">
        <v>18</v>
      </c>
      <c r="E277" s="1" t="s">
        <v>20</v>
      </c>
      <c r="F277" s="1" t="s">
        <v>47</v>
      </c>
      <c r="G277" s="1" t="s">
        <v>58</v>
      </c>
      <c r="H277" s="1" t="s">
        <v>59</v>
      </c>
      <c r="I277" s="1">
        <v>1570.77</v>
      </c>
      <c r="J277" s="1">
        <v>32930</v>
      </c>
      <c r="K277" s="1">
        <v>3206</v>
      </c>
      <c r="L277" s="1">
        <v>252</v>
      </c>
      <c r="N277" s="1">
        <v>9.7358032189999992</v>
      </c>
      <c r="O277" s="1">
        <v>7.8602620090000004</v>
      </c>
      <c r="P277" s="1">
        <f t="shared" si="0"/>
        <v>3</v>
      </c>
    </row>
    <row r="278" spans="1:16" ht="14.25" customHeight="1" x14ac:dyDescent="0.35">
      <c r="A278" s="1" t="s">
        <v>450</v>
      </c>
      <c r="B278" s="3">
        <v>45449</v>
      </c>
      <c r="C278" s="1" t="s">
        <v>207</v>
      </c>
      <c r="D278" s="1">
        <v>42</v>
      </c>
      <c r="E278" s="1" t="s">
        <v>20</v>
      </c>
      <c r="F278" s="1" t="s">
        <v>27</v>
      </c>
      <c r="G278" s="1" t="s">
        <v>58</v>
      </c>
      <c r="H278" s="1" t="s">
        <v>33</v>
      </c>
      <c r="I278" s="1">
        <v>101.55</v>
      </c>
      <c r="J278" s="1">
        <v>24515</v>
      </c>
      <c r="K278" s="1">
        <v>3342</v>
      </c>
      <c r="L278" s="1">
        <v>165</v>
      </c>
      <c r="M278" s="1">
        <v>4</v>
      </c>
      <c r="N278" s="1">
        <v>13.63246992</v>
      </c>
      <c r="O278" s="1">
        <v>4.9371633749999999</v>
      </c>
      <c r="P278" s="1">
        <f t="shared" si="0"/>
        <v>4</v>
      </c>
    </row>
    <row r="279" spans="1:16" ht="14.25" customHeight="1" x14ac:dyDescent="0.35">
      <c r="A279" s="1" t="s">
        <v>451</v>
      </c>
      <c r="B279" s="3">
        <v>45538</v>
      </c>
      <c r="C279" s="1" t="s">
        <v>61</v>
      </c>
      <c r="D279" s="1">
        <v>50</v>
      </c>
      <c r="E279" s="1" t="s">
        <v>26</v>
      </c>
      <c r="F279" s="1" t="s">
        <v>54</v>
      </c>
      <c r="G279" s="1" t="s">
        <v>39</v>
      </c>
      <c r="H279" s="1" t="s">
        <v>59</v>
      </c>
      <c r="I279" s="1">
        <v>1911.15</v>
      </c>
      <c r="J279" s="1">
        <v>36008</v>
      </c>
      <c r="K279" s="1">
        <v>2636</v>
      </c>
      <c r="L279" s="1">
        <v>236</v>
      </c>
      <c r="M279" s="1">
        <v>1</v>
      </c>
      <c r="N279" s="1">
        <v>7.3205954230000003</v>
      </c>
      <c r="O279" s="1">
        <v>8.9529590290000005</v>
      </c>
      <c r="P279" s="1">
        <f t="shared" si="0"/>
        <v>1</v>
      </c>
    </row>
    <row r="280" spans="1:16" ht="14.25" customHeight="1" x14ac:dyDescent="0.35">
      <c r="A280" s="1" t="s">
        <v>452</v>
      </c>
      <c r="B280" s="3">
        <v>45360</v>
      </c>
      <c r="C280" s="1" t="s">
        <v>453</v>
      </c>
      <c r="D280" s="1">
        <v>57</v>
      </c>
      <c r="E280" s="1" t="s">
        <v>20</v>
      </c>
      <c r="F280" s="1" t="s">
        <v>54</v>
      </c>
      <c r="G280" s="1" t="s">
        <v>39</v>
      </c>
      <c r="H280" s="1" t="s">
        <v>29</v>
      </c>
      <c r="I280" s="1">
        <v>906.53</v>
      </c>
      <c r="J280" s="1">
        <v>11617</v>
      </c>
      <c r="K280" s="1">
        <v>4182</v>
      </c>
      <c r="L280" s="1">
        <v>58</v>
      </c>
      <c r="M280" s="1">
        <v>5</v>
      </c>
      <c r="N280" s="1">
        <v>35.998967030000003</v>
      </c>
      <c r="O280" s="1">
        <v>1.3868962220000001</v>
      </c>
      <c r="P280" s="1">
        <f t="shared" si="0"/>
        <v>5</v>
      </c>
    </row>
    <row r="281" spans="1:16" ht="14.25" customHeight="1" x14ac:dyDescent="0.35">
      <c r="A281" s="1" t="s">
        <v>454</v>
      </c>
      <c r="B281" s="3">
        <v>45530</v>
      </c>
      <c r="C281" s="1" t="s">
        <v>388</v>
      </c>
      <c r="D281" s="1">
        <v>32</v>
      </c>
      <c r="E281" s="1" t="s">
        <v>26</v>
      </c>
      <c r="F281" s="1" t="s">
        <v>27</v>
      </c>
      <c r="G281" s="1" t="s">
        <v>22</v>
      </c>
      <c r="H281" s="1" t="s">
        <v>59</v>
      </c>
      <c r="I281" s="1">
        <v>1288.8900000000001</v>
      </c>
      <c r="J281" s="1">
        <v>20561</v>
      </c>
      <c r="K281" s="1">
        <v>132</v>
      </c>
      <c r="L281" s="1">
        <v>70</v>
      </c>
      <c r="M281" s="1">
        <v>4</v>
      </c>
      <c r="N281" s="1">
        <v>0.64199212100000003</v>
      </c>
      <c r="O281" s="1">
        <v>53.030303029999999</v>
      </c>
      <c r="P281" s="1">
        <f t="shared" si="0"/>
        <v>4</v>
      </c>
    </row>
    <row r="282" spans="1:16" ht="14.25" customHeight="1" x14ac:dyDescent="0.35">
      <c r="A282" s="1" t="s">
        <v>455</v>
      </c>
      <c r="B282" s="3">
        <v>45394</v>
      </c>
      <c r="C282" s="1" t="s">
        <v>183</v>
      </c>
      <c r="D282" s="1">
        <v>55</v>
      </c>
      <c r="E282" s="1" t="s">
        <v>20</v>
      </c>
      <c r="F282" s="1" t="s">
        <v>54</v>
      </c>
      <c r="G282" s="1" t="s">
        <v>43</v>
      </c>
      <c r="H282" s="1" t="s">
        <v>33</v>
      </c>
      <c r="I282" s="1">
        <v>893.86</v>
      </c>
      <c r="J282" s="1">
        <v>41057</v>
      </c>
      <c r="K282" s="1">
        <v>80</v>
      </c>
      <c r="L282" s="1">
        <v>303</v>
      </c>
      <c r="M282" s="1">
        <v>4</v>
      </c>
      <c r="N282" s="1">
        <v>0.19485106099999999</v>
      </c>
      <c r="O282" s="1">
        <v>378.75</v>
      </c>
      <c r="P282" s="1">
        <f t="shared" si="0"/>
        <v>4</v>
      </c>
    </row>
    <row r="283" spans="1:16" ht="14.25" customHeight="1" x14ac:dyDescent="0.35">
      <c r="A283" s="1" t="s">
        <v>456</v>
      </c>
      <c r="B283" s="3">
        <v>45497</v>
      </c>
      <c r="C283" s="1" t="s">
        <v>108</v>
      </c>
      <c r="D283" s="1">
        <v>57</v>
      </c>
      <c r="E283" s="1" t="s">
        <v>20</v>
      </c>
      <c r="F283" s="1" t="s">
        <v>42</v>
      </c>
      <c r="G283" s="1" t="s">
        <v>28</v>
      </c>
      <c r="H283" s="1" t="s">
        <v>23</v>
      </c>
      <c r="I283" s="1">
        <v>793.31</v>
      </c>
      <c r="J283" s="1">
        <v>49542</v>
      </c>
      <c r="K283" s="1">
        <v>2177</v>
      </c>
      <c r="L283" s="1">
        <v>60</v>
      </c>
      <c r="M283" s="1">
        <v>3</v>
      </c>
      <c r="N283" s="1">
        <v>4.3942513419999996</v>
      </c>
      <c r="O283" s="1">
        <v>2.756086357</v>
      </c>
      <c r="P283" s="1">
        <f t="shared" si="0"/>
        <v>3</v>
      </c>
    </row>
    <row r="284" spans="1:16" ht="14.25" customHeight="1" x14ac:dyDescent="0.35">
      <c r="A284" s="1" t="s">
        <v>457</v>
      </c>
      <c r="B284" s="3">
        <v>45602</v>
      </c>
      <c r="C284" s="1" t="s">
        <v>458</v>
      </c>
      <c r="D284" s="1">
        <v>32</v>
      </c>
      <c r="E284" s="1" t="s">
        <v>26</v>
      </c>
      <c r="F284" s="1" t="s">
        <v>21</v>
      </c>
      <c r="G284" s="1" t="s">
        <v>28</v>
      </c>
      <c r="H284" s="1" t="s">
        <v>23</v>
      </c>
      <c r="I284" s="1">
        <v>353.31</v>
      </c>
      <c r="J284" s="1">
        <v>25212</v>
      </c>
      <c r="K284" s="1">
        <v>2092</v>
      </c>
      <c r="L284" s="1">
        <v>185</v>
      </c>
      <c r="M284" s="1">
        <v>3</v>
      </c>
      <c r="N284" s="1">
        <v>8.2976360459999992</v>
      </c>
      <c r="O284" s="1">
        <v>8.8432122369999995</v>
      </c>
      <c r="P284" s="1">
        <f t="shared" si="0"/>
        <v>3</v>
      </c>
    </row>
    <row r="285" spans="1:16" ht="14.25" customHeight="1" x14ac:dyDescent="0.35">
      <c r="A285" s="1" t="s">
        <v>459</v>
      </c>
      <c r="B285" s="3">
        <v>45380</v>
      </c>
      <c r="C285" s="1" t="s">
        <v>94</v>
      </c>
      <c r="D285" s="1">
        <v>45</v>
      </c>
      <c r="E285" s="1" t="s">
        <v>32</v>
      </c>
      <c r="F285" s="1" t="s">
        <v>54</v>
      </c>
      <c r="G285" s="1" t="s">
        <v>43</v>
      </c>
      <c r="H285" s="1" t="s">
        <v>33</v>
      </c>
      <c r="I285" s="1">
        <v>1594</v>
      </c>
      <c r="J285" s="1">
        <v>39454</v>
      </c>
      <c r="K285" s="1">
        <v>4754</v>
      </c>
      <c r="L285" s="1">
        <v>29</v>
      </c>
      <c r="M285" s="1">
        <v>2</v>
      </c>
      <c r="N285" s="1">
        <v>12.049475340000001</v>
      </c>
      <c r="O285" s="1">
        <v>0.61001262099999998</v>
      </c>
      <c r="P285" s="1">
        <f t="shared" si="0"/>
        <v>2</v>
      </c>
    </row>
    <row r="286" spans="1:16" ht="14.25" customHeight="1" x14ac:dyDescent="0.35">
      <c r="A286" s="1" t="s">
        <v>460</v>
      </c>
      <c r="B286" s="3">
        <v>45383</v>
      </c>
      <c r="C286" s="1" t="s">
        <v>149</v>
      </c>
      <c r="D286" s="1">
        <v>20</v>
      </c>
      <c r="E286" s="1" t="s">
        <v>32</v>
      </c>
      <c r="F286" s="1" t="s">
        <v>54</v>
      </c>
      <c r="G286" s="1" t="s">
        <v>28</v>
      </c>
      <c r="H286" s="1" t="s">
        <v>33</v>
      </c>
      <c r="I286" s="1">
        <v>1752.29</v>
      </c>
      <c r="J286" s="1">
        <v>31606</v>
      </c>
      <c r="K286" s="1">
        <v>672</v>
      </c>
      <c r="L286" s="1">
        <v>183</v>
      </c>
      <c r="N286" s="1">
        <v>2.1261785739999999</v>
      </c>
      <c r="O286" s="1">
        <v>27.23214286</v>
      </c>
      <c r="P286" s="1">
        <f t="shared" si="0"/>
        <v>3</v>
      </c>
    </row>
    <row r="287" spans="1:16" ht="14.25" customHeight="1" x14ac:dyDescent="0.35">
      <c r="A287" s="1" t="s">
        <v>461</v>
      </c>
      <c r="B287" s="3">
        <v>45308</v>
      </c>
      <c r="C287" s="1" t="s">
        <v>221</v>
      </c>
      <c r="D287" s="1">
        <v>35</v>
      </c>
      <c r="E287" s="1" t="s">
        <v>26</v>
      </c>
      <c r="F287" s="1" t="s">
        <v>47</v>
      </c>
      <c r="G287" s="1" t="s">
        <v>43</v>
      </c>
      <c r="H287" s="1" t="s">
        <v>59</v>
      </c>
      <c r="I287" s="1">
        <v>193.59</v>
      </c>
      <c r="J287" s="1">
        <v>22693</v>
      </c>
      <c r="K287" s="1">
        <v>1026</v>
      </c>
      <c r="L287" s="1">
        <v>373</v>
      </c>
      <c r="M287" s="1">
        <v>5</v>
      </c>
      <c r="N287" s="1">
        <v>4.5212179969999999</v>
      </c>
      <c r="O287" s="1">
        <v>36.354775830000001</v>
      </c>
      <c r="P287" s="1">
        <f t="shared" si="0"/>
        <v>5</v>
      </c>
    </row>
    <row r="288" spans="1:16" ht="14.25" customHeight="1" x14ac:dyDescent="0.35">
      <c r="A288" s="1" t="s">
        <v>462</v>
      </c>
      <c r="B288" s="3">
        <v>45425</v>
      </c>
      <c r="C288" s="1" t="s">
        <v>133</v>
      </c>
      <c r="D288" s="1">
        <v>19</v>
      </c>
      <c r="E288" s="1" t="s">
        <v>20</v>
      </c>
      <c r="F288" s="1" t="s">
        <v>47</v>
      </c>
      <c r="G288" s="1" t="s">
        <v>22</v>
      </c>
      <c r="H288" s="1" t="s">
        <v>33</v>
      </c>
      <c r="I288" s="1">
        <v>1588.33</v>
      </c>
      <c r="J288" s="1">
        <v>7116</v>
      </c>
      <c r="K288" s="1">
        <v>3602</v>
      </c>
      <c r="L288" s="1">
        <v>117</v>
      </c>
      <c r="M288" s="1">
        <v>4</v>
      </c>
      <c r="N288" s="1">
        <v>50.618324899999998</v>
      </c>
      <c r="O288" s="1">
        <v>3.2481954470000001</v>
      </c>
      <c r="P288" s="1">
        <f t="shared" si="0"/>
        <v>4</v>
      </c>
    </row>
    <row r="289" spans="1:21" ht="14.25" customHeight="1" x14ac:dyDescent="0.35">
      <c r="A289" s="1" t="s">
        <v>463</v>
      </c>
      <c r="B289" s="3">
        <v>45396</v>
      </c>
      <c r="C289" s="1" t="s">
        <v>464</v>
      </c>
      <c r="D289" s="1">
        <v>64</v>
      </c>
      <c r="E289" s="1" t="s">
        <v>32</v>
      </c>
      <c r="F289" s="1" t="s">
        <v>38</v>
      </c>
      <c r="G289" s="1" t="s">
        <v>28</v>
      </c>
      <c r="H289" s="1" t="s">
        <v>59</v>
      </c>
      <c r="I289" s="1">
        <v>182.5</v>
      </c>
      <c r="J289" s="1">
        <v>7864</v>
      </c>
      <c r="K289" s="1">
        <v>4423</v>
      </c>
      <c r="L289" s="1">
        <v>371</v>
      </c>
      <c r="M289" s="1">
        <v>5</v>
      </c>
      <c r="N289" s="1">
        <v>56.243641910000001</v>
      </c>
      <c r="O289" s="1">
        <v>8.3879719650000002</v>
      </c>
      <c r="P289" s="1">
        <f t="shared" si="0"/>
        <v>5</v>
      </c>
    </row>
    <row r="290" spans="1:21" ht="14.25" customHeight="1" x14ac:dyDescent="0.35">
      <c r="A290" s="1" t="s">
        <v>465</v>
      </c>
      <c r="B290" s="3">
        <v>45385</v>
      </c>
      <c r="C290" s="1" t="s">
        <v>466</v>
      </c>
      <c r="D290" s="1">
        <v>20</v>
      </c>
      <c r="E290" s="1" t="s">
        <v>26</v>
      </c>
      <c r="F290" s="1" t="s">
        <v>42</v>
      </c>
      <c r="G290" s="1" t="s">
        <v>43</v>
      </c>
      <c r="H290" s="1" t="s">
        <v>29</v>
      </c>
      <c r="I290" s="1">
        <v>950.76</v>
      </c>
      <c r="J290" s="1">
        <v>25485</v>
      </c>
      <c r="K290" s="1">
        <v>3308</v>
      </c>
      <c r="L290" s="1">
        <v>50</v>
      </c>
      <c r="M290" s="1">
        <v>2</v>
      </c>
      <c r="N290" s="1">
        <v>12.980184420000001</v>
      </c>
      <c r="O290" s="1">
        <v>1.5114873040000001</v>
      </c>
      <c r="P290" s="1">
        <f t="shared" si="0"/>
        <v>2</v>
      </c>
    </row>
    <row r="291" spans="1:21" ht="14.25" customHeight="1" x14ac:dyDescent="0.35">
      <c r="A291" s="1" t="s">
        <v>467</v>
      </c>
      <c r="B291" s="3">
        <v>45365</v>
      </c>
      <c r="C291" s="1" t="s">
        <v>468</v>
      </c>
      <c r="D291" s="1">
        <v>48</v>
      </c>
      <c r="E291" s="1" t="s">
        <v>32</v>
      </c>
      <c r="F291" s="1" t="s">
        <v>42</v>
      </c>
      <c r="G291" s="1" t="s">
        <v>39</v>
      </c>
      <c r="H291" s="1" t="s">
        <v>59</v>
      </c>
      <c r="I291" s="1">
        <v>679.15</v>
      </c>
      <c r="J291" s="1">
        <v>14524</v>
      </c>
      <c r="K291" s="1">
        <v>653</v>
      </c>
      <c r="L291" s="1">
        <v>48</v>
      </c>
      <c r="M291" s="1">
        <v>4</v>
      </c>
      <c r="N291" s="1">
        <v>4.4960066100000002</v>
      </c>
      <c r="O291" s="1">
        <v>7.3506891269999999</v>
      </c>
      <c r="P291" s="1">
        <f t="shared" si="0"/>
        <v>4</v>
      </c>
    </row>
    <row r="292" spans="1:21" ht="14.25" customHeight="1" x14ac:dyDescent="0.35">
      <c r="A292" s="1" t="s">
        <v>469</v>
      </c>
      <c r="B292" s="3">
        <v>45475</v>
      </c>
      <c r="C292" s="1" t="s">
        <v>470</v>
      </c>
      <c r="D292" s="1">
        <v>27</v>
      </c>
      <c r="E292" s="1" t="s">
        <v>26</v>
      </c>
      <c r="F292" s="1" t="s">
        <v>21</v>
      </c>
      <c r="G292" s="1" t="s">
        <v>58</v>
      </c>
      <c r="H292" s="1" t="s">
        <v>29</v>
      </c>
      <c r="I292" s="1">
        <v>233.28</v>
      </c>
      <c r="J292" s="1">
        <v>22861</v>
      </c>
      <c r="K292" s="1">
        <v>2657</v>
      </c>
      <c r="L292" s="1">
        <v>298</v>
      </c>
      <c r="N292" s="1">
        <v>11.622413720000001</v>
      </c>
      <c r="O292" s="1">
        <v>11.21565676</v>
      </c>
      <c r="P292" s="1">
        <f t="shared" si="0"/>
        <v>3</v>
      </c>
    </row>
    <row r="293" spans="1:21" ht="14.25" customHeight="1" x14ac:dyDescent="0.35">
      <c r="A293" s="1" t="s">
        <v>471</v>
      </c>
      <c r="B293" s="3">
        <v>45587</v>
      </c>
      <c r="C293" s="1" t="s">
        <v>209</v>
      </c>
      <c r="E293" s="1" t="s">
        <v>20</v>
      </c>
      <c r="G293" s="1" t="s">
        <v>22</v>
      </c>
      <c r="H293" s="1" t="s">
        <v>33</v>
      </c>
      <c r="I293" s="1">
        <v>1175.3499999999999</v>
      </c>
      <c r="J293" s="1">
        <v>18946</v>
      </c>
      <c r="K293" s="1">
        <v>838</v>
      </c>
      <c r="L293" s="1">
        <v>10</v>
      </c>
      <c r="N293" s="1">
        <v>4.4230972240000002</v>
      </c>
      <c r="O293" s="1">
        <v>1.193317422</v>
      </c>
      <c r="P293" s="1">
        <f t="shared" si="0"/>
        <v>3</v>
      </c>
    </row>
    <row r="294" spans="1:21" ht="14.25" customHeight="1" x14ac:dyDescent="0.35">
      <c r="A294" s="1" t="s">
        <v>472</v>
      </c>
      <c r="B294" s="3">
        <v>45498</v>
      </c>
      <c r="C294" s="1" t="s">
        <v>333</v>
      </c>
      <c r="D294" s="1">
        <v>22</v>
      </c>
      <c r="E294" s="1" t="s">
        <v>32</v>
      </c>
      <c r="F294" s="1" t="s">
        <v>21</v>
      </c>
      <c r="G294" s="1" t="s">
        <v>39</v>
      </c>
      <c r="H294" s="1" t="s">
        <v>29</v>
      </c>
      <c r="I294" s="1">
        <v>1163.9000000000001</v>
      </c>
      <c r="J294" s="1">
        <v>29133</v>
      </c>
      <c r="K294" s="1">
        <v>559</v>
      </c>
      <c r="L294" s="1">
        <v>327</v>
      </c>
      <c r="M294" s="1">
        <v>3</v>
      </c>
      <c r="N294" s="1">
        <v>1.918786256</v>
      </c>
      <c r="O294" s="1">
        <v>58.497316640000001</v>
      </c>
      <c r="P294" s="1">
        <f t="shared" si="0"/>
        <v>3</v>
      </c>
    </row>
    <row r="295" spans="1:21" ht="14.25" customHeight="1" x14ac:dyDescent="0.35">
      <c r="A295" s="1" t="s">
        <v>473</v>
      </c>
      <c r="B295" s="3">
        <v>45482</v>
      </c>
      <c r="C295" s="1" t="s">
        <v>474</v>
      </c>
      <c r="D295" s="1">
        <v>63</v>
      </c>
      <c r="E295" s="1" t="s">
        <v>32</v>
      </c>
      <c r="F295" s="1" t="s">
        <v>42</v>
      </c>
      <c r="G295" s="1" t="s">
        <v>58</v>
      </c>
      <c r="H295" s="1" t="s">
        <v>59</v>
      </c>
      <c r="I295" s="1">
        <v>1193.5999999999999</v>
      </c>
      <c r="J295" s="1">
        <v>34719</v>
      </c>
      <c r="K295" s="1">
        <v>2037</v>
      </c>
      <c r="L295" s="1">
        <v>287</v>
      </c>
      <c r="M295" s="1">
        <v>4</v>
      </c>
      <c r="N295" s="1">
        <v>5.8671044669999999</v>
      </c>
      <c r="O295" s="1">
        <v>14.08934708</v>
      </c>
      <c r="P295" s="1">
        <f t="shared" si="0"/>
        <v>4</v>
      </c>
    </row>
    <row r="296" spans="1:21" ht="14.25" customHeight="1" x14ac:dyDescent="0.35">
      <c r="A296" s="1" t="s">
        <v>475</v>
      </c>
      <c r="B296" s="3">
        <v>45329</v>
      </c>
      <c r="C296" s="1" t="s">
        <v>474</v>
      </c>
      <c r="D296" s="1">
        <v>62</v>
      </c>
      <c r="E296" s="1" t="s">
        <v>20</v>
      </c>
      <c r="F296" s="1" t="s">
        <v>42</v>
      </c>
      <c r="G296" s="1" t="s">
        <v>39</v>
      </c>
      <c r="H296" s="1" t="s">
        <v>33</v>
      </c>
      <c r="I296" s="1">
        <v>941.1</v>
      </c>
      <c r="J296" s="1">
        <v>33872</v>
      </c>
      <c r="K296" s="1">
        <v>372</v>
      </c>
      <c r="L296" s="1">
        <v>191</v>
      </c>
      <c r="M296" s="1">
        <v>2</v>
      </c>
      <c r="N296" s="1">
        <v>1.098252244</v>
      </c>
      <c r="O296" s="1">
        <v>51.344086019999999</v>
      </c>
      <c r="P296" s="1">
        <f t="shared" si="0"/>
        <v>2</v>
      </c>
    </row>
    <row r="297" spans="1:21" ht="14.25" customHeight="1" x14ac:dyDescent="0.35">
      <c r="A297" s="1" t="s">
        <v>476</v>
      </c>
      <c r="B297" s="3">
        <v>45634</v>
      </c>
      <c r="C297" s="1" t="s">
        <v>85</v>
      </c>
      <c r="D297" s="1">
        <v>54</v>
      </c>
      <c r="E297" s="1" t="s">
        <v>26</v>
      </c>
      <c r="F297" s="1" t="s">
        <v>21</v>
      </c>
      <c r="G297" s="1" t="s">
        <v>43</v>
      </c>
      <c r="H297" s="1" t="s">
        <v>29</v>
      </c>
      <c r="I297" s="1">
        <v>1971.95</v>
      </c>
      <c r="J297" s="1">
        <v>11792</v>
      </c>
      <c r="K297" s="1">
        <v>4428</v>
      </c>
      <c r="L297" s="1">
        <v>60</v>
      </c>
      <c r="M297" s="1">
        <v>5</v>
      </c>
      <c r="N297" s="1">
        <v>37.550881949999997</v>
      </c>
      <c r="O297" s="1">
        <v>1.35501355</v>
      </c>
      <c r="P297" s="1">
        <f t="shared" si="0"/>
        <v>5</v>
      </c>
    </row>
    <row r="298" spans="1:21" ht="14.25" customHeight="1" x14ac:dyDescent="0.35">
      <c r="A298" s="1" t="s">
        <v>477</v>
      </c>
      <c r="B298" s="3">
        <v>45533</v>
      </c>
      <c r="C298" s="1" t="s">
        <v>183</v>
      </c>
      <c r="D298" s="1">
        <v>48</v>
      </c>
      <c r="E298" s="1" t="s">
        <v>32</v>
      </c>
      <c r="F298" s="1" t="s">
        <v>21</v>
      </c>
      <c r="G298" s="1" t="s">
        <v>39</v>
      </c>
      <c r="H298" s="1" t="s">
        <v>33</v>
      </c>
      <c r="I298" s="1">
        <v>640.09</v>
      </c>
      <c r="J298" s="1">
        <v>28230</v>
      </c>
      <c r="K298" s="1">
        <v>3058</v>
      </c>
      <c r="L298" s="1">
        <v>324</v>
      </c>
      <c r="M298" s="1">
        <v>5</v>
      </c>
      <c r="N298" s="1">
        <v>10.83244775</v>
      </c>
      <c r="O298" s="1">
        <v>10.59516024</v>
      </c>
      <c r="P298" s="1">
        <f t="shared" si="0"/>
        <v>5</v>
      </c>
    </row>
    <row r="299" spans="1:21" ht="14.25" customHeight="1" x14ac:dyDescent="0.35">
      <c r="A299" s="1" t="s">
        <v>478</v>
      </c>
      <c r="B299" s="3">
        <v>45594</v>
      </c>
      <c r="C299" s="1" t="s">
        <v>72</v>
      </c>
      <c r="D299" s="1">
        <v>34</v>
      </c>
      <c r="E299" s="1" t="s">
        <v>26</v>
      </c>
      <c r="F299" s="1" t="s">
        <v>54</v>
      </c>
      <c r="G299" s="1" t="s">
        <v>39</v>
      </c>
      <c r="H299" s="1" t="s">
        <v>23</v>
      </c>
      <c r="I299" s="1">
        <v>1245.4100000000001</v>
      </c>
      <c r="J299" s="1">
        <v>14446</v>
      </c>
      <c r="K299" s="1">
        <v>4601</v>
      </c>
      <c r="L299" s="1">
        <v>315</v>
      </c>
      <c r="M299" s="1">
        <v>3</v>
      </c>
      <c r="N299" s="1">
        <v>31.849646960000001</v>
      </c>
      <c r="O299" s="1">
        <v>6.8463377530000002</v>
      </c>
      <c r="P299" s="1">
        <f t="shared" si="0"/>
        <v>3</v>
      </c>
    </row>
    <row r="300" spans="1:21" ht="14.25" customHeight="1" x14ac:dyDescent="0.35">
      <c r="A300" s="1" t="s">
        <v>479</v>
      </c>
      <c r="B300" s="3">
        <v>45557</v>
      </c>
      <c r="C300" s="1" t="s">
        <v>480</v>
      </c>
      <c r="D300" s="1">
        <v>23</v>
      </c>
      <c r="E300" s="1" t="s">
        <v>20</v>
      </c>
      <c r="F300" s="1" t="s">
        <v>21</v>
      </c>
      <c r="G300" s="1" t="s">
        <v>58</v>
      </c>
      <c r="H300" s="1" t="s">
        <v>23</v>
      </c>
      <c r="I300" s="1">
        <v>199.16</v>
      </c>
      <c r="J300" s="1">
        <v>33698</v>
      </c>
      <c r="K300" s="1">
        <v>4008</v>
      </c>
      <c r="L300" s="1">
        <v>344</v>
      </c>
      <c r="M300" s="1">
        <v>4</v>
      </c>
      <c r="N300" s="1">
        <v>11.893880940000001</v>
      </c>
      <c r="O300" s="1">
        <v>8.5828343310000008</v>
      </c>
      <c r="P300" s="1">
        <f t="shared" si="0"/>
        <v>4</v>
      </c>
    </row>
    <row r="301" spans="1:21" ht="14.25" customHeight="1" x14ac:dyDescent="0.35">
      <c r="A301" s="1" t="s">
        <v>481</v>
      </c>
      <c r="B301" s="3">
        <v>45455</v>
      </c>
      <c r="C301" s="1" t="s">
        <v>383</v>
      </c>
      <c r="D301" s="1">
        <v>57</v>
      </c>
      <c r="E301" s="1" t="s">
        <v>32</v>
      </c>
      <c r="F301" s="1" t="s">
        <v>38</v>
      </c>
      <c r="G301" s="1" t="s">
        <v>22</v>
      </c>
      <c r="H301" s="1" t="s">
        <v>59</v>
      </c>
      <c r="I301" s="1">
        <v>145.68</v>
      </c>
      <c r="J301" s="1">
        <v>19221</v>
      </c>
      <c r="K301" s="1">
        <v>404</v>
      </c>
      <c r="L301" s="1">
        <v>22</v>
      </c>
      <c r="M301" s="1">
        <v>5</v>
      </c>
      <c r="N301" s="1">
        <v>2.1018677490000002</v>
      </c>
      <c r="O301" s="1">
        <v>5.4455445539999996</v>
      </c>
      <c r="P301" s="1">
        <f t="shared" si="0"/>
        <v>5</v>
      </c>
    </row>
    <row r="302" spans="1:21" ht="14.25" customHeight="1" x14ac:dyDescent="0.35">
      <c r="A302" s="1" t="s">
        <v>482</v>
      </c>
      <c r="B302" s="3">
        <v>45307</v>
      </c>
      <c r="C302" s="1" t="s">
        <v>388</v>
      </c>
      <c r="D302" s="1">
        <v>63</v>
      </c>
      <c r="E302" s="1" t="s">
        <v>20</v>
      </c>
      <c r="F302" s="1" t="s">
        <v>21</v>
      </c>
      <c r="G302" s="1" t="s">
        <v>28</v>
      </c>
      <c r="H302" s="1" t="s">
        <v>59</v>
      </c>
      <c r="I302" s="1">
        <v>1982.36</v>
      </c>
      <c r="J302" s="1">
        <v>47781</v>
      </c>
      <c r="K302" s="1">
        <v>4092</v>
      </c>
      <c r="L302" s="1">
        <v>25</v>
      </c>
      <c r="M302" s="1">
        <v>4</v>
      </c>
      <c r="N302" s="1">
        <v>8.5640735859999992</v>
      </c>
      <c r="O302" s="1">
        <v>0.61094819199999995</v>
      </c>
      <c r="P302" s="1">
        <f t="shared" si="0"/>
        <v>4</v>
      </c>
    </row>
    <row r="303" spans="1:21" ht="14.25" customHeight="1" x14ac:dyDescent="0.35">
      <c r="A303" s="1" t="s">
        <v>483</v>
      </c>
      <c r="B303" s="3">
        <v>45452</v>
      </c>
      <c r="C303" s="1" t="s">
        <v>200</v>
      </c>
      <c r="D303" s="1">
        <v>19</v>
      </c>
      <c r="E303" s="1" t="s">
        <v>26</v>
      </c>
      <c r="F303" s="1" t="s">
        <v>54</v>
      </c>
      <c r="G303" s="1" t="s">
        <v>28</v>
      </c>
      <c r="H303" s="1" t="s">
        <v>29</v>
      </c>
      <c r="I303" s="1">
        <v>1223.1400000000001</v>
      </c>
      <c r="J303" s="1">
        <v>1853</v>
      </c>
      <c r="K303" s="1">
        <v>3700</v>
      </c>
      <c r="L303" s="1">
        <v>150</v>
      </c>
      <c r="M303" s="1">
        <v>3</v>
      </c>
      <c r="N303" s="1">
        <v>199.6762008</v>
      </c>
      <c r="O303" s="1">
        <v>4.0540540539999999</v>
      </c>
      <c r="P303" s="1">
        <f t="shared" si="0"/>
        <v>3</v>
      </c>
      <c r="U303" s="1">
        <f>COUNTIF(N299:N1000, N303&gt;100)</f>
        <v>0</v>
      </c>
    </row>
    <row r="304" spans="1:21" ht="14.25" customHeight="1" x14ac:dyDescent="0.35">
      <c r="A304" s="1" t="s">
        <v>484</v>
      </c>
      <c r="B304" s="3">
        <v>45647</v>
      </c>
      <c r="C304" s="1" t="s">
        <v>163</v>
      </c>
      <c r="D304" s="1">
        <v>44</v>
      </c>
      <c r="E304" s="1" t="s">
        <v>32</v>
      </c>
      <c r="F304" s="1" t="s">
        <v>47</v>
      </c>
      <c r="G304" s="1" t="s">
        <v>43</v>
      </c>
      <c r="H304" s="1" t="s">
        <v>29</v>
      </c>
      <c r="I304" s="1">
        <v>362.4</v>
      </c>
      <c r="J304" s="1">
        <v>7548</v>
      </c>
      <c r="K304" s="1">
        <v>896</v>
      </c>
      <c r="L304" s="1">
        <v>352</v>
      </c>
      <c r="M304" s="1">
        <v>4</v>
      </c>
      <c r="N304" s="1">
        <v>11.870694220000001</v>
      </c>
      <c r="O304" s="1">
        <v>39.285714290000001</v>
      </c>
      <c r="P304" s="1">
        <f t="shared" si="0"/>
        <v>4</v>
      </c>
    </row>
    <row r="305" spans="1:21" ht="14.25" customHeight="1" x14ac:dyDescent="0.35">
      <c r="A305" s="1" t="s">
        <v>485</v>
      </c>
      <c r="B305" s="3">
        <v>45490</v>
      </c>
      <c r="C305" s="1" t="s">
        <v>292</v>
      </c>
      <c r="D305" s="1">
        <v>50</v>
      </c>
      <c r="E305" s="1" t="s">
        <v>20</v>
      </c>
      <c r="F305" s="1" t="s">
        <v>21</v>
      </c>
      <c r="G305" s="1" t="s">
        <v>39</v>
      </c>
      <c r="H305" s="1" t="s">
        <v>59</v>
      </c>
      <c r="I305" s="1">
        <v>682.86</v>
      </c>
      <c r="J305" s="1">
        <v>21436</v>
      </c>
      <c r="K305" s="1">
        <v>3402</v>
      </c>
      <c r="L305" s="1">
        <v>55</v>
      </c>
      <c r="M305" s="1">
        <v>1</v>
      </c>
      <c r="N305" s="1">
        <v>15.870498230000001</v>
      </c>
      <c r="O305" s="1">
        <v>1.6166960610000001</v>
      </c>
      <c r="P305" s="1">
        <f t="shared" si="0"/>
        <v>1</v>
      </c>
    </row>
    <row r="306" spans="1:21" ht="14.25" customHeight="1" x14ac:dyDescent="0.35">
      <c r="A306" s="1" t="s">
        <v>486</v>
      </c>
      <c r="B306" s="3">
        <v>45504</v>
      </c>
      <c r="C306" s="1" t="s">
        <v>192</v>
      </c>
      <c r="D306" s="1">
        <v>31</v>
      </c>
      <c r="E306" s="1" t="s">
        <v>26</v>
      </c>
      <c r="F306" s="1" t="s">
        <v>47</v>
      </c>
      <c r="G306" s="1" t="s">
        <v>22</v>
      </c>
      <c r="H306" s="1" t="s">
        <v>23</v>
      </c>
      <c r="I306" s="1">
        <v>1844.59</v>
      </c>
      <c r="J306" s="1">
        <v>5522</v>
      </c>
      <c r="K306" s="1">
        <v>1730</v>
      </c>
      <c r="L306" s="1">
        <v>326</v>
      </c>
      <c r="M306" s="1">
        <v>1</v>
      </c>
      <c r="N306" s="1">
        <v>31.329228539999999</v>
      </c>
      <c r="O306" s="1">
        <v>18.84393064</v>
      </c>
      <c r="P306" s="1">
        <f t="shared" si="0"/>
        <v>1</v>
      </c>
    </row>
    <row r="307" spans="1:21" ht="14.25" customHeight="1" x14ac:dyDescent="0.35">
      <c r="A307" s="1" t="s">
        <v>487</v>
      </c>
      <c r="B307" s="3">
        <v>45325</v>
      </c>
      <c r="C307" s="1" t="s">
        <v>401</v>
      </c>
      <c r="D307" s="1">
        <v>29</v>
      </c>
      <c r="E307" s="1" t="s">
        <v>32</v>
      </c>
      <c r="F307" s="1" t="s">
        <v>21</v>
      </c>
      <c r="G307" s="1" t="s">
        <v>43</v>
      </c>
      <c r="H307" s="1" t="s">
        <v>33</v>
      </c>
      <c r="I307" s="1">
        <v>550.41</v>
      </c>
      <c r="J307" s="1">
        <v>4042</v>
      </c>
      <c r="K307" s="1">
        <v>600</v>
      </c>
      <c r="L307" s="1">
        <v>370</v>
      </c>
      <c r="M307" s="1">
        <v>1</v>
      </c>
      <c r="N307" s="1">
        <v>14.84413657</v>
      </c>
      <c r="O307" s="1">
        <v>61.666666669999998</v>
      </c>
      <c r="P307" s="1">
        <f t="shared" si="0"/>
        <v>1</v>
      </c>
    </row>
    <row r="308" spans="1:21" ht="14.25" customHeight="1" x14ac:dyDescent="0.35">
      <c r="A308" s="1" t="s">
        <v>488</v>
      </c>
      <c r="B308" s="3">
        <v>45313</v>
      </c>
      <c r="C308" s="1" t="s">
        <v>489</v>
      </c>
      <c r="D308" s="1">
        <v>57</v>
      </c>
      <c r="E308" s="1" t="s">
        <v>32</v>
      </c>
      <c r="F308" s="1" t="s">
        <v>54</v>
      </c>
      <c r="G308" s="1" t="s">
        <v>22</v>
      </c>
      <c r="H308" s="1" t="s">
        <v>23</v>
      </c>
      <c r="I308" s="1">
        <v>1590.02</v>
      </c>
      <c r="J308" s="1">
        <v>19755</v>
      </c>
      <c r="K308" s="1">
        <v>2156</v>
      </c>
      <c r="L308" s="1">
        <v>305</v>
      </c>
      <c r="M308" s="1">
        <v>3</v>
      </c>
      <c r="N308" s="1">
        <v>10.91369274</v>
      </c>
      <c r="O308" s="1">
        <v>14.14656772</v>
      </c>
      <c r="P308" s="1">
        <f t="shared" si="0"/>
        <v>3</v>
      </c>
    </row>
    <row r="309" spans="1:21" ht="14.25" customHeight="1" x14ac:dyDescent="0.35">
      <c r="A309" s="1" t="s">
        <v>490</v>
      </c>
      <c r="B309" s="3">
        <v>45614</v>
      </c>
      <c r="C309" s="1" t="s">
        <v>491</v>
      </c>
      <c r="D309" s="1">
        <v>29</v>
      </c>
      <c r="E309" s="1" t="s">
        <v>20</v>
      </c>
      <c r="F309" s="1" t="s">
        <v>21</v>
      </c>
      <c r="G309" s="1" t="s">
        <v>22</v>
      </c>
      <c r="H309" s="1" t="s">
        <v>33</v>
      </c>
      <c r="I309" s="1">
        <v>1362.88</v>
      </c>
      <c r="J309" s="1">
        <v>41551</v>
      </c>
      <c r="K309" s="1">
        <v>3514</v>
      </c>
      <c r="L309" s="1">
        <v>271</v>
      </c>
      <c r="M309" s="1">
        <v>1</v>
      </c>
      <c r="N309" s="1">
        <v>8.4570768449999996</v>
      </c>
      <c r="O309" s="1">
        <v>7.712009106</v>
      </c>
      <c r="P309" s="1">
        <f t="shared" si="0"/>
        <v>1</v>
      </c>
    </row>
    <row r="310" spans="1:21" ht="14.25" customHeight="1" x14ac:dyDescent="0.35">
      <c r="A310" s="1" t="s">
        <v>492</v>
      </c>
      <c r="B310" s="3">
        <v>45559</v>
      </c>
      <c r="C310" s="1" t="s">
        <v>135</v>
      </c>
      <c r="D310" s="1">
        <v>51</v>
      </c>
      <c r="E310" s="1" t="s">
        <v>32</v>
      </c>
      <c r="F310" s="1" t="s">
        <v>27</v>
      </c>
      <c r="G310" s="1" t="s">
        <v>39</v>
      </c>
      <c r="H310" s="1" t="s">
        <v>29</v>
      </c>
      <c r="I310" s="1">
        <v>263.88</v>
      </c>
      <c r="J310" s="1">
        <v>25024</v>
      </c>
      <c r="K310" s="1">
        <v>2978</v>
      </c>
      <c r="L310" s="1">
        <v>382</v>
      </c>
      <c r="M310" s="1">
        <v>4</v>
      </c>
      <c r="N310" s="1">
        <v>11.90057545</v>
      </c>
      <c r="O310" s="1">
        <v>12.82740094</v>
      </c>
      <c r="P310" s="1">
        <f t="shared" si="0"/>
        <v>4</v>
      </c>
    </row>
    <row r="311" spans="1:21" ht="14.25" customHeight="1" x14ac:dyDescent="0.35">
      <c r="A311" s="1" t="s">
        <v>493</v>
      </c>
      <c r="B311" s="3">
        <v>45595</v>
      </c>
      <c r="C311" s="1" t="s">
        <v>172</v>
      </c>
      <c r="D311" s="1">
        <v>55</v>
      </c>
      <c r="E311" s="1" t="s">
        <v>32</v>
      </c>
      <c r="F311" s="1" t="s">
        <v>27</v>
      </c>
      <c r="G311" s="1" t="s">
        <v>43</v>
      </c>
      <c r="H311" s="1" t="s">
        <v>29</v>
      </c>
      <c r="I311" s="1">
        <v>55</v>
      </c>
      <c r="J311" s="1">
        <v>6377</v>
      </c>
      <c r="K311" s="1">
        <v>4662</v>
      </c>
      <c r="L311" s="1">
        <v>221</v>
      </c>
      <c r="M311" s="1">
        <v>4</v>
      </c>
      <c r="N311" s="1">
        <v>73.106476400000005</v>
      </c>
      <c r="O311" s="1">
        <v>4.7404547399999997</v>
      </c>
      <c r="P311" s="1">
        <f t="shared" si="0"/>
        <v>4</v>
      </c>
    </row>
    <row r="312" spans="1:21" ht="14.25" customHeight="1" x14ac:dyDescent="0.35">
      <c r="A312" s="1" t="s">
        <v>494</v>
      </c>
      <c r="B312" s="3">
        <v>45431</v>
      </c>
      <c r="C312" s="1" t="s">
        <v>392</v>
      </c>
      <c r="D312" s="1">
        <v>42</v>
      </c>
      <c r="E312" s="1" t="s">
        <v>26</v>
      </c>
      <c r="F312" s="1" t="s">
        <v>47</v>
      </c>
      <c r="G312" s="1" t="s">
        <v>28</v>
      </c>
      <c r="H312" s="1" t="s">
        <v>29</v>
      </c>
      <c r="I312" s="1">
        <v>1944.39</v>
      </c>
      <c r="J312" s="1">
        <v>10605</v>
      </c>
      <c r="K312" s="1">
        <v>643</v>
      </c>
      <c r="L312" s="1">
        <v>200</v>
      </c>
      <c r="M312" s="1">
        <v>4</v>
      </c>
      <c r="N312" s="1">
        <v>6.063177746</v>
      </c>
      <c r="O312" s="1">
        <v>31.10419907</v>
      </c>
      <c r="P312" s="1">
        <f t="shared" si="0"/>
        <v>4</v>
      </c>
    </row>
    <row r="313" spans="1:21" ht="14.25" customHeight="1" x14ac:dyDescent="0.35">
      <c r="A313" s="1" t="s">
        <v>495</v>
      </c>
      <c r="B313" s="3">
        <v>45328</v>
      </c>
      <c r="C313" s="1" t="s">
        <v>76</v>
      </c>
      <c r="D313" s="1">
        <v>44</v>
      </c>
      <c r="E313" s="1" t="s">
        <v>32</v>
      </c>
      <c r="F313" s="1" t="s">
        <v>38</v>
      </c>
      <c r="G313" s="1" t="s">
        <v>28</v>
      </c>
      <c r="H313" s="1" t="s">
        <v>23</v>
      </c>
      <c r="I313" s="1">
        <v>849.28</v>
      </c>
      <c r="J313" s="1">
        <v>3413</v>
      </c>
      <c r="K313" s="1">
        <v>2626</v>
      </c>
      <c r="L313" s="1">
        <v>347</v>
      </c>
      <c r="M313" s="1">
        <v>1</v>
      </c>
      <c r="N313" s="1">
        <v>76.941107529999996</v>
      </c>
      <c r="O313" s="1">
        <v>13.21401371</v>
      </c>
      <c r="P313" s="1">
        <f t="shared" si="0"/>
        <v>1</v>
      </c>
    </row>
    <row r="314" spans="1:21" ht="14.25" customHeight="1" x14ac:dyDescent="0.35">
      <c r="A314" s="1" t="s">
        <v>496</v>
      </c>
      <c r="B314" s="3">
        <v>45529</v>
      </c>
      <c r="C314" s="1" t="s">
        <v>489</v>
      </c>
      <c r="D314" s="1">
        <v>38</v>
      </c>
      <c r="E314" s="1" t="s">
        <v>32</v>
      </c>
      <c r="F314" s="1" t="s">
        <v>38</v>
      </c>
      <c r="G314" s="1" t="s">
        <v>43</v>
      </c>
      <c r="H314" s="1" t="s">
        <v>33</v>
      </c>
      <c r="I314" s="1">
        <v>1117.8699999999999</v>
      </c>
      <c r="J314" s="1">
        <v>23129</v>
      </c>
      <c r="K314" s="1">
        <v>3979</v>
      </c>
      <c r="L314" s="1">
        <v>19</v>
      </c>
      <c r="M314" s="1">
        <v>5</v>
      </c>
      <c r="N314" s="1">
        <v>17.203510739999999</v>
      </c>
      <c r="O314" s="1">
        <v>0.47750691099999998</v>
      </c>
      <c r="P314" s="1">
        <f t="shared" si="0"/>
        <v>5</v>
      </c>
    </row>
    <row r="315" spans="1:21" ht="14.25" customHeight="1" x14ac:dyDescent="0.35">
      <c r="A315" s="1" t="s">
        <v>497</v>
      </c>
      <c r="B315" s="3">
        <v>45463</v>
      </c>
      <c r="C315" s="1" t="s">
        <v>289</v>
      </c>
      <c r="D315" s="1">
        <v>50</v>
      </c>
      <c r="E315" s="1" t="s">
        <v>26</v>
      </c>
      <c r="F315" s="1" t="s">
        <v>21</v>
      </c>
      <c r="G315" s="1" t="s">
        <v>43</v>
      </c>
      <c r="H315" s="1" t="s">
        <v>23</v>
      </c>
      <c r="I315" s="1">
        <v>193.19</v>
      </c>
      <c r="J315" s="1">
        <v>25526</v>
      </c>
      <c r="K315" s="1">
        <v>4639</v>
      </c>
      <c r="L315" s="1">
        <v>187</v>
      </c>
      <c r="M315" s="1">
        <v>4</v>
      </c>
      <c r="N315" s="1">
        <v>18.173626890000001</v>
      </c>
      <c r="O315" s="1">
        <v>4.0310411730000002</v>
      </c>
      <c r="P315" s="1">
        <f t="shared" si="0"/>
        <v>4</v>
      </c>
    </row>
    <row r="316" spans="1:21" ht="14.25" customHeight="1" x14ac:dyDescent="0.35">
      <c r="A316" s="1" t="s">
        <v>498</v>
      </c>
      <c r="B316" s="3">
        <v>45545</v>
      </c>
      <c r="C316" s="1" t="s">
        <v>326</v>
      </c>
      <c r="D316" s="1">
        <v>56</v>
      </c>
      <c r="E316" s="1" t="s">
        <v>26</v>
      </c>
      <c r="F316" s="1" t="s">
        <v>42</v>
      </c>
      <c r="G316" s="1" t="s">
        <v>28</v>
      </c>
      <c r="H316" s="1" t="s">
        <v>23</v>
      </c>
      <c r="I316" s="1">
        <v>1845.57</v>
      </c>
      <c r="J316" s="1">
        <v>10640</v>
      </c>
      <c r="K316" s="1">
        <v>2599</v>
      </c>
      <c r="L316" s="1">
        <v>313</v>
      </c>
      <c r="M316" s="1">
        <v>1</v>
      </c>
      <c r="N316" s="1">
        <v>24.426691730000002</v>
      </c>
      <c r="O316" s="1">
        <v>12.043093499999999</v>
      </c>
      <c r="P316" s="1">
        <f t="shared" si="0"/>
        <v>1</v>
      </c>
    </row>
    <row r="317" spans="1:21" ht="14.25" customHeight="1" x14ac:dyDescent="0.35">
      <c r="A317" s="1" t="s">
        <v>499</v>
      </c>
      <c r="B317" s="3">
        <v>45491</v>
      </c>
      <c r="C317" s="1" t="s">
        <v>500</v>
      </c>
      <c r="D317" s="1">
        <v>46</v>
      </c>
      <c r="E317" s="1" t="s">
        <v>26</v>
      </c>
      <c r="F317" s="1" t="s">
        <v>27</v>
      </c>
      <c r="G317" s="1" t="s">
        <v>28</v>
      </c>
      <c r="H317" s="1" t="s">
        <v>33</v>
      </c>
      <c r="I317" s="1">
        <v>54.73</v>
      </c>
      <c r="J317" s="1">
        <v>1362</v>
      </c>
      <c r="K317" s="1">
        <v>4365</v>
      </c>
      <c r="L317" s="1">
        <v>240</v>
      </c>
      <c r="M317" s="1">
        <v>4</v>
      </c>
      <c r="N317" s="1">
        <v>320.48458149999999</v>
      </c>
      <c r="O317" s="1">
        <v>5.4982817869999998</v>
      </c>
      <c r="P317" s="1">
        <f t="shared" si="0"/>
        <v>4</v>
      </c>
      <c r="U317" s="1">
        <f>COUNTIF(N313:N1000, N317&gt;100)</f>
        <v>0</v>
      </c>
    </row>
    <row r="318" spans="1:21" ht="14.25" customHeight="1" x14ac:dyDescent="0.35">
      <c r="A318" s="1" t="s">
        <v>501</v>
      </c>
      <c r="B318" s="3">
        <v>45601</v>
      </c>
      <c r="C318" s="1" t="s">
        <v>502</v>
      </c>
      <c r="D318" s="1">
        <v>36</v>
      </c>
      <c r="E318" s="1" t="s">
        <v>26</v>
      </c>
      <c r="F318" s="1" t="s">
        <v>27</v>
      </c>
      <c r="G318" s="1" t="s">
        <v>22</v>
      </c>
      <c r="H318" s="1" t="s">
        <v>33</v>
      </c>
      <c r="I318" s="1">
        <v>656.01</v>
      </c>
      <c r="J318" s="1">
        <v>40602</v>
      </c>
      <c r="K318" s="1">
        <v>3417</v>
      </c>
      <c r="L318" s="1">
        <v>74</v>
      </c>
      <c r="M318" s="1">
        <v>2</v>
      </c>
      <c r="N318" s="1">
        <v>8.4158415840000007</v>
      </c>
      <c r="O318" s="1">
        <v>2.1656423760000001</v>
      </c>
      <c r="P318" s="1">
        <f t="shared" si="0"/>
        <v>2</v>
      </c>
    </row>
    <row r="319" spans="1:21" ht="14.25" customHeight="1" x14ac:dyDescent="0.35">
      <c r="A319" s="1" t="s">
        <v>503</v>
      </c>
      <c r="B319" s="3">
        <v>45555</v>
      </c>
      <c r="C319" s="1" t="s">
        <v>489</v>
      </c>
      <c r="D319" s="1">
        <v>19</v>
      </c>
      <c r="E319" s="1" t="s">
        <v>20</v>
      </c>
      <c r="F319" s="1" t="s">
        <v>54</v>
      </c>
      <c r="G319" s="1" t="s">
        <v>22</v>
      </c>
      <c r="H319" s="1" t="s">
        <v>29</v>
      </c>
      <c r="I319" s="1">
        <v>771.12</v>
      </c>
      <c r="J319" s="1">
        <v>35950</v>
      </c>
      <c r="K319" s="1">
        <v>754</v>
      </c>
      <c r="L319" s="1">
        <v>298</v>
      </c>
      <c r="N319" s="1">
        <v>2.0973574410000002</v>
      </c>
      <c r="O319" s="1">
        <v>39.522546419999998</v>
      </c>
      <c r="P319" s="1">
        <f t="shared" si="0"/>
        <v>3</v>
      </c>
    </row>
    <row r="320" spans="1:21" ht="14.25" customHeight="1" x14ac:dyDescent="0.35">
      <c r="A320" s="1" t="s">
        <v>504</v>
      </c>
      <c r="B320" s="3">
        <v>45418</v>
      </c>
      <c r="C320" s="1" t="s">
        <v>363</v>
      </c>
      <c r="D320" s="1">
        <v>62</v>
      </c>
      <c r="E320" s="1" t="s">
        <v>26</v>
      </c>
      <c r="F320" s="1" t="s">
        <v>27</v>
      </c>
      <c r="G320" s="1" t="s">
        <v>39</v>
      </c>
      <c r="H320" s="1" t="s">
        <v>29</v>
      </c>
      <c r="I320" s="1">
        <v>1621.86</v>
      </c>
      <c r="J320" s="1">
        <v>18370</v>
      </c>
      <c r="K320" s="1">
        <v>2095</v>
      </c>
      <c r="L320" s="1">
        <v>374</v>
      </c>
      <c r="M320" s="1">
        <v>5</v>
      </c>
      <c r="N320" s="1">
        <v>11.4044638</v>
      </c>
      <c r="O320" s="1">
        <v>17.85202864</v>
      </c>
      <c r="P320" s="1">
        <f t="shared" si="0"/>
        <v>5</v>
      </c>
    </row>
    <row r="321" spans="1:16" ht="14.25" customHeight="1" x14ac:dyDescent="0.35">
      <c r="A321" s="1" t="s">
        <v>505</v>
      </c>
      <c r="B321" s="3">
        <v>45567</v>
      </c>
      <c r="C321" s="1" t="s">
        <v>411</v>
      </c>
      <c r="D321" s="1">
        <v>28</v>
      </c>
      <c r="E321" s="1" t="s">
        <v>32</v>
      </c>
      <c r="F321" s="1" t="s">
        <v>42</v>
      </c>
      <c r="G321" s="1" t="s">
        <v>39</v>
      </c>
      <c r="H321" s="1" t="s">
        <v>29</v>
      </c>
      <c r="I321" s="1">
        <v>1657.74</v>
      </c>
      <c r="J321" s="1">
        <v>45259</v>
      </c>
      <c r="K321" s="1">
        <v>3473</v>
      </c>
      <c r="L321" s="1">
        <v>14</v>
      </c>
      <c r="M321" s="1">
        <v>4</v>
      </c>
      <c r="N321" s="1">
        <v>7.673611878</v>
      </c>
      <c r="O321" s="1">
        <v>0.40310970299999999</v>
      </c>
      <c r="P321" s="1">
        <f t="shared" si="0"/>
        <v>4</v>
      </c>
    </row>
    <row r="322" spans="1:16" ht="14.25" customHeight="1" x14ac:dyDescent="0.35">
      <c r="A322" s="1" t="s">
        <v>506</v>
      </c>
      <c r="B322" s="3">
        <v>45634</v>
      </c>
      <c r="C322" s="1" t="s">
        <v>507</v>
      </c>
      <c r="D322" s="1">
        <v>28</v>
      </c>
      <c r="E322" s="1" t="s">
        <v>26</v>
      </c>
      <c r="F322" s="1" t="s">
        <v>27</v>
      </c>
      <c r="G322" s="1" t="s">
        <v>43</v>
      </c>
      <c r="H322" s="1" t="s">
        <v>23</v>
      </c>
      <c r="I322" s="1">
        <v>1996.02</v>
      </c>
      <c r="J322" s="1">
        <v>28638</v>
      </c>
      <c r="K322" s="1">
        <v>3786</v>
      </c>
      <c r="L322" s="1">
        <v>14</v>
      </c>
      <c r="M322" s="1">
        <v>3</v>
      </c>
      <c r="N322" s="1">
        <v>13.220196939999999</v>
      </c>
      <c r="O322" s="1">
        <v>0.36978341300000001</v>
      </c>
      <c r="P322" s="1">
        <f t="shared" si="0"/>
        <v>3</v>
      </c>
    </row>
    <row r="323" spans="1:16" ht="14.25" customHeight="1" x14ac:dyDescent="0.35">
      <c r="A323" s="1" t="s">
        <v>508</v>
      </c>
      <c r="B323" s="3">
        <v>45593</v>
      </c>
      <c r="C323" s="1" t="s">
        <v>227</v>
      </c>
      <c r="E323" s="1" t="s">
        <v>20</v>
      </c>
      <c r="G323" s="1" t="s">
        <v>28</v>
      </c>
      <c r="H323" s="1" t="s">
        <v>59</v>
      </c>
      <c r="I323" s="1">
        <v>367.06</v>
      </c>
      <c r="J323" s="1">
        <v>30017</v>
      </c>
      <c r="K323" s="1">
        <v>2843</v>
      </c>
      <c r="L323" s="1">
        <v>32</v>
      </c>
      <c r="N323" s="1">
        <v>9.4712995969999998</v>
      </c>
      <c r="O323" s="1">
        <v>1.125571579</v>
      </c>
      <c r="P323" s="1">
        <f t="shared" si="0"/>
        <v>3</v>
      </c>
    </row>
    <row r="324" spans="1:16" ht="14.25" customHeight="1" x14ac:dyDescent="0.35">
      <c r="A324" s="1" t="s">
        <v>509</v>
      </c>
      <c r="B324" s="3">
        <v>45519</v>
      </c>
      <c r="C324" s="1" t="s">
        <v>92</v>
      </c>
      <c r="D324" s="1">
        <v>20</v>
      </c>
      <c r="E324" s="1" t="s">
        <v>32</v>
      </c>
      <c r="F324" s="1" t="s">
        <v>21</v>
      </c>
      <c r="G324" s="1" t="s">
        <v>28</v>
      </c>
      <c r="H324" s="1" t="s">
        <v>29</v>
      </c>
      <c r="I324" s="1">
        <v>253.87</v>
      </c>
      <c r="J324" s="1">
        <v>42686</v>
      </c>
      <c r="K324" s="1">
        <v>4661</v>
      </c>
      <c r="L324" s="1">
        <v>139</v>
      </c>
      <c r="M324" s="1">
        <v>3</v>
      </c>
      <c r="N324" s="1">
        <v>10.91927096</v>
      </c>
      <c r="O324" s="1">
        <v>2.9821926630000002</v>
      </c>
      <c r="P324" s="1">
        <f t="shared" si="0"/>
        <v>3</v>
      </c>
    </row>
    <row r="325" spans="1:16" ht="14.25" customHeight="1" x14ac:dyDescent="0.35">
      <c r="A325" s="1" t="s">
        <v>510</v>
      </c>
      <c r="B325" s="3">
        <v>45629</v>
      </c>
      <c r="C325" s="1" t="s">
        <v>37</v>
      </c>
      <c r="E325" s="1" t="s">
        <v>32</v>
      </c>
      <c r="G325" s="1" t="s">
        <v>58</v>
      </c>
      <c r="H325" s="1" t="s">
        <v>33</v>
      </c>
      <c r="I325" s="1">
        <v>1347.23</v>
      </c>
      <c r="J325" s="1">
        <v>6445</v>
      </c>
      <c r="K325" s="1">
        <v>663</v>
      </c>
      <c r="L325" s="1">
        <v>259</v>
      </c>
      <c r="N325" s="1">
        <v>10.28704422</v>
      </c>
      <c r="O325" s="1">
        <v>39.064856710000001</v>
      </c>
      <c r="P325" s="1">
        <f t="shared" si="0"/>
        <v>3</v>
      </c>
    </row>
    <row r="326" spans="1:16" ht="14.25" customHeight="1" x14ac:dyDescent="0.35">
      <c r="A326" s="1" t="s">
        <v>511</v>
      </c>
      <c r="B326" s="3">
        <v>45325</v>
      </c>
      <c r="C326" s="1" t="s">
        <v>49</v>
      </c>
      <c r="D326" s="1">
        <v>57</v>
      </c>
      <c r="E326" s="1" t="s">
        <v>26</v>
      </c>
      <c r="F326" s="1" t="s">
        <v>38</v>
      </c>
      <c r="G326" s="1" t="s">
        <v>22</v>
      </c>
      <c r="H326" s="1" t="s">
        <v>23</v>
      </c>
      <c r="I326" s="1">
        <v>562.35</v>
      </c>
      <c r="J326" s="1">
        <v>20092</v>
      </c>
      <c r="K326" s="1">
        <v>4423</v>
      </c>
      <c r="L326" s="1">
        <v>269</v>
      </c>
      <c r="N326" s="1">
        <v>22.013736810000001</v>
      </c>
      <c r="O326" s="1">
        <v>6.0818449020000003</v>
      </c>
      <c r="P326" s="1">
        <f t="shared" si="0"/>
        <v>3</v>
      </c>
    </row>
    <row r="327" spans="1:16" ht="14.25" customHeight="1" x14ac:dyDescent="0.35">
      <c r="A327" s="1" t="s">
        <v>512</v>
      </c>
      <c r="B327" s="3">
        <v>45556</v>
      </c>
      <c r="C327" s="1" t="s">
        <v>152</v>
      </c>
      <c r="D327" s="1">
        <v>49</v>
      </c>
      <c r="E327" s="1" t="s">
        <v>26</v>
      </c>
      <c r="F327" s="1" t="s">
        <v>47</v>
      </c>
      <c r="G327" s="1" t="s">
        <v>43</v>
      </c>
      <c r="H327" s="1" t="s">
        <v>23</v>
      </c>
      <c r="I327" s="1">
        <v>1617.05</v>
      </c>
      <c r="J327" s="1">
        <v>37943</v>
      </c>
      <c r="K327" s="1">
        <v>2543</v>
      </c>
      <c r="L327" s="1">
        <v>237</v>
      </c>
      <c r="M327" s="1">
        <v>3</v>
      </c>
      <c r="N327" s="1">
        <v>6.7021585010000004</v>
      </c>
      <c r="O327" s="1">
        <v>9.3197011399999994</v>
      </c>
      <c r="P327" s="1">
        <f t="shared" si="0"/>
        <v>3</v>
      </c>
    </row>
    <row r="328" spans="1:16" ht="14.25" customHeight="1" x14ac:dyDescent="0.35">
      <c r="A328" s="1" t="s">
        <v>513</v>
      </c>
      <c r="B328" s="3">
        <v>45499</v>
      </c>
      <c r="C328" s="1" t="s">
        <v>221</v>
      </c>
      <c r="D328" s="1">
        <v>33</v>
      </c>
      <c r="E328" s="1" t="s">
        <v>26</v>
      </c>
      <c r="F328" s="1" t="s">
        <v>47</v>
      </c>
      <c r="G328" s="1" t="s">
        <v>22</v>
      </c>
      <c r="H328" s="1" t="s">
        <v>23</v>
      </c>
      <c r="I328" s="1">
        <v>1601.65</v>
      </c>
      <c r="J328" s="1">
        <v>7582</v>
      </c>
      <c r="K328" s="1">
        <v>1960</v>
      </c>
      <c r="L328" s="1">
        <v>133</v>
      </c>
      <c r="N328" s="1">
        <v>25.85069902</v>
      </c>
      <c r="O328" s="1">
        <v>6.7857142860000002</v>
      </c>
      <c r="P328" s="1">
        <f t="shared" si="0"/>
        <v>3</v>
      </c>
    </row>
    <row r="329" spans="1:16" ht="14.25" customHeight="1" x14ac:dyDescent="0.35">
      <c r="A329" s="1" t="s">
        <v>514</v>
      </c>
      <c r="B329" s="3">
        <v>45566</v>
      </c>
      <c r="C329" s="1" t="s">
        <v>202</v>
      </c>
      <c r="D329" s="1">
        <v>63</v>
      </c>
      <c r="E329" s="1" t="s">
        <v>32</v>
      </c>
      <c r="F329" s="1" t="s">
        <v>38</v>
      </c>
      <c r="G329" s="1" t="s">
        <v>58</v>
      </c>
      <c r="H329" s="1" t="s">
        <v>33</v>
      </c>
      <c r="I329" s="1">
        <v>1623.58</v>
      </c>
      <c r="J329" s="1">
        <v>44860</v>
      </c>
      <c r="K329" s="1">
        <v>3405</v>
      </c>
      <c r="L329" s="1">
        <v>66</v>
      </c>
      <c r="M329" s="1">
        <v>2</v>
      </c>
      <c r="N329" s="1">
        <v>7.5902808740000003</v>
      </c>
      <c r="O329" s="1">
        <v>1.9383259909999999</v>
      </c>
      <c r="P329" s="1">
        <f t="shared" si="0"/>
        <v>2</v>
      </c>
    </row>
    <row r="330" spans="1:16" ht="14.25" customHeight="1" x14ac:dyDescent="0.35">
      <c r="A330" s="1" t="s">
        <v>515</v>
      </c>
      <c r="B330" s="3">
        <v>45373</v>
      </c>
      <c r="C330" s="1" t="s">
        <v>188</v>
      </c>
      <c r="D330" s="1">
        <v>24</v>
      </c>
      <c r="E330" s="1" t="s">
        <v>20</v>
      </c>
      <c r="F330" s="1" t="s">
        <v>42</v>
      </c>
      <c r="G330" s="1" t="s">
        <v>22</v>
      </c>
      <c r="H330" s="1" t="s">
        <v>33</v>
      </c>
      <c r="I330" s="1">
        <v>1136.05</v>
      </c>
      <c r="J330" s="1">
        <v>48928</v>
      </c>
      <c r="K330" s="1">
        <v>3395</v>
      </c>
      <c r="L330" s="1">
        <v>284</v>
      </c>
      <c r="M330" s="1">
        <v>4</v>
      </c>
      <c r="N330" s="1">
        <v>6.938767168</v>
      </c>
      <c r="O330" s="1">
        <v>8.3652430039999999</v>
      </c>
      <c r="P330" s="1">
        <f t="shared" si="0"/>
        <v>4</v>
      </c>
    </row>
    <row r="331" spans="1:16" ht="14.25" customHeight="1" x14ac:dyDescent="0.35">
      <c r="A331" s="1" t="s">
        <v>516</v>
      </c>
      <c r="B331" s="3">
        <v>45395</v>
      </c>
      <c r="C331" s="1" t="s">
        <v>63</v>
      </c>
      <c r="D331" s="1">
        <v>38</v>
      </c>
      <c r="E331" s="1" t="s">
        <v>32</v>
      </c>
      <c r="F331" s="1" t="s">
        <v>27</v>
      </c>
      <c r="G331" s="1" t="s">
        <v>28</v>
      </c>
      <c r="H331" s="1" t="s">
        <v>59</v>
      </c>
      <c r="I331" s="1">
        <v>637.69000000000005</v>
      </c>
      <c r="J331" s="1">
        <v>37281</v>
      </c>
      <c r="K331" s="1">
        <v>12</v>
      </c>
      <c r="L331" s="1">
        <v>36</v>
      </c>
      <c r="M331" s="1">
        <v>2</v>
      </c>
      <c r="N331" s="1">
        <v>3.2187977999999999E-2</v>
      </c>
      <c r="O331" s="1">
        <v>300</v>
      </c>
      <c r="P331" s="1">
        <f t="shared" si="0"/>
        <v>2</v>
      </c>
    </row>
    <row r="332" spans="1:16" ht="14.25" customHeight="1" x14ac:dyDescent="0.35">
      <c r="A332" s="1" t="s">
        <v>517</v>
      </c>
      <c r="B332" s="3">
        <v>45364</v>
      </c>
      <c r="C332" s="1" t="s">
        <v>324</v>
      </c>
      <c r="D332" s="1">
        <v>40</v>
      </c>
      <c r="E332" s="1" t="s">
        <v>32</v>
      </c>
      <c r="F332" s="1" t="s">
        <v>47</v>
      </c>
      <c r="G332" s="1" t="s">
        <v>58</v>
      </c>
      <c r="H332" s="1" t="s">
        <v>29</v>
      </c>
      <c r="I332" s="1">
        <v>1389.83</v>
      </c>
      <c r="J332" s="1">
        <v>18352</v>
      </c>
      <c r="K332" s="1">
        <v>2262</v>
      </c>
      <c r="L332" s="1">
        <v>193</v>
      </c>
      <c r="M332" s="1">
        <v>3</v>
      </c>
      <c r="N332" s="1">
        <v>12.32563208</v>
      </c>
      <c r="O332" s="1">
        <v>8.5322723249999992</v>
      </c>
      <c r="P332" s="1">
        <f t="shared" si="0"/>
        <v>3</v>
      </c>
    </row>
    <row r="333" spans="1:16" ht="14.25" customHeight="1" x14ac:dyDescent="0.35">
      <c r="A333" s="1" t="s">
        <v>518</v>
      </c>
      <c r="B333" s="3">
        <v>45444</v>
      </c>
      <c r="C333" s="1" t="s">
        <v>267</v>
      </c>
      <c r="D333" s="1">
        <v>26</v>
      </c>
      <c r="E333" s="1" t="s">
        <v>26</v>
      </c>
      <c r="F333" s="1" t="s">
        <v>54</v>
      </c>
      <c r="G333" s="1" t="s">
        <v>58</v>
      </c>
      <c r="H333" s="1" t="s">
        <v>59</v>
      </c>
      <c r="I333" s="1">
        <v>127.84</v>
      </c>
      <c r="J333" s="1">
        <v>25106</v>
      </c>
      <c r="K333" s="1">
        <v>1866</v>
      </c>
      <c r="L333" s="1">
        <v>128</v>
      </c>
      <c r="M333" s="1">
        <v>5</v>
      </c>
      <c r="N333" s="1">
        <v>7.432486258</v>
      </c>
      <c r="O333" s="1">
        <v>6.8595927120000004</v>
      </c>
      <c r="P333" s="1">
        <f t="shared" si="0"/>
        <v>5</v>
      </c>
    </row>
    <row r="334" spans="1:16" ht="14.25" customHeight="1" x14ac:dyDescent="0.35">
      <c r="A334" s="1" t="s">
        <v>519</v>
      </c>
      <c r="B334" s="3">
        <v>45560</v>
      </c>
      <c r="C334" s="1" t="s">
        <v>500</v>
      </c>
      <c r="D334" s="1">
        <v>35</v>
      </c>
      <c r="E334" s="1" t="s">
        <v>26</v>
      </c>
      <c r="F334" s="1" t="s">
        <v>47</v>
      </c>
      <c r="G334" s="1" t="s">
        <v>28</v>
      </c>
      <c r="H334" s="1" t="s">
        <v>59</v>
      </c>
      <c r="I334" s="1">
        <v>218.24</v>
      </c>
      <c r="J334" s="1">
        <v>15144</v>
      </c>
      <c r="K334" s="1">
        <v>1155</v>
      </c>
      <c r="L334" s="1">
        <v>199</v>
      </c>
      <c r="M334" s="1">
        <v>1</v>
      </c>
      <c r="N334" s="1">
        <v>7.6267828839999998</v>
      </c>
      <c r="O334" s="1">
        <v>17.229437229999998</v>
      </c>
      <c r="P334" s="1">
        <f t="shared" si="0"/>
        <v>1</v>
      </c>
    </row>
    <row r="335" spans="1:16" ht="14.25" customHeight="1" x14ac:dyDescent="0.35">
      <c r="A335" s="1" t="s">
        <v>520</v>
      </c>
      <c r="B335" s="3">
        <v>45469</v>
      </c>
      <c r="C335" s="1" t="s">
        <v>521</v>
      </c>
      <c r="D335" s="1">
        <v>49</v>
      </c>
      <c r="E335" s="1" t="s">
        <v>20</v>
      </c>
      <c r="F335" s="1" t="s">
        <v>27</v>
      </c>
      <c r="G335" s="1" t="s">
        <v>22</v>
      </c>
      <c r="H335" s="1" t="s">
        <v>29</v>
      </c>
      <c r="I335" s="1">
        <v>956.32</v>
      </c>
      <c r="J335" s="1">
        <v>16230</v>
      </c>
      <c r="K335" s="1">
        <v>4973</v>
      </c>
      <c r="L335" s="1">
        <v>134</v>
      </c>
      <c r="M335" s="1">
        <v>1</v>
      </c>
      <c r="N335" s="1">
        <v>30.640788659999998</v>
      </c>
      <c r="O335" s="1">
        <v>2.6945505729999999</v>
      </c>
      <c r="P335" s="1">
        <f t="shared" si="0"/>
        <v>1</v>
      </c>
    </row>
    <row r="336" spans="1:16" ht="14.25" customHeight="1" x14ac:dyDescent="0.35">
      <c r="A336" s="1" t="s">
        <v>522</v>
      </c>
      <c r="B336" s="3">
        <v>45518</v>
      </c>
      <c r="C336" s="1" t="s">
        <v>242</v>
      </c>
      <c r="D336" s="1">
        <v>25</v>
      </c>
      <c r="E336" s="1" t="s">
        <v>26</v>
      </c>
      <c r="F336" s="1" t="s">
        <v>27</v>
      </c>
      <c r="G336" s="1" t="s">
        <v>58</v>
      </c>
      <c r="H336" s="1" t="s">
        <v>33</v>
      </c>
      <c r="I336" s="1">
        <v>371.32</v>
      </c>
      <c r="J336" s="1">
        <v>41033</v>
      </c>
      <c r="K336" s="1">
        <v>2412</v>
      </c>
      <c r="L336" s="1">
        <v>208</v>
      </c>
      <c r="M336" s="1">
        <v>5</v>
      </c>
      <c r="N336" s="1">
        <v>5.8781955989999997</v>
      </c>
      <c r="O336" s="1">
        <v>8.6235489219999995</v>
      </c>
      <c r="P336" s="1">
        <f t="shared" si="0"/>
        <v>5</v>
      </c>
    </row>
    <row r="337" spans="1:21" ht="14.25" customHeight="1" x14ac:dyDescent="0.35">
      <c r="A337" s="1" t="s">
        <v>523</v>
      </c>
      <c r="B337" s="3">
        <v>45487</v>
      </c>
      <c r="C337" s="1" t="s">
        <v>524</v>
      </c>
      <c r="D337" s="1">
        <v>60</v>
      </c>
      <c r="E337" s="1" t="s">
        <v>20</v>
      </c>
      <c r="F337" s="1" t="s">
        <v>54</v>
      </c>
      <c r="G337" s="1" t="s">
        <v>22</v>
      </c>
      <c r="H337" s="1" t="s">
        <v>59</v>
      </c>
      <c r="I337" s="1">
        <v>64.86</v>
      </c>
      <c r="J337" s="1">
        <v>37695</v>
      </c>
      <c r="K337" s="1">
        <v>3584</v>
      </c>
      <c r="L337" s="1">
        <v>15</v>
      </c>
      <c r="N337" s="1">
        <v>9.5078922929999994</v>
      </c>
      <c r="O337" s="1">
        <v>0.41852678599999998</v>
      </c>
      <c r="P337" s="1">
        <f t="shared" si="0"/>
        <v>3</v>
      </c>
    </row>
    <row r="338" spans="1:21" ht="14.25" customHeight="1" x14ac:dyDescent="0.35">
      <c r="A338" s="1" t="s">
        <v>525</v>
      </c>
      <c r="B338" s="3">
        <v>45416</v>
      </c>
      <c r="C338" s="1" t="s">
        <v>214</v>
      </c>
      <c r="D338" s="1">
        <v>27</v>
      </c>
      <c r="E338" s="1" t="s">
        <v>32</v>
      </c>
      <c r="F338" s="1" t="s">
        <v>38</v>
      </c>
      <c r="G338" s="1" t="s">
        <v>28</v>
      </c>
      <c r="H338" s="1" t="s">
        <v>59</v>
      </c>
      <c r="I338" s="1">
        <v>663.09</v>
      </c>
      <c r="J338" s="1">
        <v>30158</v>
      </c>
      <c r="K338" s="1">
        <v>954</v>
      </c>
      <c r="L338" s="1">
        <v>95</v>
      </c>
      <c r="M338" s="1">
        <v>1</v>
      </c>
      <c r="N338" s="1">
        <v>3.163339744</v>
      </c>
      <c r="O338" s="1">
        <v>9.9580712790000003</v>
      </c>
      <c r="P338" s="1">
        <f t="shared" si="0"/>
        <v>1</v>
      </c>
    </row>
    <row r="339" spans="1:21" ht="14.25" customHeight="1" x14ac:dyDescent="0.35">
      <c r="A339" s="1" t="s">
        <v>526</v>
      </c>
      <c r="B339" s="3">
        <v>45388</v>
      </c>
      <c r="C339" s="1" t="s">
        <v>85</v>
      </c>
      <c r="D339" s="1">
        <v>45</v>
      </c>
      <c r="E339" s="1" t="s">
        <v>20</v>
      </c>
      <c r="F339" s="1" t="s">
        <v>42</v>
      </c>
      <c r="G339" s="1" t="s">
        <v>22</v>
      </c>
      <c r="H339" s="1" t="s">
        <v>23</v>
      </c>
      <c r="I339" s="1">
        <v>544.66999999999996</v>
      </c>
      <c r="J339" s="1">
        <v>44378</v>
      </c>
      <c r="K339" s="1">
        <v>3838</v>
      </c>
      <c r="L339" s="1">
        <v>338</v>
      </c>
      <c r="M339" s="1">
        <v>5</v>
      </c>
      <c r="N339" s="1">
        <v>8.6484294019999997</v>
      </c>
      <c r="O339" s="1">
        <v>8.8066701409999997</v>
      </c>
      <c r="P339" s="1">
        <f t="shared" si="0"/>
        <v>5</v>
      </c>
    </row>
    <row r="340" spans="1:21" ht="14.25" customHeight="1" x14ac:dyDescent="0.35">
      <c r="A340" s="1" t="s">
        <v>527</v>
      </c>
      <c r="B340" s="3">
        <v>45510</v>
      </c>
      <c r="C340" s="1" t="s">
        <v>104</v>
      </c>
      <c r="D340" s="1">
        <v>55</v>
      </c>
      <c r="E340" s="1" t="s">
        <v>32</v>
      </c>
      <c r="F340" s="1" t="s">
        <v>54</v>
      </c>
      <c r="G340" s="1" t="s">
        <v>28</v>
      </c>
      <c r="H340" s="1" t="s">
        <v>33</v>
      </c>
      <c r="I340" s="1">
        <v>85.51</v>
      </c>
      <c r="J340" s="1">
        <v>20486</v>
      </c>
      <c r="K340" s="1">
        <v>3094</v>
      </c>
      <c r="L340" s="1">
        <v>292</v>
      </c>
      <c r="M340" s="1">
        <v>4</v>
      </c>
      <c r="N340" s="1">
        <v>15.10299717</v>
      </c>
      <c r="O340" s="1">
        <v>9.4376212020000008</v>
      </c>
      <c r="P340" s="1">
        <f t="shared" si="0"/>
        <v>4</v>
      </c>
    </row>
    <row r="341" spans="1:21" ht="14.25" customHeight="1" x14ac:dyDescent="0.35">
      <c r="A341" s="1" t="s">
        <v>528</v>
      </c>
      <c r="B341" s="3">
        <v>45629</v>
      </c>
      <c r="C341" s="1" t="s">
        <v>309</v>
      </c>
      <c r="D341" s="1">
        <v>49</v>
      </c>
      <c r="E341" s="1" t="s">
        <v>20</v>
      </c>
      <c r="F341" s="1" t="s">
        <v>54</v>
      </c>
      <c r="G341" s="1" t="s">
        <v>28</v>
      </c>
      <c r="H341" s="1" t="s">
        <v>29</v>
      </c>
      <c r="I341" s="1">
        <v>1042.51</v>
      </c>
      <c r="J341" s="1">
        <v>24360</v>
      </c>
      <c r="K341" s="1">
        <v>3461</v>
      </c>
      <c r="L341" s="1">
        <v>369</v>
      </c>
      <c r="M341" s="1">
        <v>4</v>
      </c>
      <c r="N341" s="1">
        <v>14.20771757</v>
      </c>
      <c r="O341" s="1">
        <v>10.66165848</v>
      </c>
      <c r="P341" s="1">
        <f t="shared" si="0"/>
        <v>4</v>
      </c>
    </row>
    <row r="342" spans="1:21" ht="14.25" customHeight="1" x14ac:dyDescent="0.35">
      <c r="A342" s="1" t="s">
        <v>529</v>
      </c>
      <c r="B342" s="3">
        <v>45495</v>
      </c>
      <c r="C342" s="1" t="s">
        <v>74</v>
      </c>
      <c r="D342" s="1">
        <v>26</v>
      </c>
      <c r="E342" s="1" t="s">
        <v>32</v>
      </c>
      <c r="F342" s="1" t="s">
        <v>42</v>
      </c>
      <c r="G342" s="1" t="s">
        <v>58</v>
      </c>
      <c r="H342" s="1" t="s">
        <v>59</v>
      </c>
      <c r="I342" s="1">
        <v>52.05</v>
      </c>
      <c r="J342" s="1">
        <v>31734</v>
      </c>
      <c r="K342" s="1">
        <v>2497</v>
      </c>
      <c r="L342" s="1">
        <v>160</v>
      </c>
      <c r="M342" s="1">
        <v>2</v>
      </c>
      <c r="N342" s="1">
        <v>7.8685321740000003</v>
      </c>
      <c r="O342" s="1">
        <v>6.4076892269999997</v>
      </c>
      <c r="P342" s="1">
        <f t="shared" si="0"/>
        <v>2</v>
      </c>
    </row>
    <row r="343" spans="1:21" ht="14.25" customHeight="1" x14ac:dyDescent="0.35">
      <c r="A343" s="1" t="s">
        <v>530</v>
      </c>
      <c r="B343" s="3">
        <v>45421</v>
      </c>
      <c r="C343" s="1" t="s">
        <v>68</v>
      </c>
      <c r="D343" s="1">
        <v>56</v>
      </c>
      <c r="E343" s="1" t="s">
        <v>26</v>
      </c>
      <c r="F343" s="1" t="s">
        <v>47</v>
      </c>
      <c r="G343" s="1" t="s">
        <v>22</v>
      </c>
      <c r="H343" s="1" t="s">
        <v>59</v>
      </c>
      <c r="I343" s="1">
        <v>1388.2</v>
      </c>
      <c r="J343" s="1">
        <v>1319</v>
      </c>
      <c r="K343" s="1">
        <v>4883</v>
      </c>
      <c r="L343" s="1">
        <v>191</v>
      </c>
      <c r="M343" s="1">
        <v>4</v>
      </c>
      <c r="N343" s="1">
        <v>370.2047005</v>
      </c>
      <c r="O343" s="1">
        <v>3.911529797</v>
      </c>
      <c r="P343" s="1">
        <f t="shared" si="0"/>
        <v>4</v>
      </c>
      <c r="U343" s="1">
        <f t="shared" ref="U343:U344" si="4">COUNTIF(N339:N1000, N343&gt;100)</f>
        <v>0</v>
      </c>
    </row>
    <row r="344" spans="1:21" ht="14.25" customHeight="1" x14ac:dyDescent="0.35">
      <c r="A344" s="1" t="s">
        <v>531</v>
      </c>
      <c r="B344" s="3">
        <v>45585</v>
      </c>
      <c r="C344" s="1" t="s">
        <v>242</v>
      </c>
      <c r="D344" s="1">
        <v>64</v>
      </c>
      <c r="E344" s="1" t="s">
        <v>32</v>
      </c>
      <c r="F344" s="1" t="s">
        <v>38</v>
      </c>
      <c r="G344" s="1" t="s">
        <v>28</v>
      </c>
      <c r="H344" s="1" t="s">
        <v>23</v>
      </c>
      <c r="I344" s="1">
        <v>1041.07</v>
      </c>
      <c r="J344" s="1">
        <v>3127</v>
      </c>
      <c r="K344" s="1">
        <v>3183</v>
      </c>
      <c r="L344" s="1">
        <v>109</v>
      </c>
      <c r="M344" s="1">
        <v>5</v>
      </c>
      <c r="N344" s="1">
        <v>101.7908539</v>
      </c>
      <c r="O344" s="1">
        <v>3.4244423500000001</v>
      </c>
      <c r="P344" s="1">
        <f t="shared" si="0"/>
        <v>5</v>
      </c>
      <c r="U344" s="1">
        <f t="shared" si="4"/>
        <v>0</v>
      </c>
    </row>
    <row r="345" spans="1:21" ht="14.25" customHeight="1" x14ac:dyDescent="0.35">
      <c r="A345" s="1" t="s">
        <v>532</v>
      </c>
      <c r="B345" s="3">
        <v>45585</v>
      </c>
      <c r="C345" s="1" t="s">
        <v>231</v>
      </c>
      <c r="D345" s="1">
        <v>18</v>
      </c>
      <c r="E345" s="1" t="s">
        <v>26</v>
      </c>
      <c r="F345" s="1" t="s">
        <v>38</v>
      </c>
      <c r="G345" s="1" t="s">
        <v>43</v>
      </c>
      <c r="H345" s="1" t="s">
        <v>23</v>
      </c>
      <c r="I345" s="1">
        <v>355.42</v>
      </c>
      <c r="J345" s="1">
        <v>45683</v>
      </c>
      <c r="K345" s="1">
        <v>3929</v>
      </c>
      <c r="L345" s="1">
        <v>152</v>
      </c>
      <c r="N345" s="1">
        <v>8.6005735179999991</v>
      </c>
      <c r="O345" s="1">
        <v>3.8686688720000002</v>
      </c>
      <c r="P345" s="1">
        <f t="shared" si="0"/>
        <v>3</v>
      </c>
    </row>
    <row r="346" spans="1:21" ht="14.25" customHeight="1" x14ac:dyDescent="0.35">
      <c r="A346" s="1" t="s">
        <v>533</v>
      </c>
      <c r="B346" s="3">
        <v>45639</v>
      </c>
      <c r="C346" s="1" t="s">
        <v>381</v>
      </c>
      <c r="D346" s="1">
        <v>49</v>
      </c>
      <c r="E346" s="1" t="s">
        <v>20</v>
      </c>
      <c r="F346" s="1" t="s">
        <v>47</v>
      </c>
      <c r="G346" s="1" t="s">
        <v>22</v>
      </c>
      <c r="H346" s="1" t="s">
        <v>23</v>
      </c>
      <c r="I346" s="1">
        <v>450.95</v>
      </c>
      <c r="J346" s="1">
        <v>18616</v>
      </c>
      <c r="K346" s="1">
        <v>2784</v>
      </c>
      <c r="L346" s="1">
        <v>66</v>
      </c>
      <c r="M346" s="1">
        <v>2</v>
      </c>
      <c r="N346" s="1">
        <v>14.95487752</v>
      </c>
      <c r="O346" s="1">
        <v>2.3706896550000001</v>
      </c>
      <c r="P346" s="1">
        <f t="shared" si="0"/>
        <v>2</v>
      </c>
    </row>
    <row r="347" spans="1:21" ht="14.25" customHeight="1" x14ac:dyDescent="0.35">
      <c r="A347" s="1" t="s">
        <v>534</v>
      </c>
      <c r="B347" s="3">
        <v>45503</v>
      </c>
      <c r="C347" s="1" t="s">
        <v>280</v>
      </c>
      <c r="D347" s="1">
        <v>41</v>
      </c>
      <c r="E347" s="1" t="s">
        <v>20</v>
      </c>
      <c r="F347" s="1" t="s">
        <v>27</v>
      </c>
      <c r="G347" s="1" t="s">
        <v>28</v>
      </c>
      <c r="H347" s="1" t="s">
        <v>33</v>
      </c>
      <c r="I347" s="1">
        <v>1191.8399999999999</v>
      </c>
      <c r="J347" s="1">
        <v>16440</v>
      </c>
      <c r="K347" s="1">
        <v>1568</v>
      </c>
      <c r="L347" s="1">
        <v>43</v>
      </c>
      <c r="M347" s="1">
        <v>2</v>
      </c>
      <c r="N347" s="1">
        <v>9.5377128950000003</v>
      </c>
      <c r="O347" s="1">
        <v>2.7423469389999999</v>
      </c>
      <c r="P347" s="1">
        <f t="shared" si="0"/>
        <v>2</v>
      </c>
    </row>
    <row r="348" spans="1:21" ht="14.25" customHeight="1" x14ac:dyDescent="0.35">
      <c r="A348" s="1" t="s">
        <v>535</v>
      </c>
      <c r="B348" s="3">
        <v>45335</v>
      </c>
      <c r="C348" s="1" t="s">
        <v>76</v>
      </c>
      <c r="D348" s="1">
        <v>50</v>
      </c>
      <c r="E348" s="1" t="s">
        <v>20</v>
      </c>
      <c r="F348" s="1" t="s">
        <v>54</v>
      </c>
      <c r="G348" s="1" t="s">
        <v>43</v>
      </c>
      <c r="H348" s="1" t="s">
        <v>23</v>
      </c>
      <c r="I348" s="1">
        <v>1965.53</v>
      </c>
      <c r="J348" s="1">
        <v>29757</v>
      </c>
      <c r="K348" s="1">
        <v>2870</v>
      </c>
      <c r="L348" s="1">
        <v>100</v>
      </c>
      <c r="M348" s="1">
        <v>1</v>
      </c>
      <c r="N348" s="1">
        <v>9.6447894610000002</v>
      </c>
      <c r="O348" s="1">
        <v>3.4843205570000002</v>
      </c>
      <c r="P348" s="1">
        <f t="shared" si="0"/>
        <v>1</v>
      </c>
    </row>
    <row r="349" spans="1:21" ht="14.25" customHeight="1" x14ac:dyDescent="0.35">
      <c r="A349" s="1" t="s">
        <v>536</v>
      </c>
      <c r="B349" s="3">
        <v>45470</v>
      </c>
      <c r="C349" s="1" t="s">
        <v>537</v>
      </c>
      <c r="D349" s="1">
        <v>25</v>
      </c>
      <c r="E349" s="1" t="s">
        <v>20</v>
      </c>
      <c r="F349" s="1" t="s">
        <v>47</v>
      </c>
      <c r="G349" s="1" t="s">
        <v>39</v>
      </c>
      <c r="H349" s="1" t="s">
        <v>29</v>
      </c>
      <c r="I349" s="1">
        <v>711.07</v>
      </c>
      <c r="J349" s="1">
        <v>35210</v>
      </c>
      <c r="K349" s="1">
        <v>1332</v>
      </c>
      <c r="L349" s="1">
        <v>99</v>
      </c>
      <c r="N349" s="1">
        <v>3.783016189</v>
      </c>
      <c r="O349" s="1">
        <v>7.4324324319999997</v>
      </c>
      <c r="P349" s="1">
        <f t="shared" si="0"/>
        <v>3</v>
      </c>
    </row>
    <row r="350" spans="1:21" ht="14.25" customHeight="1" x14ac:dyDescent="0.35">
      <c r="A350" s="1" t="s">
        <v>538</v>
      </c>
      <c r="B350" s="3">
        <v>45632</v>
      </c>
      <c r="C350" s="1" t="s">
        <v>453</v>
      </c>
      <c r="D350" s="1">
        <v>18</v>
      </c>
      <c r="E350" s="1" t="s">
        <v>32</v>
      </c>
      <c r="F350" s="1" t="s">
        <v>38</v>
      </c>
      <c r="G350" s="1" t="s">
        <v>28</v>
      </c>
      <c r="H350" s="1" t="s">
        <v>33</v>
      </c>
      <c r="I350" s="1">
        <v>1567.09</v>
      </c>
      <c r="J350" s="1">
        <v>45893</v>
      </c>
      <c r="K350" s="1">
        <v>2967</v>
      </c>
      <c r="L350" s="1">
        <v>360</v>
      </c>
      <c r="N350" s="1">
        <v>6.4650382410000002</v>
      </c>
      <c r="O350" s="1">
        <v>12.133468150000001</v>
      </c>
      <c r="P350" s="1">
        <f t="shared" si="0"/>
        <v>3</v>
      </c>
    </row>
    <row r="351" spans="1:21" ht="14.25" customHeight="1" x14ac:dyDescent="0.35">
      <c r="A351" s="1" t="s">
        <v>539</v>
      </c>
      <c r="B351" s="3">
        <v>45486</v>
      </c>
      <c r="C351" s="1" t="s">
        <v>540</v>
      </c>
      <c r="D351" s="1">
        <v>48</v>
      </c>
      <c r="E351" s="1" t="s">
        <v>26</v>
      </c>
      <c r="F351" s="1" t="s">
        <v>42</v>
      </c>
      <c r="G351" s="1" t="s">
        <v>43</v>
      </c>
      <c r="H351" s="1" t="s">
        <v>23</v>
      </c>
      <c r="I351" s="1">
        <v>531.76</v>
      </c>
      <c r="J351" s="1">
        <v>48351</v>
      </c>
      <c r="K351" s="1">
        <v>304</v>
      </c>
      <c r="L351" s="1">
        <v>219</v>
      </c>
      <c r="N351" s="1">
        <v>0.62873570400000001</v>
      </c>
      <c r="O351" s="1">
        <v>72.03947368</v>
      </c>
      <c r="P351" s="1">
        <f t="shared" si="0"/>
        <v>3</v>
      </c>
    </row>
    <row r="352" spans="1:21" ht="14.25" customHeight="1" x14ac:dyDescent="0.35">
      <c r="A352" s="1" t="s">
        <v>541</v>
      </c>
      <c r="B352" s="3">
        <v>45403</v>
      </c>
      <c r="C352" s="1" t="s">
        <v>112</v>
      </c>
      <c r="D352" s="1">
        <v>45</v>
      </c>
      <c r="E352" s="1" t="s">
        <v>32</v>
      </c>
      <c r="F352" s="1" t="s">
        <v>47</v>
      </c>
      <c r="G352" s="1" t="s">
        <v>58</v>
      </c>
      <c r="H352" s="1" t="s">
        <v>23</v>
      </c>
      <c r="I352" s="1">
        <v>688.88</v>
      </c>
      <c r="J352" s="1">
        <v>6054</v>
      </c>
      <c r="K352" s="1">
        <v>4766</v>
      </c>
      <c r="L352" s="1">
        <v>40</v>
      </c>
      <c r="M352" s="1">
        <v>2</v>
      </c>
      <c r="N352" s="1">
        <v>78.724810039999994</v>
      </c>
      <c r="O352" s="1">
        <v>0.83927822100000005</v>
      </c>
      <c r="P352" s="1">
        <f t="shared" si="0"/>
        <v>2</v>
      </c>
    </row>
    <row r="353" spans="1:21" ht="14.25" customHeight="1" x14ac:dyDescent="0.35">
      <c r="A353" s="1" t="s">
        <v>542</v>
      </c>
      <c r="B353" s="3">
        <v>45428</v>
      </c>
      <c r="C353" s="1" t="s">
        <v>543</v>
      </c>
      <c r="D353" s="1">
        <v>53</v>
      </c>
      <c r="E353" s="1" t="s">
        <v>32</v>
      </c>
      <c r="F353" s="1" t="s">
        <v>27</v>
      </c>
      <c r="G353" s="1" t="s">
        <v>22</v>
      </c>
      <c r="H353" s="1" t="s">
        <v>33</v>
      </c>
      <c r="I353" s="1">
        <v>1739.68</v>
      </c>
      <c r="J353" s="1">
        <v>48194</v>
      </c>
      <c r="K353" s="1">
        <v>1196</v>
      </c>
      <c r="L353" s="1">
        <v>193</v>
      </c>
      <c r="M353" s="1">
        <v>2</v>
      </c>
      <c r="N353" s="1">
        <v>2.4816367179999999</v>
      </c>
      <c r="O353" s="1">
        <v>16.137123750000001</v>
      </c>
      <c r="P353" s="1">
        <f t="shared" si="0"/>
        <v>2</v>
      </c>
    </row>
    <row r="354" spans="1:21" ht="14.25" customHeight="1" x14ac:dyDescent="0.35">
      <c r="A354" s="1" t="s">
        <v>544</v>
      </c>
      <c r="B354" s="3">
        <v>45542</v>
      </c>
      <c r="C354" s="1" t="s">
        <v>258</v>
      </c>
      <c r="D354" s="1">
        <v>38</v>
      </c>
      <c r="E354" s="1" t="s">
        <v>26</v>
      </c>
      <c r="F354" s="1" t="s">
        <v>47</v>
      </c>
      <c r="G354" s="1" t="s">
        <v>58</v>
      </c>
      <c r="H354" s="1" t="s">
        <v>23</v>
      </c>
      <c r="I354" s="1">
        <v>551.9</v>
      </c>
      <c r="J354" s="1">
        <v>13582</v>
      </c>
      <c r="K354" s="1">
        <v>2890</v>
      </c>
      <c r="L354" s="1">
        <v>210</v>
      </c>
      <c r="M354" s="1">
        <v>3</v>
      </c>
      <c r="N354" s="1">
        <v>21.278162269999999</v>
      </c>
      <c r="O354" s="1">
        <v>7.2664359860000003</v>
      </c>
      <c r="P354" s="1">
        <f t="shared" si="0"/>
        <v>3</v>
      </c>
    </row>
    <row r="355" spans="1:21" ht="14.25" customHeight="1" x14ac:dyDescent="0.35">
      <c r="A355" s="1" t="s">
        <v>545</v>
      </c>
      <c r="B355" s="3">
        <v>45354</v>
      </c>
      <c r="C355" s="1" t="s">
        <v>521</v>
      </c>
      <c r="D355" s="1">
        <v>18</v>
      </c>
      <c r="E355" s="1" t="s">
        <v>20</v>
      </c>
      <c r="F355" s="1" t="s">
        <v>38</v>
      </c>
      <c r="G355" s="1" t="s">
        <v>39</v>
      </c>
      <c r="H355" s="1" t="s">
        <v>23</v>
      </c>
      <c r="I355" s="1">
        <v>1966.14</v>
      </c>
      <c r="J355" s="1">
        <v>6272</v>
      </c>
      <c r="K355" s="1">
        <v>799</v>
      </c>
      <c r="L355" s="1">
        <v>111</v>
      </c>
      <c r="M355" s="1">
        <v>2</v>
      </c>
      <c r="N355" s="1">
        <v>12.739158160000001</v>
      </c>
      <c r="O355" s="1">
        <v>13.892365460000001</v>
      </c>
      <c r="P355" s="1">
        <f t="shared" si="0"/>
        <v>2</v>
      </c>
    </row>
    <row r="356" spans="1:21" ht="14.25" customHeight="1" x14ac:dyDescent="0.35">
      <c r="A356" s="1" t="s">
        <v>546</v>
      </c>
      <c r="B356" s="3">
        <v>45376</v>
      </c>
      <c r="C356" s="1" t="s">
        <v>403</v>
      </c>
      <c r="D356" s="1">
        <v>58</v>
      </c>
      <c r="E356" s="1" t="s">
        <v>26</v>
      </c>
      <c r="F356" s="1" t="s">
        <v>47</v>
      </c>
      <c r="G356" s="1" t="s">
        <v>43</v>
      </c>
      <c r="H356" s="1" t="s">
        <v>29</v>
      </c>
      <c r="I356" s="1">
        <v>742.49</v>
      </c>
      <c r="J356" s="1">
        <v>10965</v>
      </c>
      <c r="K356" s="1">
        <v>1031</v>
      </c>
      <c r="L356" s="1">
        <v>386</v>
      </c>
      <c r="M356" s="1">
        <v>4</v>
      </c>
      <c r="N356" s="1">
        <v>9.4026447789999992</v>
      </c>
      <c r="O356" s="1">
        <v>37.439379240000001</v>
      </c>
      <c r="P356" s="1">
        <f t="shared" si="0"/>
        <v>4</v>
      </c>
    </row>
    <row r="357" spans="1:21" ht="14.25" customHeight="1" x14ac:dyDescent="0.35">
      <c r="A357" s="1" t="s">
        <v>547</v>
      </c>
      <c r="B357" s="3">
        <v>45605</v>
      </c>
      <c r="C357" s="1" t="s">
        <v>267</v>
      </c>
      <c r="D357" s="1">
        <v>20</v>
      </c>
      <c r="E357" s="1" t="s">
        <v>26</v>
      </c>
      <c r="F357" s="1" t="s">
        <v>47</v>
      </c>
      <c r="G357" s="1" t="s">
        <v>39</v>
      </c>
      <c r="H357" s="1" t="s">
        <v>33</v>
      </c>
      <c r="I357" s="1">
        <v>1586.37</v>
      </c>
      <c r="J357" s="1">
        <v>26609</v>
      </c>
      <c r="K357" s="1">
        <v>761</v>
      </c>
      <c r="L357" s="1">
        <v>328</v>
      </c>
      <c r="M357" s="1">
        <v>2</v>
      </c>
      <c r="N357" s="1">
        <v>2.8599346090000002</v>
      </c>
      <c r="O357" s="1">
        <v>43.101182649999998</v>
      </c>
      <c r="P357" s="1">
        <f t="shared" si="0"/>
        <v>2</v>
      </c>
    </row>
    <row r="358" spans="1:21" ht="14.25" customHeight="1" x14ac:dyDescent="0.35">
      <c r="A358" s="1" t="s">
        <v>548</v>
      </c>
      <c r="B358" s="3">
        <v>45452</v>
      </c>
      <c r="C358" s="1" t="s">
        <v>549</v>
      </c>
      <c r="D358" s="1">
        <v>24</v>
      </c>
      <c r="E358" s="1" t="s">
        <v>20</v>
      </c>
      <c r="F358" s="1" t="s">
        <v>54</v>
      </c>
      <c r="G358" s="1" t="s">
        <v>58</v>
      </c>
      <c r="H358" s="1" t="s">
        <v>33</v>
      </c>
      <c r="I358" s="1">
        <v>1464.38</v>
      </c>
      <c r="J358" s="1">
        <v>21762</v>
      </c>
      <c r="K358" s="1">
        <v>1897</v>
      </c>
      <c r="L358" s="1">
        <v>48</v>
      </c>
      <c r="M358" s="1">
        <v>4</v>
      </c>
      <c r="N358" s="1">
        <v>8.717029685</v>
      </c>
      <c r="O358" s="1">
        <v>2.5303110169999998</v>
      </c>
      <c r="P358" s="1">
        <f t="shared" si="0"/>
        <v>4</v>
      </c>
    </row>
    <row r="359" spans="1:21" ht="14.25" customHeight="1" x14ac:dyDescent="0.35">
      <c r="A359" s="1" t="s">
        <v>550</v>
      </c>
      <c r="B359" s="3">
        <v>45546</v>
      </c>
      <c r="C359" s="1" t="s">
        <v>406</v>
      </c>
      <c r="D359" s="1">
        <v>52</v>
      </c>
      <c r="E359" s="1" t="s">
        <v>20</v>
      </c>
      <c r="F359" s="1" t="s">
        <v>27</v>
      </c>
      <c r="G359" s="1" t="s">
        <v>58</v>
      </c>
      <c r="H359" s="1" t="s">
        <v>23</v>
      </c>
      <c r="I359" s="1">
        <v>1804.18</v>
      </c>
      <c r="J359" s="1">
        <v>4098</v>
      </c>
      <c r="K359" s="1">
        <v>2939</v>
      </c>
      <c r="L359" s="1">
        <v>41</v>
      </c>
      <c r="N359" s="1">
        <v>71.717911180000002</v>
      </c>
      <c r="O359" s="1">
        <v>1.395032324</v>
      </c>
      <c r="P359" s="1">
        <f t="shared" si="0"/>
        <v>3</v>
      </c>
    </row>
    <row r="360" spans="1:21" ht="14.25" customHeight="1" x14ac:dyDescent="0.35">
      <c r="A360" s="1" t="s">
        <v>551</v>
      </c>
      <c r="B360" s="3">
        <v>45529</v>
      </c>
      <c r="C360" s="1" t="s">
        <v>248</v>
      </c>
      <c r="D360" s="1">
        <v>31</v>
      </c>
      <c r="E360" s="1" t="s">
        <v>20</v>
      </c>
      <c r="F360" s="1" t="s">
        <v>27</v>
      </c>
      <c r="G360" s="1" t="s">
        <v>58</v>
      </c>
      <c r="H360" s="1" t="s">
        <v>29</v>
      </c>
      <c r="I360" s="1">
        <v>1538.52</v>
      </c>
      <c r="J360" s="1">
        <v>5285</v>
      </c>
      <c r="K360" s="1">
        <v>3315</v>
      </c>
      <c r="L360" s="1">
        <v>2</v>
      </c>
      <c r="M360" s="1">
        <v>5</v>
      </c>
      <c r="N360" s="1">
        <v>62.724692529999999</v>
      </c>
      <c r="O360" s="1">
        <v>6.0331824999999999E-2</v>
      </c>
      <c r="P360" s="1">
        <f t="shared" si="0"/>
        <v>5</v>
      </c>
    </row>
    <row r="361" spans="1:21" ht="14.25" customHeight="1" x14ac:dyDescent="0.35">
      <c r="A361" s="1" t="s">
        <v>552</v>
      </c>
      <c r="B361" s="3">
        <v>45614</v>
      </c>
      <c r="C361" s="1" t="s">
        <v>106</v>
      </c>
      <c r="D361" s="1">
        <v>63</v>
      </c>
      <c r="E361" s="1" t="s">
        <v>20</v>
      </c>
      <c r="F361" s="1" t="s">
        <v>38</v>
      </c>
      <c r="G361" s="1" t="s">
        <v>28</v>
      </c>
      <c r="H361" s="1" t="s">
        <v>29</v>
      </c>
      <c r="I361" s="1">
        <v>585.47</v>
      </c>
      <c r="J361" s="1">
        <v>2479</v>
      </c>
      <c r="K361" s="1">
        <v>42</v>
      </c>
      <c r="L361" s="1">
        <v>244</v>
      </c>
      <c r="M361" s="1">
        <v>4</v>
      </c>
      <c r="N361" s="1">
        <v>1.6942315450000001</v>
      </c>
      <c r="O361" s="1">
        <v>580.95238099999995</v>
      </c>
      <c r="P361" s="1">
        <f t="shared" si="0"/>
        <v>4</v>
      </c>
    </row>
    <row r="362" spans="1:21" ht="14.25" customHeight="1" x14ac:dyDescent="0.35">
      <c r="A362" s="1" t="s">
        <v>553</v>
      </c>
      <c r="B362" s="3">
        <v>45487</v>
      </c>
      <c r="C362" s="1" t="s">
        <v>68</v>
      </c>
      <c r="D362" s="1">
        <v>46</v>
      </c>
      <c r="E362" s="1" t="s">
        <v>20</v>
      </c>
      <c r="F362" s="1" t="s">
        <v>42</v>
      </c>
      <c r="G362" s="1" t="s">
        <v>58</v>
      </c>
      <c r="H362" s="1" t="s">
        <v>29</v>
      </c>
      <c r="I362" s="1">
        <v>932.92</v>
      </c>
      <c r="J362" s="1">
        <v>14844</v>
      </c>
      <c r="K362" s="1">
        <v>1268</v>
      </c>
      <c r="L362" s="1">
        <v>307</v>
      </c>
      <c r="M362" s="1">
        <v>3</v>
      </c>
      <c r="N362" s="1">
        <v>8.5421719209999996</v>
      </c>
      <c r="O362" s="1">
        <v>24.211356469999998</v>
      </c>
      <c r="P362" s="1">
        <f t="shared" si="0"/>
        <v>3</v>
      </c>
    </row>
    <row r="363" spans="1:21" ht="14.25" customHeight="1" x14ac:dyDescent="0.35">
      <c r="A363" s="1" t="s">
        <v>554</v>
      </c>
      <c r="B363" s="3">
        <v>45320</v>
      </c>
      <c r="C363" s="1" t="s">
        <v>335</v>
      </c>
      <c r="D363" s="1">
        <v>22</v>
      </c>
      <c r="E363" s="1" t="s">
        <v>32</v>
      </c>
      <c r="F363" s="1" t="s">
        <v>54</v>
      </c>
      <c r="G363" s="1" t="s">
        <v>22</v>
      </c>
      <c r="H363" s="1" t="s">
        <v>59</v>
      </c>
      <c r="I363" s="1">
        <v>1480.9</v>
      </c>
      <c r="J363" s="1">
        <v>20810</v>
      </c>
      <c r="K363" s="1">
        <v>1230</v>
      </c>
      <c r="L363" s="1">
        <v>131</v>
      </c>
      <c r="N363" s="1">
        <v>5.9106198939999999</v>
      </c>
      <c r="O363" s="1">
        <v>10.650406500000001</v>
      </c>
      <c r="P363" s="1">
        <f t="shared" si="0"/>
        <v>3</v>
      </c>
    </row>
    <row r="364" spans="1:21" ht="14.25" customHeight="1" x14ac:dyDescent="0.35">
      <c r="A364" s="1" t="s">
        <v>555</v>
      </c>
      <c r="B364" s="3">
        <v>45473</v>
      </c>
      <c r="C364" s="1" t="s">
        <v>540</v>
      </c>
      <c r="D364" s="1">
        <v>38</v>
      </c>
      <c r="E364" s="1" t="s">
        <v>20</v>
      </c>
      <c r="F364" s="1" t="s">
        <v>42</v>
      </c>
      <c r="G364" s="1" t="s">
        <v>43</v>
      </c>
      <c r="H364" s="1" t="s">
        <v>33</v>
      </c>
      <c r="I364" s="1">
        <v>394.82</v>
      </c>
      <c r="J364" s="1">
        <v>11551</v>
      </c>
      <c r="K364" s="1">
        <v>608</v>
      </c>
      <c r="L364" s="1">
        <v>250</v>
      </c>
      <c r="M364" s="1">
        <v>1</v>
      </c>
      <c r="N364" s="1">
        <v>5.2636135399999997</v>
      </c>
      <c r="O364" s="1">
        <v>41.118421050000002</v>
      </c>
      <c r="P364" s="1">
        <f t="shared" si="0"/>
        <v>1</v>
      </c>
    </row>
    <row r="365" spans="1:21" ht="14.25" customHeight="1" x14ac:dyDescent="0.35">
      <c r="A365" s="1" t="s">
        <v>556</v>
      </c>
      <c r="B365" s="3">
        <v>45371</v>
      </c>
      <c r="C365" s="1" t="s">
        <v>152</v>
      </c>
      <c r="D365" s="1">
        <v>35</v>
      </c>
      <c r="E365" s="1" t="s">
        <v>26</v>
      </c>
      <c r="F365" s="1" t="s">
        <v>38</v>
      </c>
      <c r="G365" s="1" t="s">
        <v>39</v>
      </c>
      <c r="H365" s="1" t="s">
        <v>29</v>
      </c>
      <c r="I365" s="1">
        <v>1536.33</v>
      </c>
      <c r="J365" s="1">
        <v>1276</v>
      </c>
      <c r="K365" s="1">
        <v>1889</v>
      </c>
      <c r="L365" s="1">
        <v>323</v>
      </c>
      <c r="N365" s="1">
        <v>148.0407524</v>
      </c>
      <c r="O365" s="1">
        <v>17.098994179999998</v>
      </c>
      <c r="P365" s="1">
        <f t="shared" si="0"/>
        <v>3</v>
      </c>
      <c r="U365" s="1">
        <f>COUNTIF(N361:N1000, N365&gt;100)</f>
        <v>0</v>
      </c>
    </row>
    <row r="366" spans="1:21" ht="14.25" customHeight="1" x14ac:dyDescent="0.35">
      <c r="A366" s="1" t="s">
        <v>557</v>
      </c>
      <c r="B366" s="3">
        <v>45394</v>
      </c>
      <c r="C366" s="1" t="s">
        <v>125</v>
      </c>
      <c r="D366" s="1">
        <v>57</v>
      </c>
      <c r="E366" s="1" t="s">
        <v>32</v>
      </c>
      <c r="F366" s="1" t="s">
        <v>54</v>
      </c>
      <c r="G366" s="1" t="s">
        <v>22</v>
      </c>
      <c r="H366" s="1" t="s">
        <v>33</v>
      </c>
      <c r="I366" s="1">
        <v>1246.4100000000001</v>
      </c>
      <c r="J366" s="1">
        <v>27233</v>
      </c>
      <c r="K366" s="1">
        <v>1746</v>
      </c>
      <c r="L366" s="1">
        <v>374</v>
      </c>
      <c r="N366" s="1">
        <v>6.411339184</v>
      </c>
      <c r="O366" s="1">
        <v>21.420389459999999</v>
      </c>
      <c r="P366" s="1">
        <f t="shared" si="0"/>
        <v>3</v>
      </c>
    </row>
    <row r="367" spans="1:21" ht="14.25" customHeight="1" x14ac:dyDescent="0.35">
      <c r="A367" s="1" t="s">
        <v>558</v>
      </c>
      <c r="B367" s="3">
        <v>45621</v>
      </c>
      <c r="C367" s="1" t="s">
        <v>248</v>
      </c>
      <c r="D367" s="1">
        <v>40</v>
      </c>
      <c r="E367" s="1" t="s">
        <v>26</v>
      </c>
      <c r="F367" s="1" t="s">
        <v>47</v>
      </c>
      <c r="G367" s="1" t="s">
        <v>43</v>
      </c>
      <c r="H367" s="1" t="s">
        <v>59</v>
      </c>
      <c r="I367" s="1">
        <v>754.35</v>
      </c>
      <c r="J367" s="1">
        <v>11952</v>
      </c>
      <c r="K367" s="1">
        <v>1503</v>
      </c>
      <c r="L367" s="1">
        <v>31</v>
      </c>
      <c r="M367" s="1">
        <v>5</v>
      </c>
      <c r="N367" s="1">
        <v>12.5753012</v>
      </c>
      <c r="O367" s="1">
        <v>2.0625415829999998</v>
      </c>
      <c r="P367" s="1">
        <f t="shared" si="0"/>
        <v>5</v>
      </c>
    </row>
    <row r="368" spans="1:21" ht="14.25" customHeight="1" x14ac:dyDescent="0.35">
      <c r="A368" s="1" t="s">
        <v>559</v>
      </c>
      <c r="B368" s="3">
        <v>45653</v>
      </c>
      <c r="C368" s="1" t="s">
        <v>99</v>
      </c>
      <c r="D368" s="1">
        <v>36</v>
      </c>
      <c r="E368" s="1" t="s">
        <v>32</v>
      </c>
      <c r="F368" s="1" t="s">
        <v>21</v>
      </c>
      <c r="G368" s="1" t="s">
        <v>39</v>
      </c>
      <c r="H368" s="1" t="s">
        <v>33</v>
      </c>
      <c r="I368" s="1">
        <v>814.8</v>
      </c>
      <c r="J368" s="1">
        <v>39742</v>
      </c>
      <c r="K368" s="1">
        <v>3594</v>
      </c>
      <c r="L368" s="1">
        <v>5</v>
      </c>
      <c r="M368" s="1">
        <v>1</v>
      </c>
      <c r="N368" s="1">
        <v>9.0433294750000002</v>
      </c>
      <c r="O368" s="1">
        <v>0.13912075700000001</v>
      </c>
      <c r="P368" s="1">
        <f t="shared" si="0"/>
        <v>1</v>
      </c>
    </row>
    <row r="369" spans="1:16" ht="14.25" customHeight="1" x14ac:dyDescent="0.35">
      <c r="A369" s="1" t="s">
        <v>560</v>
      </c>
      <c r="B369" s="3">
        <v>45333</v>
      </c>
      <c r="C369" s="1" t="s">
        <v>356</v>
      </c>
      <c r="D369" s="1">
        <v>49</v>
      </c>
      <c r="E369" s="1" t="s">
        <v>20</v>
      </c>
      <c r="F369" s="1" t="s">
        <v>27</v>
      </c>
      <c r="G369" s="1" t="s">
        <v>28</v>
      </c>
      <c r="H369" s="1" t="s">
        <v>23</v>
      </c>
      <c r="I369" s="1">
        <v>1912.73</v>
      </c>
      <c r="J369" s="1">
        <v>45733</v>
      </c>
      <c r="K369" s="1">
        <v>4890</v>
      </c>
      <c r="L369" s="1">
        <v>55</v>
      </c>
      <c r="N369" s="1">
        <v>10.69249776</v>
      </c>
      <c r="O369" s="1">
        <v>1.124744376</v>
      </c>
      <c r="P369" s="1">
        <f t="shared" si="0"/>
        <v>3</v>
      </c>
    </row>
    <row r="370" spans="1:16" ht="14.25" customHeight="1" x14ac:dyDescent="0.35">
      <c r="A370" s="1" t="s">
        <v>561</v>
      </c>
      <c r="B370" s="3">
        <v>45584</v>
      </c>
      <c r="C370" s="1" t="s">
        <v>154</v>
      </c>
      <c r="D370" s="1">
        <v>41</v>
      </c>
      <c r="E370" s="1" t="s">
        <v>32</v>
      </c>
      <c r="F370" s="1" t="s">
        <v>21</v>
      </c>
      <c r="G370" s="1" t="s">
        <v>22</v>
      </c>
      <c r="H370" s="1" t="s">
        <v>29</v>
      </c>
      <c r="I370" s="1">
        <v>732.57</v>
      </c>
      <c r="J370" s="1">
        <v>30352</v>
      </c>
      <c r="K370" s="1">
        <v>3064</v>
      </c>
      <c r="L370" s="1">
        <v>35</v>
      </c>
      <c r="M370" s="1">
        <v>1</v>
      </c>
      <c r="N370" s="1">
        <v>10.09488666</v>
      </c>
      <c r="O370" s="1">
        <v>1.1422976499999999</v>
      </c>
      <c r="P370" s="1">
        <f t="shared" si="0"/>
        <v>1</v>
      </c>
    </row>
    <row r="371" spans="1:16" ht="14.25" customHeight="1" x14ac:dyDescent="0.35">
      <c r="A371" s="1" t="s">
        <v>562</v>
      </c>
      <c r="B371" s="3">
        <v>45560</v>
      </c>
      <c r="C371" s="1" t="s">
        <v>82</v>
      </c>
      <c r="D371" s="1">
        <v>32</v>
      </c>
      <c r="E371" s="1" t="s">
        <v>20</v>
      </c>
      <c r="F371" s="1" t="s">
        <v>21</v>
      </c>
      <c r="G371" s="1" t="s">
        <v>22</v>
      </c>
      <c r="H371" s="1" t="s">
        <v>23</v>
      </c>
      <c r="I371" s="1">
        <v>1624.44</v>
      </c>
      <c r="J371" s="1">
        <v>37407</v>
      </c>
      <c r="K371" s="1">
        <v>2459</v>
      </c>
      <c r="L371" s="1">
        <v>171</v>
      </c>
      <c r="M371" s="1">
        <v>3</v>
      </c>
      <c r="N371" s="1">
        <v>6.5736359499999999</v>
      </c>
      <c r="O371" s="1">
        <v>6.9540463600000004</v>
      </c>
      <c r="P371" s="1">
        <f t="shared" si="0"/>
        <v>3</v>
      </c>
    </row>
    <row r="372" spans="1:16" ht="14.25" customHeight="1" x14ac:dyDescent="0.35">
      <c r="A372" s="1" t="s">
        <v>563</v>
      </c>
      <c r="B372" s="3">
        <v>45646</v>
      </c>
      <c r="C372" s="1" t="s">
        <v>564</v>
      </c>
      <c r="D372" s="1">
        <v>34</v>
      </c>
      <c r="E372" s="1" t="s">
        <v>26</v>
      </c>
      <c r="F372" s="1" t="s">
        <v>47</v>
      </c>
      <c r="G372" s="1" t="s">
        <v>58</v>
      </c>
      <c r="H372" s="1" t="s">
        <v>29</v>
      </c>
      <c r="I372" s="1">
        <v>1540.78</v>
      </c>
      <c r="J372" s="1">
        <v>12433</v>
      </c>
      <c r="K372" s="1">
        <v>4181</v>
      </c>
      <c r="L372" s="1">
        <v>40</v>
      </c>
      <c r="M372" s="1">
        <v>1</v>
      </c>
      <c r="N372" s="1">
        <v>33.62824741</v>
      </c>
      <c r="O372" s="1">
        <v>0.95670892100000005</v>
      </c>
      <c r="P372" s="1">
        <f t="shared" si="0"/>
        <v>1</v>
      </c>
    </row>
    <row r="373" spans="1:16" ht="14.25" customHeight="1" x14ac:dyDescent="0.35">
      <c r="A373" s="1" t="s">
        <v>565</v>
      </c>
      <c r="B373" s="3">
        <v>45456</v>
      </c>
      <c r="C373" s="1" t="s">
        <v>131</v>
      </c>
      <c r="D373" s="1">
        <v>35</v>
      </c>
      <c r="E373" s="1" t="s">
        <v>20</v>
      </c>
      <c r="F373" s="1" t="s">
        <v>38</v>
      </c>
      <c r="G373" s="1" t="s">
        <v>58</v>
      </c>
      <c r="H373" s="1" t="s">
        <v>29</v>
      </c>
      <c r="I373" s="1">
        <v>1252.26</v>
      </c>
      <c r="J373" s="1">
        <v>31563</v>
      </c>
      <c r="K373" s="1">
        <v>1150</v>
      </c>
      <c r="L373" s="1">
        <v>54</v>
      </c>
      <c r="M373" s="1">
        <v>2</v>
      </c>
      <c r="N373" s="1">
        <v>3.6435066379999999</v>
      </c>
      <c r="O373" s="1">
        <v>4.6956521740000001</v>
      </c>
      <c r="P373" s="1">
        <f t="shared" si="0"/>
        <v>2</v>
      </c>
    </row>
    <row r="374" spans="1:16" ht="14.25" customHeight="1" x14ac:dyDescent="0.35">
      <c r="A374" s="1" t="s">
        <v>566</v>
      </c>
      <c r="B374" s="3">
        <v>45634</v>
      </c>
      <c r="C374" s="1" t="s">
        <v>567</v>
      </c>
      <c r="D374" s="1">
        <v>25</v>
      </c>
      <c r="E374" s="1" t="s">
        <v>26</v>
      </c>
      <c r="F374" s="1" t="s">
        <v>47</v>
      </c>
      <c r="G374" s="1" t="s">
        <v>39</v>
      </c>
      <c r="H374" s="1" t="s">
        <v>29</v>
      </c>
      <c r="I374" s="1">
        <v>1555.52</v>
      </c>
      <c r="J374" s="1">
        <v>10498</v>
      </c>
      <c r="K374" s="1">
        <v>229</v>
      </c>
      <c r="L374" s="1">
        <v>370</v>
      </c>
      <c r="M374" s="1">
        <v>4</v>
      </c>
      <c r="N374" s="1">
        <v>2.1813678799999998</v>
      </c>
      <c r="O374" s="1">
        <v>161.57205239999999</v>
      </c>
      <c r="P374" s="1">
        <f t="shared" si="0"/>
        <v>4</v>
      </c>
    </row>
    <row r="375" spans="1:16" ht="14.25" customHeight="1" x14ac:dyDescent="0.35">
      <c r="A375" s="1" t="s">
        <v>568</v>
      </c>
      <c r="B375" s="3">
        <v>45489</v>
      </c>
      <c r="C375" s="1" t="s">
        <v>543</v>
      </c>
      <c r="D375" s="1">
        <v>25</v>
      </c>
      <c r="E375" s="1" t="s">
        <v>32</v>
      </c>
      <c r="F375" s="1" t="s">
        <v>42</v>
      </c>
      <c r="G375" s="1" t="s">
        <v>39</v>
      </c>
      <c r="H375" s="1" t="s">
        <v>23</v>
      </c>
      <c r="I375" s="1">
        <v>1428.72</v>
      </c>
      <c r="J375" s="1">
        <v>19102</v>
      </c>
      <c r="K375" s="1">
        <v>4341</v>
      </c>
      <c r="L375" s="1">
        <v>271</v>
      </c>
      <c r="M375" s="1">
        <v>2</v>
      </c>
      <c r="N375" s="1">
        <v>22.725369069999999</v>
      </c>
      <c r="O375" s="1">
        <v>6.2428011980000004</v>
      </c>
      <c r="P375" s="1">
        <f t="shared" si="0"/>
        <v>2</v>
      </c>
    </row>
    <row r="376" spans="1:16" ht="14.25" customHeight="1" x14ac:dyDescent="0.35">
      <c r="A376" s="1" t="s">
        <v>569</v>
      </c>
      <c r="B376" s="3">
        <v>45351</v>
      </c>
      <c r="C376" s="1" t="s">
        <v>381</v>
      </c>
      <c r="D376" s="1">
        <v>53</v>
      </c>
      <c r="E376" s="1" t="s">
        <v>20</v>
      </c>
      <c r="F376" s="1" t="s">
        <v>54</v>
      </c>
      <c r="G376" s="1" t="s">
        <v>39</v>
      </c>
      <c r="H376" s="1" t="s">
        <v>59</v>
      </c>
      <c r="I376" s="1">
        <v>388.97</v>
      </c>
      <c r="J376" s="1">
        <v>29954</v>
      </c>
      <c r="K376" s="1">
        <v>1919</v>
      </c>
      <c r="L376" s="1">
        <v>204</v>
      </c>
      <c r="M376" s="1">
        <v>4</v>
      </c>
      <c r="N376" s="1">
        <v>6.4064899510000002</v>
      </c>
      <c r="O376" s="1">
        <v>10.63053674</v>
      </c>
      <c r="P376" s="1">
        <f t="shared" si="0"/>
        <v>4</v>
      </c>
    </row>
    <row r="377" spans="1:16" ht="14.25" customHeight="1" x14ac:dyDescent="0.35">
      <c r="A377" s="1" t="s">
        <v>570</v>
      </c>
      <c r="B377" s="3">
        <v>45627</v>
      </c>
      <c r="C377" s="1" t="s">
        <v>227</v>
      </c>
      <c r="D377" s="1">
        <v>18</v>
      </c>
      <c r="E377" s="1" t="s">
        <v>32</v>
      </c>
      <c r="F377" s="1" t="s">
        <v>54</v>
      </c>
      <c r="G377" s="1" t="s">
        <v>39</v>
      </c>
      <c r="H377" s="1" t="s">
        <v>23</v>
      </c>
      <c r="I377" s="1">
        <v>269.47000000000003</v>
      </c>
      <c r="J377" s="1">
        <v>22870</v>
      </c>
      <c r="K377" s="1">
        <v>2272</v>
      </c>
      <c r="L377" s="1">
        <v>97</v>
      </c>
      <c r="M377" s="1">
        <v>2</v>
      </c>
      <c r="N377" s="1">
        <v>9.934411893</v>
      </c>
      <c r="O377" s="1">
        <v>4.2693661970000001</v>
      </c>
      <c r="P377" s="1">
        <f t="shared" si="0"/>
        <v>2</v>
      </c>
    </row>
    <row r="378" spans="1:16" ht="14.25" customHeight="1" x14ac:dyDescent="0.35">
      <c r="A378" s="1" t="s">
        <v>571</v>
      </c>
      <c r="B378" s="3">
        <v>45423</v>
      </c>
      <c r="C378" s="1" t="s">
        <v>196</v>
      </c>
      <c r="D378" s="1">
        <v>39</v>
      </c>
      <c r="E378" s="1" t="s">
        <v>26</v>
      </c>
      <c r="F378" s="1" t="s">
        <v>21</v>
      </c>
      <c r="G378" s="1" t="s">
        <v>43</v>
      </c>
      <c r="H378" s="1" t="s">
        <v>33</v>
      </c>
      <c r="I378" s="1">
        <v>1892.57</v>
      </c>
      <c r="J378" s="1">
        <v>26130</v>
      </c>
      <c r="K378" s="1">
        <v>2618</v>
      </c>
      <c r="L378" s="1">
        <v>146</v>
      </c>
      <c r="M378" s="1">
        <v>5</v>
      </c>
      <c r="N378" s="1">
        <v>10.019135090000001</v>
      </c>
      <c r="O378" s="1">
        <v>5.5767761650000001</v>
      </c>
      <c r="P378" s="1">
        <f t="shared" si="0"/>
        <v>5</v>
      </c>
    </row>
    <row r="379" spans="1:16" ht="14.25" customHeight="1" x14ac:dyDescent="0.35">
      <c r="A379" s="1" t="s">
        <v>572</v>
      </c>
      <c r="B379" s="3">
        <v>45457</v>
      </c>
      <c r="C379" s="1" t="s">
        <v>312</v>
      </c>
      <c r="D379" s="1">
        <v>47</v>
      </c>
      <c r="E379" s="1" t="s">
        <v>32</v>
      </c>
      <c r="F379" s="1" t="s">
        <v>38</v>
      </c>
      <c r="G379" s="1" t="s">
        <v>28</v>
      </c>
      <c r="H379" s="1" t="s">
        <v>33</v>
      </c>
      <c r="I379" s="1">
        <v>693.11</v>
      </c>
      <c r="J379" s="1">
        <v>30965</v>
      </c>
      <c r="K379" s="1">
        <v>2702</v>
      </c>
      <c r="L379" s="1">
        <v>95</v>
      </c>
      <c r="N379" s="1">
        <v>8.725980946</v>
      </c>
      <c r="O379" s="1">
        <v>3.5159141379999999</v>
      </c>
      <c r="P379" s="1">
        <f t="shared" si="0"/>
        <v>3</v>
      </c>
    </row>
    <row r="380" spans="1:16" ht="14.25" customHeight="1" x14ac:dyDescent="0.35">
      <c r="A380" s="1" t="s">
        <v>573</v>
      </c>
      <c r="B380" s="3">
        <v>45378</v>
      </c>
      <c r="C380" s="1" t="s">
        <v>125</v>
      </c>
      <c r="D380" s="1">
        <v>48</v>
      </c>
      <c r="E380" s="1" t="s">
        <v>32</v>
      </c>
      <c r="F380" s="1" t="s">
        <v>27</v>
      </c>
      <c r="G380" s="1" t="s">
        <v>58</v>
      </c>
      <c r="H380" s="1" t="s">
        <v>59</v>
      </c>
      <c r="I380" s="1">
        <v>210.02</v>
      </c>
      <c r="J380" s="1">
        <v>48139</v>
      </c>
      <c r="K380" s="1">
        <v>678</v>
      </c>
      <c r="L380" s="1">
        <v>285</v>
      </c>
      <c r="M380" s="1">
        <v>5</v>
      </c>
      <c r="N380" s="1">
        <v>1.408421446</v>
      </c>
      <c r="O380" s="1">
        <v>42.035398229999998</v>
      </c>
      <c r="P380" s="1">
        <f t="shared" si="0"/>
        <v>5</v>
      </c>
    </row>
    <row r="381" spans="1:16" ht="14.25" customHeight="1" x14ac:dyDescent="0.35">
      <c r="A381" s="1" t="s">
        <v>574</v>
      </c>
      <c r="B381" s="3">
        <v>45466</v>
      </c>
      <c r="C381" s="1" t="s">
        <v>358</v>
      </c>
      <c r="D381" s="1">
        <v>27</v>
      </c>
      <c r="E381" s="1" t="s">
        <v>32</v>
      </c>
      <c r="F381" s="1" t="s">
        <v>54</v>
      </c>
      <c r="G381" s="1" t="s">
        <v>39</v>
      </c>
      <c r="H381" s="1" t="s">
        <v>59</v>
      </c>
      <c r="I381" s="1">
        <v>1630.5</v>
      </c>
      <c r="J381" s="1">
        <v>14819</v>
      </c>
      <c r="K381" s="1">
        <v>296</v>
      </c>
      <c r="L381" s="1">
        <v>248</v>
      </c>
      <c r="N381" s="1">
        <v>1.997435724</v>
      </c>
      <c r="O381" s="1">
        <v>83.783783779999993</v>
      </c>
      <c r="P381" s="1">
        <f t="shared" si="0"/>
        <v>3</v>
      </c>
    </row>
    <row r="382" spans="1:16" ht="14.25" customHeight="1" x14ac:dyDescent="0.35">
      <c r="A382" s="1" t="s">
        <v>575</v>
      </c>
      <c r="B382" s="3">
        <v>45306</v>
      </c>
      <c r="C382" s="1" t="s">
        <v>576</v>
      </c>
      <c r="D382" s="1">
        <v>63</v>
      </c>
      <c r="E382" s="1" t="s">
        <v>20</v>
      </c>
      <c r="F382" s="1" t="s">
        <v>54</v>
      </c>
      <c r="G382" s="1" t="s">
        <v>22</v>
      </c>
      <c r="H382" s="1" t="s">
        <v>33</v>
      </c>
      <c r="I382" s="1">
        <v>1859.06</v>
      </c>
      <c r="J382" s="1">
        <v>25889</v>
      </c>
      <c r="K382" s="1">
        <v>4113</v>
      </c>
      <c r="L382" s="1">
        <v>49</v>
      </c>
      <c r="N382" s="1">
        <v>15.887056279999999</v>
      </c>
      <c r="O382" s="1">
        <v>1.1913445170000001</v>
      </c>
      <c r="P382" s="1">
        <f t="shared" si="0"/>
        <v>3</v>
      </c>
    </row>
    <row r="383" spans="1:16" ht="14.25" customHeight="1" x14ac:dyDescent="0.35">
      <c r="A383" s="1" t="s">
        <v>577</v>
      </c>
      <c r="B383" s="3">
        <v>45439</v>
      </c>
      <c r="C383" s="1" t="s">
        <v>480</v>
      </c>
      <c r="D383" s="1">
        <v>27</v>
      </c>
      <c r="E383" s="1" t="s">
        <v>26</v>
      </c>
      <c r="F383" s="1" t="s">
        <v>21</v>
      </c>
      <c r="G383" s="1" t="s">
        <v>39</v>
      </c>
      <c r="H383" s="1" t="s">
        <v>23</v>
      </c>
      <c r="I383" s="1">
        <v>593.76</v>
      </c>
      <c r="J383" s="1">
        <v>26916</v>
      </c>
      <c r="K383" s="1">
        <v>43</v>
      </c>
      <c r="L383" s="1">
        <v>261</v>
      </c>
      <c r="M383" s="1">
        <v>3</v>
      </c>
      <c r="N383" s="1">
        <v>0.159756279</v>
      </c>
      <c r="O383" s="1">
        <v>606.97674419999998</v>
      </c>
      <c r="P383" s="1">
        <f t="shared" si="0"/>
        <v>3</v>
      </c>
    </row>
    <row r="384" spans="1:16" ht="14.25" customHeight="1" x14ac:dyDescent="0.35">
      <c r="A384" s="1" t="s">
        <v>578</v>
      </c>
      <c r="B384" s="3">
        <v>45470</v>
      </c>
      <c r="C384" s="1" t="s">
        <v>579</v>
      </c>
      <c r="D384" s="1">
        <v>19</v>
      </c>
      <c r="E384" s="1" t="s">
        <v>26</v>
      </c>
      <c r="F384" s="1" t="s">
        <v>42</v>
      </c>
      <c r="G384" s="1" t="s">
        <v>39</v>
      </c>
      <c r="H384" s="1" t="s">
        <v>33</v>
      </c>
      <c r="I384" s="1">
        <v>1190.57</v>
      </c>
      <c r="J384" s="1">
        <v>34115</v>
      </c>
      <c r="K384" s="1">
        <v>893</v>
      </c>
      <c r="L384" s="1">
        <v>370</v>
      </c>
      <c r="M384" s="1">
        <v>1</v>
      </c>
      <c r="N384" s="1">
        <v>2.6176168839999998</v>
      </c>
      <c r="O384" s="1">
        <v>41.433370660000001</v>
      </c>
      <c r="P384" s="1">
        <f t="shared" si="0"/>
        <v>1</v>
      </c>
    </row>
    <row r="385" spans="1:16" ht="14.25" customHeight="1" x14ac:dyDescent="0.35">
      <c r="A385" s="1" t="s">
        <v>580</v>
      </c>
      <c r="B385" s="3">
        <v>45656</v>
      </c>
      <c r="C385" s="1" t="s">
        <v>581</v>
      </c>
      <c r="D385" s="1">
        <v>38</v>
      </c>
      <c r="E385" s="1" t="s">
        <v>32</v>
      </c>
      <c r="F385" s="1" t="s">
        <v>42</v>
      </c>
      <c r="G385" s="1" t="s">
        <v>28</v>
      </c>
      <c r="H385" s="1" t="s">
        <v>29</v>
      </c>
      <c r="I385" s="1">
        <v>1584.85</v>
      </c>
      <c r="J385" s="1">
        <v>31360</v>
      </c>
      <c r="K385" s="1">
        <v>1662</v>
      </c>
      <c r="L385" s="1">
        <v>272</v>
      </c>
      <c r="M385" s="1">
        <v>3</v>
      </c>
      <c r="N385" s="1">
        <v>5.2997448980000001</v>
      </c>
      <c r="O385" s="1">
        <v>16.365824310000001</v>
      </c>
      <c r="P385" s="1">
        <f t="shared" si="0"/>
        <v>3</v>
      </c>
    </row>
    <row r="386" spans="1:16" ht="14.25" customHeight="1" x14ac:dyDescent="0.35">
      <c r="A386" s="1" t="s">
        <v>582</v>
      </c>
      <c r="B386" s="3">
        <v>45585</v>
      </c>
      <c r="C386" s="1" t="s">
        <v>278</v>
      </c>
      <c r="D386" s="1">
        <v>34</v>
      </c>
      <c r="E386" s="1" t="s">
        <v>20</v>
      </c>
      <c r="F386" s="1" t="s">
        <v>47</v>
      </c>
      <c r="G386" s="1" t="s">
        <v>28</v>
      </c>
      <c r="H386" s="1" t="s">
        <v>33</v>
      </c>
      <c r="I386" s="1">
        <v>404.54</v>
      </c>
      <c r="J386" s="1">
        <v>34807</v>
      </c>
      <c r="K386" s="1">
        <v>2330</v>
      </c>
      <c r="L386" s="1">
        <v>173</v>
      </c>
      <c r="M386" s="1">
        <v>5</v>
      </c>
      <c r="N386" s="1">
        <v>6.6940557930000004</v>
      </c>
      <c r="O386" s="1">
        <v>7.4248927040000003</v>
      </c>
      <c r="P386" s="1">
        <f t="shared" si="0"/>
        <v>5</v>
      </c>
    </row>
    <row r="387" spans="1:16" ht="14.25" customHeight="1" x14ac:dyDescent="0.35">
      <c r="A387" s="1" t="s">
        <v>583</v>
      </c>
      <c r="B387" s="3">
        <v>45605</v>
      </c>
      <c r="C387" s="1" t="s">
        <v>549</v>
      </c>
      <c r="D387" s="1">
        <v>33</v>
      </c>
      <c r="E387" s="1" t="s">
        <v>26</v>
      </c>
      <c r="F387" s="1" t="s">
        <v>54</v>
      </c>
      <c r="G387" s="1" t="s">
        <v>22</v>
      </c>
      <c r="H387" s="1" t="s">
        <v>29</v>
      </c>
      <c r="I387" s="1">
        <v>380.07</v>
      </c>
      <c r="J387" s="1">
        <v>46434</v>
      </c>
      <c r="K387" s="1">
        <v>2145</v>
      </c>
      <c r="L387" s="1">
        <v>174</v>
      </c>
      <c r="M387" s="1">
        <v>4</v>
      </c>
      <c r="N387" s="1">
        <v>4.6194598789999999</v>
      </c>
      <c r="O387" s="1">
        <v>8.1118881120000008</v>
      </c>
      <c r="P387" s="1">
        <f t="shared" si="0"/>
        <v>4</v>
      </c>
    </row>
    <row r="388" spans="1:16" ht="14.25" customHeight="1" x14ac:dyDescent="0.35">
      <c r="A388" s="1" t="s">
        <v>584</v>
      </c>
      <c r="B388" s="3">
        <v>45635</v>
      </c>
      <c r="C388" s="1" t="s">
        <v>200</v>
      </c>
      <c r="D388" s="1">
        <v>64</v>
      </c>
      <c r="E388" s="1" t="s">
        <v>26</v>
      </c>
      <c r="F388" s="1" t="s">
        <v>21</v>
      </c>
      <c r="G388" s="1" t="s">
        <v>22</v>
      </c>
      <c r="H388" s="1" t="s">
        <v>29</v>
      </c>
      <c r="I388" s="1">
        <v>488.34</v>
      </c>
      <c r="J388" s="1">
        <v>39424</v>
      </c>
      <c r="K388" s="1">
        <v>19</v>
      </c>
      <c r="L388" s="1">
        <v>116</v>
      </c>
      <c r="M388" s="1">
        <v>2</v>
      </c>
      <c r="N388" s="1">
        <v>4.8193993999999997E-2</v>
      </c>
      <c r="O388" s="1">
        <v>610.52631580000002</v>
      </c>
      <c r="P388" s="1">
        <f t="shared" si="0"/>
        <v>2</v>
      </c>
    </row>
    <row r="389" spans="1:16" ht="14.25" customHeight="1" x14ac:dyDescent="0.35">
      <c r="A389" s="1" t="s">
        <v>585</v>
      </c>
      <c r="B389" s="3">
        <v>45361</v>
      </c>
      <c r="C389" s="1" t="s">
        <v>586</v>
      </c>
      <c r="D389" s="1">
        <v>60</v>
      </c>
      <c r="E389" s="1" t="s">
        <v>26</v>
      </c>
      <c r="F389" s="1" t="s">
        <v>42</v>
      </c>
      <c r="G389" s="1" t="s">
        <v>43</v>
      </c>
      <c r="H389" s="1" t="s">
        <v>59</v>
      </c>
      <c r="I389" s="1">
        <v>1886.92</v>
      </c>
      <c r="J389" s="1">
        <v>12831</v>
      </c>
      <c r="K389" s="1">
        <v>4655</v>
      </c>
      <c r="L389" s="1">
        <v>178</v>
      </c>
      <c r="M389" s="1">
        <v>4</v>
      </c>
      <c r="N389" s="1">
        <v>36.279323509999998</v>
      </c>
      <c r="O389" s="1">
        <v>3.823845328</v>
      </c>
      <c r="P389" s="1">
        <f t="shared" si="0"/>
        <v>4</v>
      </c>
    </row>
    <row r="390" spans="1:16" ht="14.25" customHeight="1" x14ac:dyDescent="0.35">
      <c r="A390" s="1" t="s">
        <v>587</v>
      </c>
      <c r="B390" s="3">
        <v>45508</v>
      </c>
      <c r="C390" s="1" t="s">
        <v>63</v>
      </c>
      <c r="D390" s="1">
        <v>44</v>
      </c>
      <c r="E390" s="1" t="s">
        <v>20</v>
      </c>
      <c r="F390" s="1" t="s">
        <v>21</v>
      </c>
      <c r="G390" s="1" t="s">
        <v>58</v>
      </c>
      <c r="H390" s="1" t="s">
        <v>23</v>
      </c>
      <c r="I390" s="1">
        <v>1721.71</v>
      </c>
      <c r="J390" s="1">
        <v>9266</v>
      </c>
      <c r="K390" s="1">
        <v>1032</v>
      </c>
      <c r="L390" s="1">
        <v>5</v>
      </c>
      <c r="M390" s="1">
        <v>1</v>
      </c>
      <c r="N390" s="1">
        <v>11.13749191</v>
      </c>
      <c r="O390" s="1">
        <v>0.48449612399999997</v>
      </c>
      <c r="P390" s="1">
        <f t="shared" si="0"/>
        <v>1</v>
      </c>
    </row>
    <row r="391" spans="1:16" ht="14.25" customHeight="1" x14ac:dyDescent="0.35">
      <c r="A391" s="1" t="s">
        <v>588</v>
      </c>
      <c r="B391" s="3">
        <v>45559</v>
      </c>
      <c r="C391" s="1" t="s">
        <v>294</v>
      </c>
      <c r="D391" s="1">
        <v>53</v>
      </c>
      <c r="E391" s="1" t="s">
        <v>32</v>
      </c>
      <c r="F391" s="1" t="s">
        <v>38</v>
      </c>
      <c r="G391" s="1" t="s">
        <v>43</v>
      </c>
      <c r="H391" s="1" t="s">
        <v>59</v>
      </c>
      <c r="I391" s="1">
        <v>1963.04</v>
      </c>
      <c r="J391" s="1">
        <v>25292</v>
      </c>
      <c r="K391" s="1">
        <v>679</v>
      </c>
      <c r="L391" s="1">
        <v>99</v>
      </c>
      <c r="M391" s="1">
        <v>4</v>
      </c>
      <c r="N391" s="1">
        <v>2.6846433649999999</v>
      </c>
      <c r="O391" s="1">
        <v>14.5802651</v>
      </c>
      <c r="P391" s="1">
        <f t="shared" si="0"/>
        <v>4</v>
      </c>
    </row>
    <row r="392" spans="1:16" ht="14.25" customHeight="1" x14ac:dyDescent="0.35">
      <c r="A392" s="1" t="s">
        <v>589</v>
      </c>
      <c r="B392" s="3">
        <v>45318</v>
      </c>
      <c r="C392" s="1" t="s">
        <v>97</v>
      </c>
      <c r="D392" s="1">
        <v>20</v>
      </c>
      <c r="E392" s="1" t="s">
        <v>32</v>
      </c>
      <c r="F392" s="1" t="s">
        <v>27</v>
      </c>
      <c r="G392" s="1" t="s">
        <v>43</v>
      </c>
      <c r="H392" s="1" t="s">
        <v>23</v>
      </c>
      <c r="I392" s="1">
        <v>1672.82</v>
      </c>
      <c r="J392" s="1">
        <v>6780</v>
      </c>
      <c r="K392" s="1">
        <v>2550</v>
      </c>
      <c r="L392" s="1">
        <v>290</v>
      </c>
      <c r="M392" s="1">
        <v>3</v>
      </c>
      <c r="N392" s="1">
        <v>37.610619470000003</v>
      </c>
      <c r="O392" s="1">
        <v>11.372549019999999</v>
      </c>
      <c r="P392" s="1">
        <f t="shared" si="0"/>
        <v>3</v>
      </c>
    </row>
    <row r="393" spans="1:16" ht="14.25" customHeight="1" x14ac:dyDescent="0.35">
      <c r="A393" s="1" t="s">
        <v>590</v>
      </c>
      <c r="B393" s="3">
        <v>45582</v>
      </c>
      <c r="C393" s="1" t="s">
        <v>152</v>
      </c>
      <c r="D393" s="1">
        <v>37</v>
      </c>
      <c r="E393" s="1" t="s">
        <v>26</v>
      </c>
      <c r="F393" s="1" t="s">
        <v>42</v>
      </c>
      <c r="G393" s="1" t="s">
        <v>58</v>
      </c>
      <c r="H393" s="1" t="s">
        <v>29</v>
      </c>
      <c r="I393" s="1">
        <v>1215.46</v>
      </c>
      <c r="J393" s="1">
        <v>43063</v>
      </c>
      <c r="K393" s="1">
        <v>2587</v>
      </c>
      <c r="L393" s="1">
        <v>126</v>
      </c>
      <c r="M393" s="1">
        <v>4</v>
      </c>
      <c r="N393" s="1">
        <v>6.0074774169999996</v>
      </c>
      <c r="O393" s="1">
        <v>4.870506378</v>
      </c>
      <c r="P393" s="1">
        <f t="shared" si="0"/>
        <v>4</v>
      </c>
    </row>
    <row r="394" spans="1:16" ht="14.25" customHeight="1" x14ac:dyDescent="0.35">
      <c r="A394" s="1" t="s">
        <v>591</v>
      </c>
      <c r="B394" s="3">
        <v>45372</v>
      </c>
      <c r="C394" s="1" t="s">
        <v>592</v>
      </c>
      <c r="D394" s="1">
        <v>23</v>
      </c>
      <c r="E394" s="1" t="s">
        <v>26</v>
      </c>
      <c r="F394" s="1" t="s">
        <v>42</v>
      </c>
      <c r="G394" s="1" t="s">
        <v>43</v>
      </c>
      <c r="H394" s="1" t="s">
        <v>29</v>
      </c>
      <c r="I394" s="1">
        <v>1326.52</v>
      </c>
      <c r="J394" s="1">
        <v>37884</v>
      </c>
      <c r="K394" s="1">
        <v>4681</v>
      </c>
      <c r="L394" s="1">
        <v>376</v>
      </c>
      <c r="M394" s="1">
        <v>4</v>
      </c>
      <c r="N394" s="1">
        <v>12.356139799999999</v>
      </c>
      <c r="O394" s="1">
        <v>8.0324716939999998</v>
      </c>
      <c r="P394" s="1">
        <f t="shared" si="0"/>
        <v>4</v>
      </c>
    </row>
    <row r="395" spans="1:16" ht="14.25" customHeight="1" x14ac:dyDescent="0.35">
      <c r="A395" s="1" t="s">
        <v>593</v>
      </c>
      <c r="B395" s="3">
        <v>45589</v>
      </c>
      <c r="C395" s="1" t="s">
        <v>406</v>
      </c>
      <c r="D395" s="1">
        <v>31</v>
      </c>
      <c r="E395" s="1" t="s">
        <v>32</v>
      </c>
      <c r="F395" s="1" t="s">
        <v>27</v>
      </c>
      <c r="G395" s="1" t="s">
        <v>39</v>
      </c>
      <c r="H395" s="1" t="s">
        <v>33</v>
      </c>
      <c r="I395" s="1">
        <v>965.16</v>
      </c>
      <c r="J395" s="1">
        <v>19188</v>
      </c>
      <c r="K395" s="1">
        <v>4587</v>
      </c>
      <c r="L395" s="1">
        <v>166</v>
      </c>
      <c r="M395" s="1">
        <v>1</v>
      </c>
      <c r="N395" s="1">
        <v>23.905565979999999</v>
      </c>
      <c r="O395" s="1">
        <v>3.6189230430000001</v>
      </c>
      <c r="P395" s="1">
        <f t="shared" si="0"/>
        <v>1</v>
      </c>
    </row>
    <row r="396" spans="1:16" ht="14.25" customHeight="1" x14ac:dyDescent="0.35">
      <c r="A396" s="1" t="s">
        <v>594</v>
      </c>
      <c r="B396" s="3">
        <v>45631</v>
      </c>
      <c r="C396" s="1" t="s">
        <v>595</v>
      </c>
      <c r="D396" s="1">
        <v>20</v>
      </c>
      <c r="E396" s="1" t="s">
        <v>26</v>
      </c>
      <c r="F396" s="1" t="s">
        <v>21</v>
      </c>
      <c r="G396" s="1" t="s">
        <v>43</v>
      </c>
      <c r="H396" s="1" t="s">
        <v>59</v>
      </c>
      <c r="I396" s="1">
        <v>1343.22</v>
      </c>
      <c r="J396" s="1">
        <v>23900</v>
      </c>
      <c r="K396" s="1">
        <v>3461</v>
      </c>
      <c r="L396" s="1">
        <v>48</v>
      </c>
      <c r="M396" s="1">
        <v>2</v>
      </c>
      <c r="N396" s="1">
        <v>14.481171549999999</v>
      </c>
      <c r="O396" s="1">
        <v>1.3868824040000001</v>
      </c>
      <c r="P396" s="1">
        <f t="shared" si="0"/>
        <v>2</v>
      </c>
    </row>
    <row r="397" spans="1:16" ht="14.25" customHeight="1" x14ac:dyDescent="0.35">
      <c r="A397" s="1" t="s">
        <v>596</v>
      </c>
      <c r="B397" s="3">
        <v>45582</v>
      </c>
      <c r="C397" s="1" t="s">
        <v>321</v>
      </c>
      <c r="D397" s="1">
        <v>50</v>
      </c>
      <c r="E397" s="1" t="s">
        <v>32</v>
      </c>
      <c r="F397" s="1" t="s">
        <v>21</v>
      </c>
      <c r="G397" s="1" t="s">
        <v>39</v>
      </c>
      <c r="H397" s="1" t="s">
        <v>59</v>
      </c>
      <c r="I397" s="1">
        <v>1474.27</v>
      </c>
      <c r="J397" s="1">
        <v>25943</v>
      </c>
      <c r="K397" s="1">
        <v>166</v>
      </c>
      <c r="L397" s="1">
        <v>69</v>
      </c>
      <c r="N397" s="1">
        <v>0.63986431799999999</v>
      </c>
      <c r="O397" s="1">
        <v>41.566265059999999</v>
      </c>
      <c r="P397" s="1">
        <f t="shared" si="0"/>
        <v>3</v>
      </c>
    </row>
    <row r="398" spans="1:16" ht="14.25" customHeight="1" x14ac:dyDescent="0.35">
      <c r="A398" s="1" t="s">
        <v>597</v>
      </c>
      <c r="B398" s="3">
        <v>45622</v>
      </c>
      <c r="C398" s="1" t="s">
        <v>175</v>
      </c>
      <c r="D398" s="1">
        <v>58</v>
      </c>
      <c r="E398" s="1" t="s">
        <v>26</v>
      </c>
      <c r="F398" s="1" t="s">
        <v>42</v>
      </c>
      <c r="G398" s="1" t="s">
        <v>43</v>
      </c>
      <c r="H398" s="1" t="s">
        <v>23</v>
      </c>
      <c r="I398" s="1">
        <v>1337.69</v>
      </c>
      <c r="J398" s="1">
        <v>46340</v>
      </c>
      <c r="K398" s="1">
        <v>2518</v>
      </c>
      <c r="L398" s="1">
        <v>74</v>
      </c>
      <c r="M398" s="1">
        <v>1</v>
      </c>
      <c r="N398" s="1">
        <v>5.433750539</v>
      </c>
      <c r="O398" s="1">
        <v>2.9388403489999999</v>
      </c>
      <c r="P398" s="1">
        <f t="shared" si="0"/>
        <v>1</v>
      </c>
    </row>
    <row r="399" spans="1:16" ht="14.25" customHeight="1" x14ac:dyDescent="0.35">
      <c r="A399" s="1" t="s">
        <v>598</v>
      </c>
      <c r="B399" s="3">
        <v>45616</v>
      </c>
      <c r="C399" s="1" t="s">
        <v>242</v>
      </c>
      <c r="D399" s="1">
        <v>56</v>
      </c>
      <c r="E399" s="1" t="s">
        <v>32</v>
      </c>
      <c r="F399" s="1" t="s">
        <v>42</v>
      </c>
      <c r="G399" s="1" t="s">
        <v>22</v>
      </c>
      <c r="H399" s="1" t="s">
        <v>29</v>
      </c>
      <c r="I399" s="1">
        <v>527.01</v>
      </c>
      <c r="J399" s="1">
        <v>13457</v>
      </c>
      <c r="K399" s="1">
        <v>954</v>
      </c>
      <c r="L399" s="1">
        <v>158</v>
      </c>
      <c r="M399" s="1">
        <v>3</v>
      </c>
      <c r="N399" s="1">
        <v>7.089247232</v>
      </c>
      <c r="O399" s="1">
        <v>16.561844860000001</v>
      </c>
      <c r="P399" s="1">
        <f t="shared" si="0"/>
        <v>3</v>
      </c>
    </row>
    <row r="400" spans="1:16" ht="14.25" customHeight="1" x14ac:dyDescent="0.35">
      <c r="A400" s="1" t="s">
        <v>599</v>
      </c>
      <c r="B400" s="3">
        <v>45487</v>
      </c>
      <c r="C400" s="1" t="s">
        <v>468</v>
      </c>
      <c r="D400" s="1">
        <v>49</v>
      </c>
      <c r="E400" s="1" t="s">
        <v>20</v>
      </c>
      <c r="F400" s="1" t="s">
        <v>21</v>
      </c>
      <c r="G400" s="1" t="s">
        <v>22</v>
      </c>
      <c r="H400" s="1" t="s">
        <v>29</v>
      </c>
      <c r="I400" s="1">
        <v>1529.78</v>
      </c>
      <c r="J400" s="1">
        <v>10748</v>
      </c>
      <c r="K400" s="1">
        <v>1939</v>
      </c>
      <c r="L400" s="1">
        <v>202</v>
      </c>
      <c r="M400" s="1">
        <v>5</v>
      </c>
      <c r="N400" s="1">
        <v>18.040565690000001</v>
      </c>
      <c r="O400" s="1">
        <v>10.417741100000001</v>
      </c>
      <c r="P400" s="1">
        <f t="shared" si="0"/>
        <v>5</v>
      </c>
    </row>
    <row r="401" spans="1:21" ht="14.25" customHeight="1" x14ac:dyDescent="0.35">
      <c r="A401" s="1" t="s">
        <v>600</v>
      </c>
      <c r="B401" s="3">
        <v>45296</v>
      </c>
      <c r="C401" s="1" t="s">
        <v>68</v>
      </c>
      <c r="D401" s="1">
        <v>29</v>
      </c>
      <c r="E401" s="1" t="s">
        <v>20</v>
      </c>
      <c r="F401" s="1" t="s">
        <v>54</v>
      </c>
      <c r="G401" s="1" t="s">
        <v>22</v>
      </c>
      <c r="H401" s="1" t="s">
        <v>23</v>
      </c>
      <c r="I401" s="1">
        <v>569.30999999999995</v>
      </c>
      <c r="J401" s="1">
        <v>21418</v>
      </c>
      <c r="K401" s="1">
        <v>2309</v>
      </c>
      <c r="L401" s="1">
        <v>188</v>
      </c>
      <c r="M401" s="1">
        <v>2</v>
      </c>
      <c r="N401" s="1">
        <v>10.78065179</v>
      </c>
      <c r="O401" s="1">
        <v>8.1420528369999996</v>
      </c>
      <c r="P401" s="1">
        <f t="shared" si="0"/>
        <v>2</v>
      </c>
    </row>
    <row r="402" spans="1:21" ht="14.25" customHeight="1" x14ac:dyDescent="0.35">
      <c r="A402" s="1" t="s">
        <v>601</v>
      </c>
      <c r="B402" s="3">
        <v>45396</v>
      </c>
      <c r="C402" s="1" t="s">
        <v>388</v>
      </c>
      <c r="D402" s="1">
        <v>40</v>
      </c>
      <c r="E402" s="1" t="s">
        <v>20</v>
      </c>
      <c r="F402" s="1" t="s">
        <v>42</v>
      </c>
      <c r="G402" s="1" t="s">
        <v>28</v>
      </c>
      <c r="H402" s="1" t="s">
        <v>33</v>
      </c>
      <c r="I402" s="1">
        <v>1267.24</v>
      </c>
      <c r="J402" s="1">
        <v>12945</v>
      </c>
      <c r="K402" s="1">
        <v>3132</v>
      </c>
      <c r="L402" s="1">
        <v>382</v>
      </c>
      <c r="M402" s="1">
        <v>2</v>
      </c>
      <c r="N402" s="1">
        <v>24.19466976</v>
      </c>
      <c r="O402" s="1">
        <v>12.19667944</v>
      </c>
      <c r="P402" s="1">
        <f t="shared" si="0"/>
        <v>2</v>
      </c>
    </row>
    <row r="403" spans="1:21" ht="14.25" customHeight="1" x14ac:dyDescent="0.35">
      <c r="A403" s="1" t="s">
        <v>602</v>
      </c>
      <c r="B403" s="3">
        <v>45427</v>
      </c>
      <c r="C403" s="1" t="s">
        <v>500</v>
      </c>
      <c r="D403" s="1">
        <v>18</v>
      </c>
      <c r="E403" s="1" t="s">
        <v>26</v>
      </c>
      <c r="F403" s="1" t="s">
        <v>21</v>
      </c>
      <c r="G403" s="1" t="s">
        <v>43</v>
      </c>
      <c r="H403" s="1" t="s">
        <v>33</v>
      </c>
      <c r="I403" s="1">
        <v>1328.31</v>
      </c>
      <c r="J403" s="1">
        <v>30349</v>
      </c>
      <c r="K403" s="1">
        <v>497</v>
      </c>
      <c r="L403" s="1">
        <v>170</v>
      </c>
      <c r="M403" s="1">
        <v>3</v>
      </c>
      <c r="N403" s="1">
        <v>1.637615737</v>
      </c>
      <c r="O403" s="1">
        <v>34.205231390000002</v>
      </c>
      <c r="P403" s="1">
        <f t="shared" si="0"/>
        <v>3</v>
      </c>
    </row>
    <row r="404" spans="1:21" ht="14.25" customHeight="1" x14ac:dyDescent="0.35">
      <c r="A404" s="1" t="s">
        <v>603</v>
      </c>
      <c r="B404" s="3">
        <v>45526</v>
      </c>
      <c r="C404" s="1" t="s">
        <v>415</v>
      </c>
      <c r="D404" s="1">
        <v>39</v>
      </c>
      <c r="E404" s="1" t="s">
        <v>32</v>
      </c>
      <c r="F404" s="1" t="s">
        <v>54</v>
      </c>
      <c r="G404" s="1" t="s">
        <v>58</v>
      </c>
      <c r="H404" s="1" t="s">
        <v>59</v>
      </c>
      <c r="I404" s="1">
        <v>672.84</v>
      </c>
      <c r="J404" s="1">
        <v>24935</v>
      </c>
      <c r="K404" s="1">
        <v>3298</v>
      </c>
      <c r="L404" s="1">
        <v>351</v>
      </c>
      <c r="M404" s="1">
        <v>3</v>
      </c>
      <c r="N404" s="1">
        <v>13.226388610000001</v>
      </c>
      <c r="O404" s="1">
        <v>10.64281383</v>
      </c>
      <c r="P404" s="1">
        <f t="shared" si="0"/>
        <v>3</v>
      </c>
    </row>
    <row r="405" spans="1:21" ht="14.25" customHeight="1" x14ac:dyDescent="0.35">
      <c r="A405" s="1" t="s">
        <v>604</v>
      </c>
      <c r="B405" s="3">
        <v>45606</v>
      </c>
      <c r="C405" s="1" t="s">
        <v>280</v>
      </c>
      <c r="D405" s="1">
        <v>61</v>
      </c>
      <c r="E405" s="1" t="s">
        <v>20</v>
      </c>
      <c r="F405" s="1" t="s">
        <v>27</v>
      </c>
      <c r="G405" s="1" t="s">
        <v>43</v>
      </c>
      <c r="H405" s="1" t="s">
        <v>29</v>
      </c>
      <c r="I405" s="1">
        <v>1703.51</v>
      </c>
      <c r="J405" s="1">
        <v>4577</v>
      </c>
      <c r="K405" s="1">
        <v>1433</v>
      </c>
      <c r="L405" s="1">
        <v>266</v>
      </c>
      <c r="M405" s="1">
        <v>3</v>
      </c>
      <c r="N405" s="1">
        <v>31.3087175</v>
      </c>
      <c r="O405" s="1">
        <v>18.562456390000001</v>
      </c>
      <c r="P405" s="1">
        <f t="shared" si="0"/>
        <v>3</v>
      </c>
    </row>
    <row r="406" spans="1:21" ht="14.25" customHeight="1" x14ac:dyDescent="0.35">
      <c r="A406" s="1" t="s">
        <v>605</v>
      </c>
      <c r="B406" s="3">
        <v>45404</v>
      </c>
      <c r="C406" s="1" t="s">
        <v>316</v>
      </c>
      <c r="D406" s="1">
        <v>19</v>
      </c>
      <c r="E406" s="1" t="s">
        <v>26</v>
      </c>
      <c r="F406" s="1" t="s">
        <v>54</v>
      </c>
      <c r="G406" s="1" t="s">
        <v>43</v>
      </c>
      <c r="H406" s="1" t="s">
        <v>29</v>
      </c>
      <c r="I406" s="1">
        <v>1595.88</v>
      </c>
      <c r="J406" s="1">
        <v>17971</v>
      </c>
      <c r="K406" s="1">
        <v>4601</v>
      </c>
      <c r="L406" s="1">
        <v>368</v>
      </c>
      <c r="M406" s="1">
        <v>4</v>
      </c>
      <c r="N406" s="1">
        <v>25.602359360000001</v>
      </c>
      <c r="O406" s="1">
        <v>7.9982612480000004</v>
      </c>
      <c r="P406" s="1">
        <f t="shared" si="0"/>
        <v>4</v>
      </c>
    </row>
    <row r="407" spans="1:21" ht="14.25" customHeight="1" x14ac:dyDescent="0.35">
      <c r="A407" s="1" t="s">
        <v>606</v>
      </c>
      <c r="B407" s="3">
        <v>45550</v>
      </c>
      <c r="C407" s="1" t="s">
        <v>163</v>
      </c>
      <c r="D407" s="1">
        <v>32</v>
      </c>
      <c r="E407" s="1" t="s">
        <v>20</v>
      </c>
      <c r="F407" s="1" t="s">
        <v>21</v>
      </c>
      <c r="G407" s="1" t="s">
        <v>43</v>
      </c>
      <c r="H407" s="1" t="s">
        <v>59</v>
      </c>
      <c r="I407" s="1">
        <v>1850.68</v>
      </c>
      <c r="J407" s="1">
        <v>2645</v>
      </c>
      <c r="K407" s="1">
        <v>3383</v>
      </c>
      <c r="L407" s="1">
        <v>152</v>
      </c>
      <c r="M407" s="1">
        <v>3</v>
      </c>
      <c r="N407" s="1">
        <v>127.9017013</v>
      </c>
      <c r="O407" s="1">
        <v>4.4930535029999996</v>
      </c>
      <c r="P407" s="1">
        <f t="shared" si="0"/>
        <v>3</v>
      </c>
      <c r="U407" s="1">
        <f>COUNTIF(N403:N1000, N407&gt;100)</f>
        <v>0</v>
      </c>
    </row>
    <row r="408" spans="1:21" ht="14.25" customHeight="1" x14ac:dyDescent="0.35">
      <c r="A408" s="1" t="s">
        <v>607</v>
      </c>
      <c r="B408" s="3">
        <v>45587</v>
      </c>
      <c r="C408" s="1" t="s">
        <v>480</v>
      </c>
      <c r="D408" s="1">
        <v>36</v>
      </c>
      <c r="E408" s="1" t="s">
        <v>32</v>
      </c>
      <c r="F408" s="1" t="s">
        <v>47</v>
      </c>
      <c r="G408" s="1" t="s">
        <v>22</v>
      </c>
      <c r="H408" s="1" t="s">
        <v>59</v>
      </c>
      <c r="I408" s="1">
        <v>476.13</v>
      </c>
      <c r="J408" s="1">
        <v>10856</v>
      </c>
      <c r="K408" s="1">
        <v>424</v>
      </c>
      <c r="L408" s="1">
        <v>243</v>
      </c>
      <c r="M408" s="1">
        <v>2</v>
      </c>
      <c r="N408" s="1">
        <v>3.9056742820000001</v>
      </c>
      <c r="O408" s="1">
        <v>57.31132075</v>
      </c>
      <c r="P408" s="1">
        <f t="shared" si="0"/>
        <v>2</v>
      </c>
    </row>
    <row r="409" spans="1:21" ht="14.25" customHeight="1" x14ac:dyDescent="0.35">
      <c r="A409" s="1" t="s">
        <v>608</v>
      </c>
      <c r="B409" s="3">
        <v>45622</v>
      </c>
      <c r="C409" s="1" t="s">
        <v>89</v>
      </c>
      <c r="D409" s="1">
        <v>53</v>
      </c>
      <c r="E409" s="1" t="s">
        <v>26</v>
      </c>
      <c r="F409" s="1" t="s">
        <v>42</v>
      </c>
      <c r="G409" s="1" t="s">
        <v>22</v>
      </c>
      <c r="H409" s="1" t="s">
        <v>29</v>
      </c>
      <c r="I409" s="1">
        <v>941.22</v>
      </c>
      <c r="J409" s="1">
        <v>25031</v>
      </c>
      <c r="K409" s="1">
        <v>4245</v>
      </c>
      <c r="L409" s="1">
        <v>25</v>
      </c>
      <c r="M409" s="1">
        <v>1</v>
      </c>
      <c r="N409" s="1">
        <v>16.958970879999999</v>
      </c>
      <c r="O409" s="1">
        <v>0.58892815099999996</v>
      </c>
      <c r="P409" s="1">
        <f t="shared" si="0"/>
        <v>1</v>
      </c>
    </row>
    <row r="410" spans="1:21" ht="14.25" customHeight="1" x14ac:dyDescent="0.35">
      <c r="A410" s="1" t="s">
        <v>609</v>
      </c>
      <c r="B410" s="3">
        <v>45364</v>
      </c>
      <c r="C410" s="1" t="s">
        <v>25</v>
      </c>
      <c r="D410" s="1">
        <v>28</v>
      </c>
      <c r="E410" s="1" t="s">
        <v>32</v>
      </c>
      <c r="F410" s="1" t="s">
        <v>42</v>
      </c>
      <c r="G410" s="1" t="s">
        <v>58</v>
      </c>
      <c r="H410" s="1" t="s">
        <v>59</v>
      </c>
      <c r="I410" s="1">
        <v>148.41</v>
      </c>
      <c r="J410" s="1">
        <v>5305</v>
      </c>
      <c r="K410" s="1">
        <v>4529</v>
      </c>
      <c r="L410" s="1">
        <v>82</v>
      </c>
      <c r="M410" s="1">
        <v>5</v>
      </c>
      <c r="N410" s="1">
        <v>85.372290289999995</v>
      </c>
      <c r="O410" s="1">
        <v>1.8105542059999999</v>
      </c>
      <c r="P410" s="1">
        <f t="shared" si="0"/>
        <v>5</v>
      </c>
    </row>
    <row r="411" spans="1:21" ht="14.25" customHeight="1" x14ac:dyDescent="0.35">
      <c r="A411" s="1" t="s">
        <v>610</v>
      </c>
      <c r="B411" s="3">
        <v>45641</v>
      </c>
      <c r="C411" s="1" t="s">
        <v>120</v>
      </c>
      <c r="D411" s="1">
        <v>52</v>
      </c>
      <c r="E411" s="1" t="s">
        <v>20</v>
      </c>
      <c r="F411" s="1" t="s">
        <v>21</v>
      </c>
      <c r="G411" s="1" t="s">
        <v>43</v>
      </c>
      <c r="H411" s="1" t="s">
        <v>29</v>
      </c>
      <c r="I411" s="1">
        <v>1066.8800000000001</v>
      </c>
      <c r="J411" s="1">
        <v>1825</v>
      </c>
      <c r="K411" s="1">
        <v>3250</v>
      </c>
      <c r="L411" s="1">
        <v>309</v>
      </c>
      <c r="M411" s="1">
        <v>2</v>
      </c>
      <c r="N411" s="1">
        <v>178.0821918</v>
      </c>
      <c r="O411" s="1">
        <v>9.5076923079999993</v>
      </c>
      <c r="P411" s="1">
        <f t="shared" si="0"/>
        <v>2</v>
      </c>
      <c r="U411" s="1">
        <f>COUNTIF(N407:N1000, N411&gt;100)</f>
        <v>0</v>
      </c>
    </row>
    <row r="412" spans="1:21" ht="14.25" customHeight="1" x14ac:dyDescent="0.35">
      <c r="A412" s="1" t="s">
        <v>611</v>
      </c>
      <c r="B412" s="3">
        <v>45296</v>
      </c>
      <c r="C412" s="1" t="s">
        <v>292</v>
      </c>
      <c r="D412" s="1">
        <v>24</v>
      </c>
      <c r="E412" s="1" t="s">
        <v>32</v>
      </c>
      <c r="F412" s="1" t="s">
        <v>38</v>
      </c>
      <c r="G412" s="1" t="s">
        <v>43</v>
      </c>
      <c r="H412" s="1" t="s">
        <v>29</v>
      </c>
      <c r="I412" s="1">
        <v>760.25</v>
      </c>
      <c r="J412" s="1">
        <v>9474</v>
      </c>
      <c r="K412" s="1">
        <v>3158</v>
      </c>
      <c r="L412" s="1">
        <v>369</v>
      </c>
      <c r="M412" s="1">
        <v>1</v>
      </c>
      <c r="N412" s="1">
        <v>33.333333330000002</v>
      </c>
      <c r="O412" s="1">
        <v>11.684610510000001</v>
      </c>
      <c r="P412" s="1">
        <f t="shared" si="0"/>
        <v>1</v>
      </c>
    </row>
    <row r="413" spans="1:21" ht="14.25" customHeight="1" x14ac:dyDescent="0.35">
      <c r="A413" s="1" t="s">
        <v>612</v>
      </c>
      <c r="B413" s="3">
        <v>45292</v>
      </c>
      <c r="C413" s="1" t="s">
        <v>120</v>
      </c>
      <c r="D413" s="1">
        <v>28</v>
      </c>
      <c r="E413" s="1" t="s">
        <v>26</v>
      </c>
      <c r="F413" s="1" t="s">
        <v>54</v>
      </c>
      <c r="G413" s="1" t="s">
        <v>22</v>
      </c>
      <c r="H413" s="1" t="s">
        <v>33</v>
      </c>
      <c r="I413" s="1">
        <v>1768.66</v>
      </c>
      <c r="J413" s="1">
        <v>29556</v>
      </c>
      <c r="K413" s="1">
        <v>1515</v>
      </c>
      <c r="L413" s="1">
        <v>72</v>
      </c>
      <c r="M413" s="1">
        <v>1</v>
      </c>
      <c r="N413" s="1">
        <v>5.1258627690000003</v>
      </c>
      <c r="O413" s="1">
        <v>4.7524752479999997</v>
      </c>
      <c r="P413" s="1">
        <f t="shared" si="0"/>
        <v>1</v>
      </c>
    </row>
    <row r="414" spans="1:21" ht="14.25" customHeight="1" x14ac:dyDescent="0.35">
      <c r="A414" s="1" t="s">
        <v>613</v>
      </c>
      <c r="B414" s="3">
        <v>45472</v>
      </c>
      <c r="C414" s="1" t="s">
        <v>276</v>
      </c>
      <c r="D414" s="1">
        <v>64</v>
      </c>
      <c r="E414" s="1" t="s">
        <v>20</v>
      </c>
      <c r="F414" s="1" t="s">
        <v>42</v>
      </c>
      <c r="G414" s="1" t="s">
        <v>39</v>
      </c>
      <c r="H414" s="1" t="s">
        <v>59</v>
      </c>
      <c r="I414" s="1">
        <v>1906.47</v>
      </c>
      <c r="J414" s="1">
        <v>11072</v>
      </c>
      <c r="K414" s="1">
        <v>506</v>
      </c>
      <c r="L414" s="1">
        <v>313</v>
      </c>
      <c r="M414" s="1">
        <v>3</v>
      </c>
      <c r="N414" s="1">
        <v>4.5700867049999996</v>
      </c>
      <c r="O414" s="1">
        <v>61.857707509999997</v>
      </c>
      <c r="P414" s="1">
        <f t="shared" si="0"/>
        <v>3</v>
      </c>
    </row>
    <row r="415" spans="1:21" ht="14.25" customHeight="1" x14ac:dyDescent="0.35">
      <c r="A415" s="1" t="s">
        <v>614</v>
      </c>
      <c r="B415" s="3">
        <v>45405</v>
      </c>
      <c r="C415" s="1" t="s">
        <v>114</v>
      </c>
      <c r="D415" s="1">
        <v>44</v>
      </c>
      <c r="E415" s="1" t="s">
        <v>20</v>
      </c>
      <c r="F415" s="1" t="s">
        <v>27</v>
      </c>
      <c r="G415" s="1" t="s">
        <v>43</v>
      </c>
      <c r="H415" s="1" t="s">
        <v>59</v>
      </c>
      <c r="I415" s="1">
        <v>1707.42</v>
      </c>
      <c r="J415" s="1">
        <v>23793</v>
      </c>
      <c r="K415" s="1">
        <v>4726</v>
      </c>
      <c r="L415" s="1">
        <v>16</v>
      </c>
      <c r="M415" s="1">
        <v>5</v>
      </c>
      <c r="N415" s="1">
        <v>19.862984910000002</v>
      </c>
      <c r="O415" s="1">
        <v>0.33855268700000002</v>
      </c>
      <c r="P415" s="1">
        <f t="shared" si="0"/>
        <v>5</v>
      </c>
    </row>
    <row r="416" spans="1:21" ht="14.25" customHeight="1" x14ac:dyDescent="0.35">
      <c r="A416" s="1" t="s">
        <v>615</v>
      </c>
      <c r="B416" s="3">
        <v>45312</v>
      </c>
      <c r="C416" s="1" t="s">
        <v>616</v>
      </c>
      <c r="D416" s="1">
        <v>64</v>
      </c>
      <c r="E416" s="1" t="s">
        <v>26</v>
      </c>
      <c r="F416" s="1" t="s">
        <v>54</v>
      </c>
      <c r="G416" s="1" t="s">
        <v>22</v>
      </c>
      <c r="H416" s="1" t="s">
        <v>59</v>
      </c>
      <c r="I416" s="1">
        <v>1671.11</v>
      </c>
      <c r="J416" s="1">
        <v>29809</v>
      </c>
      <c r="K416" s="1">
        <v>1530</v>
      </c>
      <c r="L416" s="1">
        <v>286</v>
      </c>
      <c r="M416" s="1">
        <v>1</v>
      </c>
      <c r="N416" s="1">
        <v>5.13267805</v>
      </c>
      <c r="O416" s="1">
        <v>18.69281046</v>
      </c>
      <c r="P416" s="1">
        <f t="shared" si="0"/>
        <v>1</v>
      </c>
    </row>
    <row r="417" spans="1:21" ht="14.25" customHeight="1" x14ac:dyDescent="0.35">
      <c r="A417" s="1" t="s">
        <v>617</v>
      </c>
      <c r="B417" s="3">
        <v>45416</v>
      </c>
      <c r="C417" s="1" t="s">
        <v>464</v>
      </c>
      <c r="D417" s="1">
        <v>32</v>
      </c>
      <c r="E417" s="1" t="s">
        <v>32</v>
      </c>
      <c r="F417" s="1" t="s">
        <v>42</v>
      </c>
      <c r="G417" s="1" t="s">
        <v>43</v>
      </c>
      <c r="H417" s="1" t="s">
        <v>23</v>
      </c>
      <c r="I417" s="1">
        <v>1260.79</v>
      </c>
      <c r="J417" s="1">
        <v>20759</v>
      </c>
      <c r="K417" s="1">
        <v>3130</v>
      </c>
      <c r="L417" s="1">
        <v>278</v>
      </c>
      <c r="M417" s="1">
        <v>3</v>
      </c>
      <c r="N417" s="1">
        <v>15.07779758</v>
      </c>
      <c r="O417" s="1">
        <v>8.8817891370000002</v>
      </c>
      <c r="P417" s="1">
        <f t="shared" si="0"/>
        <v>3</v>
      </c>
    </row>
    <row r="418" spans="1:21" ht="14.25" customHeight="1" x14ac:dyDescent="0.35">
      <c r="A418" s="1" t="s">
        <v>618</v>
      </c>
      <c r="B418" s="3">
        <v>45323</v>
      </c>
      <c r="C418" s="1" t="s">
        <v>157</v>
      </c>
      <c r="D418" s="1">
        <v>25</v>
      </c>
      <c r="E418" s="1" t="s">
        <v>26</v>
      </c>
      <c r="F418" s="1" t="s">
        <v>21</v>
      </c>
      <c r="G418" s="1" t="s">
        <v>39</v>
      </c>
      <c r="H418" s="1" t="s">
        <v>23</v>
      </c>
      <c r="I418" s="1">
        <v>1477.47</v>
      </c>
      <c r="J418" s="1">
        <v>20498</v>
      </c>
      <c r="K418" s="1">
        <v>4773</v>
      </c>
      <c r="L418" s="1">
        <v>22</v>
      </c>
      <c r="M418" s="1">
        <v>3</v>
      </c>
      <c r="N418" s="1">
        <v>23.285198560000001</v>
      </c>
      <c r="O418" s="1">
        <v>0.46092604199999998</v>
      </c>
      <c r="P418" s="1">
        <f t="shared" si="0"/>
        <v>3</v>
      </c>
    </row>
    <row r="419" spans="1:21" ht="14.25" customHeight="1" x14ac:dyDescent="0.35">
      <c r="A419" s="1" t="s">
        <v>619</v>
      </c>
      <c r="B419" s="3">
        <v>45341</v>
      </c>
      <c r="C419" s="1" t="s">
        <v>620</v>
      </c>
      <c r="D419" s="1">
        <v>47</v>
      </c>
      <c r="E419" s="1" t="s">
        <v>26</v>
      </c>
      <c r="F419" s="1" t="s">
        <v>27</v>
      </c>
      <c r="G419" s="1" t="s">
        <v>43</v>
      </c>
      <c r="H419" s="1" t="s">
        <v>59</v>
      </c>
      <c r="I419" s="1">
        <v>542.73</v>
      </c>
      <c r="J419" s="1">
        <v>13676</v>
      </c>
      <c r="K419" s="1">
        <v>4567</v>
      </c>
      <c r="L419" s="1">
        <v>155</v>
      </c>
      <c r="M419" s="1">
        <v>3</v>
      </c>
      <c r="N419" s="1">
        <v>33.394267329999998</v>
      </c>
      <c r="O419" s="1">
        <v>3.3939128529999998</v>
      </c>
      <c r="P419" s="1">
        <f t="shared" si="0"/>
        <v>3</v>
      </c>
    </row>
    <row r="420" spans="1:21" ht="14.25" customHeight="1" x14ac:dyDescent="0.35">
      <c r="A420" s="1" t="s">
        <v>621</v>
      </c>
      <c r="B420" s="3">
        <v>45526</v>
      </c>
      <c r="C420" s="1" t="s">
        <v>622</v>
      </c>
      <c r="D420" s="1">
        <v>48</v>
      </c>
      <c r="E420" s="1" t="s">
        <v>32</v>
      </c>
      <c r="F420" s="1" t="s">
        <v>27</v>
      </c>
      <c r="G420" s="1" t="s">
        <v>22</v>
      </c>
      <c r="H420" s="1" t="s">
        <v>33</v>
      </c>
      <c r="I420" s="1">
        <v>1534.08</v>
      </c>
      <c r="J420" s="1">
        <v>5411</v>
      </c>
      <c r="K420" s="1">
        <v>2920</v>
      </c>
      <c r="L420" s="1">
        <v>278</v>
      </c>
      <c r="M420" s="1">
        <v>4</v>
      </c>
      <c r="N420" s="1">
        <v>53.964147109999999</v>
      </c>
      <c r="O420" s="1">
        <v>9.5205479450000006</v>
      </c>
      <c r="P420" s="1">
        <f t="shared" si="0"/>
        <v>4</v>
      </c>
    </row>
    <row r="421" spans="1:21" ht="14.25" customHeight="1" x14ac:dyDescent="0.35">
      <c r="A421" s="1" t="s">
        <v>623</v>
      </c>
      <c r="B421" s="3">
        <v>45442</v>
      </c>
      <c r="C421" s="1" t="s">
        <v>144</v>
      </c>
      <c r="D421" s="1">
        <v>60</v>
      </c>
      <c r="E421" s="1" t="s">
        <v>32</v>
      </c>
      <c r="F421" s="1" t="s">
        <v>38</v>
      </c>
      <c r="G421" s="1" t="s">
        <v>58</v>
      </c>
      <c r="H421" s="1" t="s">
        <v>29</v>
      </c>
      <c r="I421" s="1">
        <v>1099.27</v>
      </c>
      <c r="J421" s="1">
        <v>34063</v>
      </c>
      <c r="K421" s="1">
        <v>386</v>
      </c>
      <c r="L421" s="1">
        <v>390</v>
      </c>
      <c r="M421" s="1">
        <v>4</v>
      </c>
      <c r="N421" s="1">
        <v>1.133194375</v>
      </c>
      <c r="O421" s="1">
        <v>101.03626939999999</v>
      </c>
      <c r="P421" s="1">
        <f t="shared" si="0"/>
        <v>4</v>
      </c>
    </row>
    <row r="422" spans="1:21" ht="14.25" customHeight="1" x14ac:dyDescent="0.35">
      <c r="A422" s="1" t="s">
        <v>624</v>
      </c>
      <c r="B422" s="3">
        <v>45450</v>
      </c>
      <c r="C422" s="1" t="s">
        <v>321</v>
      </c>
      <c r="E422" s="1" t="s">
        <v>20</v>
      </c>
      <c r="G422" s="1" t="s">
        <v>28</v>
      </c>
      <c r="H422" s="1" t="s">
        <v>59</v>
      </c>
      <c r="I422" s="1">
        <v>228.11</v>
      </c>
      <c r="J422" s="1">
        <v>8559</v>
      </c>
      <c r="K422" s="1">
        <v>4690</v>
      </c>
      <c r="L422" s="1">
        <v>49</v>
      </c>
      <c r="N422" s="1">
        <v>54.796121040000003</v>
      </c>
      <c r="O422" s="1">
        <v>1.044776119</v>
      </c>
      <c r="P422" s="1">
        <f t="shared" si="0"/>
        <v>3</v>
      </c>
    </row>
    <row r="423" spans="1:21" ht="14.25" customHeight="1" x14ac:dyDescent="0.35">
      <c r="A423" s="1" t="s">
        <v>625</v>
      </c>
      <c r="B423" s="3">
        <v>45406</v>
      </c>
      <c r="C423" s="1" t="s">
        <v>229</v>
      </c>
      <c r="D423" s="1">
        <v>42</v>
      </c>
      <c r="E423" s="1" t="s">
        <v>26</v>
      </c>
      <c r="F423" s="1" t="s">
        <v>27</v>
      </c>
      <c r="G423" s="1" t="s">
        <v>28</v>
      </c>
      <c r="H423" s="1" t="s">
        <v>33</v>
      </c>
      <c r="I423" s="1">
        <v>1658.51</v>
      </c>
      <c r="J423" s="1">
        <v>1905</v>
      </c>
      <c r="K423" s="1">
        <v>3016</v>
      </c>
      <c r="L423" s="1">
        <v>365</v>
      </c>
      <c r="M423" s="1">
        <v>5</v>
      </c>
      <c r="N423" s="1">
        <v>158.32021</v>
      </c>
      <c r="O423" s="1">
        <v>12.102122019999999</v>
      </c>
      <c r="P423" s="1">
        <f t="shared" si="0"/>
        <v>5</v>
      </c>
      <c r="U423" s="1">
        <f>COUNTIF(N419:N1000, N423&gt;100)</f>
        <v>0</v>
      </c>
    </row>
    <row r="424" spans="1:21" ht="14.25" customHeight="1" x14ac:dyDescent="0.35">
      <c r="A424" s="1" t="s">
        <v>626</v>
      </c>
      <c r="B424" s="3">
        <v>45612</v>
      </c>
      <c r="C424" s="1" t="s">
        <v>178</v>
      </c>
      <c r="D424" s="1">
        <v>62</v>
      </c>
      <c r="E424" s="1" t="s">
        <v>32</v>
      </c>
      <c r="F424" s="1" t="s">
        <v>21</v>
      </c>
      <c r="G424" s="1" t="s">
        <v>43</v>
      </c>
      <c r="H424" s="1" t="s">
        <v>33</v>
      </c>
      <c r="I424" s="1">
        <v>1462.9</v>
      </c>
      <c r="J424" s="1">
        <v>10830</v>
      </c>
      <c r="K424" s="1">
        <v>2967</v>
      </c>
      <c r="L424" s="1">
        <v>26</v>
      </c>
      <c r="M424" s="1">
        <v>3</v>
      </c>
      <c r="N424" s="1">
        <v>27.396121879999999</v>
      </c>
      <c r="O424" s="1">
        <v>0.87630603299999998</v>
      </c>
      <c r="P424" s="1">
        <f t="shared" si="0"/>
        <v>3</v>
      </c>
    </row>
    <row r="425" spans="1:21" ht="14.25" customHeight="1" x14ac:dyDescent="0.35">
      <c r="A425" s="1" t="s">
        <v>627</v>
      </c>
      <c r="B425" s="3">
        <v>45454</v>
      </c>
      <c r="C425" s="1" t="s">
        <v>242</v>
      </c>
      <c r="D425" s="1">
        <v>26</v>
      </c>
      <c r="E425" s="1" t="s">
        <v>20</v>
      </c>
      <c r="F425" s="1" t="s">
        <v>38</v>
      </c>
      <c r="G425" s="1" t="s">
        <v>39</v>
      </c>
      <c r="H425" s="1" t="s">
        <v>33</v>
      </c>
      <c r="I425" s="1">
        <v>1303.29</v>
      </c>
      <c r="J425" s="1">
        <v>14707</v>
      </c>
      <c r="K425" s="1">
        <v>3119</v>
      </c>
      <c r="L425" s="1">
        <v>257</v>
      </c>
      <c r="M425" s="1">
        <v>3</v>
      </c>
      <c r="N425" s="1">
        <v>21.207588220000002</v>
      </c>
      <c r="O425" s="1">
        <v>8.2398204550000003</v>
      </c>
      <c r="P425" s="1">
        <f t="shared" si="0"/>
        <v>3</v>
      </c>
    </row>
    <row r="426" spans="1:21" ht="14.25" customHeight="1" x14ac:dyDescent="0.35">
      <c r="A426" s="1" t="s">
        <v>628</v>
      </c>
      <c r="B426" s="3">
        <v>45376</v>
      </c>
      <c r="C426" s="1" t="s">
        <v>579</v>
      </c>
      <c r="E426" s="1" t="s">
        <v>32</v>
      </c>
      <c r="G426" s="1" t="s">
        <v>22</v>
      </c>
      <c r="H426" s="1" t="s">
        <v>29</v>
      </c>
      <c r="I426" s="1">
        <v>1429.08</v>
      </c>
      <c r="J426" s="1">
        <v>42077</v>
      </c>
      <c r="K426" s="1">
        <v>3878</v>
      </c>
      <c r="L426" s="1">
        <v>297</v>
      </c>
      <c r="N426" s="1">
        <v>9.2164365329999995</v>
      </c>
      <c r="O426" s="1">
        <v>7.6585869000000004</v>
      </c>
      <c r="P426" s="1">
        <f t="shared" si="0"/>
        <v>3</v>
      </c>
    </row>
    <row r="427" spans="1:21" ht="14.25" customHeight="1" x14ac:dyDescent="0.35">
      <c r="A427" s="1" t="s">
        <v>629</v>
      </c>
      <c r="B427" s="3">
        <v>45371</v>
      </c>
      <c r="C427" s="1" t="s">
        <v>537</v>
      </c>
      <c r="D427" s="1">
        <v>49</v>
      </c>
      <c r="E427" s="1" t="s">
        <v>26</v>
      </c>
      <c r="F427" s="1" t="s">
        <v>47</v>
      </c>
      <c r="G427" s="1" t="s">
        <v>28</v>
      </c>
      <c r="H427" s="1" t="s">
        <v>29</v>
      </c>
      <c r="I427" s="1">
        <v>1538.3</v>
      </c>
      <c r="J427" s="1">
        <v>22233</v>
      </c>
      <c r="K427" s="1">
        <v>4466</v>
      </c>
      <c r="L427" s="1">
        <v>98</v>
      </c>
      <c r="M427" s="1">
        <v>1</v>
      </c>
      <c r="N427" s="1">
        <v>20.08725768</v>
      </c>
      <c r="O427" s="1">
        <v>2.1943573669999998</v>
      </c>
      <c r="P427" s="1">
        <f t="shared" si="0"/>
        <v>1</v>
      </c>
    </row>
    <row r="428" spans="1:21" ht="14.25" customHeight="1" x14ac:dyDescent="0.35">
      <c r="A428" s="1" t="s">
        <v>630</v>
      </c>
      <c r="B428" s="3">
        <v>45292</v>
      </c>
      <c r="C428" s="1" t="s">
        <v>581</v>
      </c>
      <c r="D428" s="1">
        <v>59</v>
      </c>
      <c r="E428" s="1" t="s">
        <v>20</v>
      </c>
      <c r="F428" s="1" t="s">
        <v>27</v>
      </c>
      <c r="G428" s="1" t="s">
        <v>39</v>
      </c>
      <c r="H428" s="1" t="s">
        <v>29</v>
      </c>
      <c r="I428" s="1">
        <v>383.23</v>
      </c>
      <c r="J428" s="1">
        <v>18256</v>
      </c>
      <c r="K428" s="1">
        <v>3150</v>
      </c>
      <c r="L428" s="1">
        <v>207</v>
      </c>
      <c r="M428" s="1">
        <v>1</v>
      </c>
      <c r="N428" s="1">
        <v>17.254601229999999</v>
      </c>
      <c r="O428" s="1">
        <v>6.5714285710000002</v>
      </c>
      <c r="P428" s="1">
        <f t="shared" si="0"/>
        <v>1</v>
      </c>
    </row>
    <row r="429" spans="1:21" ht="14.25" customHeight="1" x14ac:dyDescent="0.35">
      <c r="A429" s="1" t="s">
        <v>631</v>
      </c>
      <c r="B429" s="3">
        <v>45518</v>
      </c>
      <c r="C429" s="1" t="s">
        <v>78</v>
      </c>
      <c r="D429" s="1">
        <v>60</v>
      </c>
      <c r="E429" s="1" t="s">
        <v>32</v>
      </c>
      <c r="F429" s="1" t="s">
        <v>42</v>
      </c>
      <c r="G429" s="1" t="s">
        <v>39</v>
      </c>
      <c r="H429" s="1" t="s">
        <v>29</v>
      </c>
      <c r="I429" s="1">
        <v>1491.06</v>
      </c>
      <c r="J429" s="1">
        <v>29925</v>
      </c>
      <c r="K429" s="1">
        <v>4092</v>
      </c>
      <c r="L429" s="1">
        <v>224</v>
      </c>
      <c r="N429" s="1">
        <v>13.67418546</v>
      </c>
      <c r="O429" s="1">
        <v>5.4740957970000004</v>
      </c>
      <c r="P429" s="1">
        <f t="shared" si="0"/>
        <v>3</v>
      </c>
    </row>
    <row r="430" spans="1:21" ht="14.25" customHeight="1" x14ac:dyDescent="0.35">
      <c r="A430" s="1" t="s">
        <v>632</v>
      </c>
      <c r="B430" s="3">
        <v>45455</v>
      </c>
      <c r="C430" s="1" t="s">
        <v>209</v>
      </c>
      <c r="D430" s="1">
        <v>42</v>
      </c>
      <c r="E430" s="1" t="s">
        <v>32</v>
      </c>
      <c r="F430" s="1" t="s">
        <v>38</v>
      </c>
      <c r="G430" s="1" t="s">
        <v>58</v>
      </c>
      <c r="H430" s="1" t="s">
        <v>23</v>
      </c>
      <c r="I430" s="1">
        <v>1469.09</v>
      </c>
      <c r="J430" s="1">
        <v>34036</v>
      </c>
      <c r="K430" s="1">
        <v>679</v>
      </c>
      <c r="L430" s="1">
        <v>373</v>
      </c>
      <c r="M430" s="1">
        <v>4</v>
      </c>
      <c r="N430" s="1">
        <v>1.994946527</v>
      </c>
      <c r="O430" s="1">
        <v>54.933726069999999</v>
      </c>
      <c r="P430" s="1">
        <f t="shared" si="0"/>
        <v>4</v>
      </c>
    </row>
    <row r="431" spans="1:21" ht="14.25" customHeight="1" x14ac:dyDescent="0.35">
      <c r="A431" s="1" t="s">
        <v>633</v>
      </c>
      <c r="B431" s="3">
        <v>45411</v>
      </c>
      <c r="C431" s="1" t="s">
        <v>227</v>
      </c>
      <c r="D431" s="1">
        <v>32</v>
      </c>
      <c r="E431" s="1" t="s">
        <v>20</v>
      </c>
      <c r="F431" s="1" t="s">
        <v>38</v>
      </c>
      <c r="G431" s="1" t="s">
        <v>43</v>
      </c>
      <c r="H431" s="1" t="s">
        <v>59</v>
      </c>
      <c r="I431" s="1">
        <v>1796.68</v>
      </c>
      <c r="J431" s="1">
        <v>38895</v>
      </c>
      <c r="K431" s="1">
        <v>2250</v>
      </c>
      <c r="L431" s="1">
        <v>343</v>
      </c>
      <c r="M431" s="1">
        <v>1</v>
      </c>
      <c r="N431" s="1">
        <v>5.7848052450000003</v>
      </c>
      <c r="O431" s="1">
        <v>15.244444440000001</v>
      </c>
      <c r="P431" s="1">
        <f t="shared" si="0"/>
        <v>1</v>
      </c>
    </row>
    <row r="432" spans="1:21" ht="14.25" customHeight="1" x14ac:dyDescent="0.35">
      <c r="A432" s="1" t="s">
        <v>634</v>
      </c>
      <c r="B432" s="3">
        <v>45410</v>
      </c>
      <c r="C432" s="1" t="s">
        <v>635</v>
      </c>
      <c r="D432" s="1">
        <v>53</v>
      </c>
      <c r="E432" s="1" t="s">
        <v>20</v>
      </c>
      <c r="F432" s="1" t="s">
        <v>27</v>
      </c>
      <c r="G432" s="1" t="s">
        <v>43</v>
      </c>
      <c r="H432" s="1" t="s">
        <v>23</v>
      </c>
      <c r="I432" s="1">
        <v>668.74</v>
      </c>
      <c r="J432" s="1">
        <v>15423</v>
      </c>
      <c r="K432" s="1">
        <v>746</v>
      </c>
      <c r="L432" s="1">
        <v>67</v>
      </c>
      <c r="M432" s="1">
        <v>4</v>
      </c>
      <c r="N432" s="1">
        <v>4.8369318549999996</v>
      </c>
      <c r="O432" s="1">
        <v>8.9812332440000002</v>
      </c>
      <c r="P432" s="1">
        <f t="shared" si="0"/>
        <v>4</v>
      </c>
    </row>
    <row r="433" spans="1:16" ht="14.25" customHeight="1" x14ac:dyDescent="0.35">
      <c r="A433" s="1" t="s">
        <v>636</v>
      </c>
      <c r="B433" s="3">
        <v>45448</v>
      </c>
      <c r="C433" s="1" t="s">
        <v>442</v>
      </c>
      <c r="D433" s="1">
        <v>33</v>
      </c>
      <c r="E433" s="1" t="s">
        <v>32</v>
      </c>
      <c r="F433" s="1" t="s">
        <v>54</v>
      </c>
      <c r="G433" s="1" t="s">
        <v>22</v>
      </c>
      <c r="H433" s="1" t="s">
        <v>33</v>
      </c>
      <c r="I433" s="1">
        <v>1128.6600000000001</v>
      </c>
      <c r="J433" s="1">
        <v>20473</v>
      </c>
      <c r="K433" s="1">
        <v>1022</v>
      </c>
      <c r="L433" s="1">
        <v>377</v>
      </c>
      <c r="M433" s="1">
        <v>1</v>
      </c>
      <c r="N433" s="1">
        <v>4.9919406049999999</v>
      </c>
      <c r="O433" s="1">
        <v>36.888454009999997</v>
      </c>
      <c r="P433" s="1">
        <f t="shared" si="0"/>
        <v>1</v>
      </c>
    </row>
    <row r="434" spans="1:16" ht="14.25" customHeight="1" x14ac:dyDescent="0.35">
      <c r="A434" s="1" t="s">
        <v>637</v>
      </c>
      <c r="B434" s="3">
        <v>45583</v>
      </c>
      <c r="C434" s="1" t="s">
        <v>537</v>
      </c>
      <c r="D434" s="1">
        <v>28</v>
      </c>
      <c r="E434" s="1" t="s">
        <v>20</v>
      </c>
      <c r="F434" s="1" t="s">
        <v>42</v>
      </c>
      <c r="G434" s="1" t="s">
        <v>39</v>
      </c>
      <c r="H434" s="1" t="s">
        <v>23</v>
      </c>
      <c r="I434" s="1">
        <v>449.72</v>
      </c>
      <c r="J434" s="1">
        <v>5991</v>
      </c>
      <c r="K434" s="1">
        <v>4748</v>
      </c>
      <c r="L434" s="1">
        <v>40</v>
      </c>
      <c r="M434" s="1">
        <v>3</v>
      </c>
      <c r="N434" s="1">
        <v>79.252211650000007</v>
      </c>
      <c r="O434" s="1">
        <v>0.84245998300000002</v>
      </c>
      <c r="P434" s="1">
        <f t="shared" si="0"/>
        <v>3</v>
      </c>
    </row>
    <row r="435" spans="1:16" ht="14.25" customHeight="1" x14ac:dyDescent="0.35">
      <c r="A435" s="1" t="s">
        <v>638</v>
      </c>
      <c r="B435" s="3">
        <v>45633</v>
      </c>
      <c r="C435" s="1" t="s">
        <v>639</v>
      </c>
      <c r="D435" s="1">
        <v>51</v>
      </c>
      <c r="E435" s="1" t="s">
        <v>20</v>
      </c>
      <c r="F435" s="1" t="s">
        <v>21</v>
      </c>
      <c r="G435" s="1" t="s">
        <v>28</v>
      </c>
      <c r="H435" s="1" t="s">
        <v>23</v>
      </c>
      <c r="I435" s="1">
        <v>515.24</v>
      </c>
      <c r="J435" s="1">
        <v>31128</v>
      </c>
      <c r="K435" s="1">
        <v>3884</v>
      </c>
      <c r="L435" s="1">
        <v>267</v>
      </c>
      <c r="M435" s="1">
        <v>1</v>
      </c>
      <c r="N435" s="1">
        <v>12.47751221</v>
      </c>
      <c r="O435" s="1">
        <v>6.8743563339999998</v>
      </c>
      <c r="P435" s="1">
        <f t="shared" si="0"/>
        <v>1</v>
      </c>
    </row>
    <row r="436" spans="1:16" ht="14.25" customHeight="1" x14ac:dyDescent="0.35">
      <c r="A436" s="1" t="s">
        <v>640</v>
      </c>
      <c r="B436" s="3">
        <v>45465</v>
      </c>
      <c r="C436" s="1" t="s">
        <v>312</v>
      </c>
      <c r="D436" s="1">
        <v>28</v>
      </c>
      <c r="E436" s="1" t="s">
        <v>32</v>
      </c>
      <c r="F436" s="1" t="s">
        <v>21</v>
      </c>
      <c r="G436" s="1" t="s">
        <v>22</v>
      </c>
      <c r="H436" s="1" t="s">
        <v>29</v>
      </c>
      <c r="I436" s="1">
        <v>543.04</v>
      </c>
      <c r="J436" s="1">
        <v>49876</v>
      </c>
      <c r="K436" s="1">
        <v>1029</v>
      </c>
      <c r="L436" s="1">
        <v>209</v>
      </c>
      <c r="M436" s="1">
        <v>3</v>
      </c>
      <c r="N436" s="1">
        <v>2.0631165290000002</v>
      </c>
      <c r="O436" s="1">
        <v>20.31098154</v>
      </c>
      <c r="P436" s="1">
        <f t="shared" si="0"/>
        <v>3</v>
      </c>
    </row>
    <row r="437" spans="1:16" ht="14.25" customHeight="1" x14ac:dyDescent="0.35">
      <c r="A437" s="1" t="s">
        <v>641</v>
      </c>
      <c r="B437" s="3">
        <v>45636</v>
      </c>
      <c r="C437" s="1" t="s">
        <v>403</v>
      </c>
      <c r="D437" s="1">
        <v>60</v>
      </c>
      <c r="E437" s="1" t="s">
        <v>32</v>
      </c>
      <c r="F437" s="1" t="s">
        <v>54</v>
      </c>
      <c r="G437" s="1" t="s">
        <v>22</v>
      </c>
      <c r="H437" s="1" t="s">
        <v>23</v>
      </c>
      <c r="I437" s="1">
        <v>782.39</v>
      </c>
      <c r="J437" s="1">
        <v>7643</v>
      </c>
      <c r="K437" s="1">
        <v>272</v>
      </c>
      <c r="L437" s="1">
        <v>192</v>
      </c>
      <c r="N437" s="1">
        <v>3.5588119850000002</v>
      </c>
      <c r="O437" s="1">
        <v>70.58823529</v>
      </c>
      <c r="P437" s="1">
        <f t="shared" si="0"/>
        <v>3</v>
      </c>
    </row>
    <row r="438" spans="1:16" ht="14.25" customHeight="1" x14ac:dyDescent="0.35">
      <c r="A438" s="1" t="s">
        <v>642</v>
      </c>
      <c r="B438" s="3">
        <v>45506</v>
      </c>
      <c r="C438" s="1" t="s">
        <v>453</v>
      </c>
      <c r="E438" s="1" t="s">
        <v>20</v>
      </c>
      <c r="G438" s="1" t="s">
        <v>22</v>
      </c>
      <c r="H438" s="1" t="s">
        <v>59</v>
      </c>
      <c r="I438" s="1">
        <v>85.16</v>
      </c>
      <c r="J438" s="1">
        <v>28135</v>
      </c>
      <c r="K438" s="1">
        <v>1898</v>
      </c>
      <c r="L438" s="1">
        <v>27</v>
      </c>
      <c r="N438" s="1">
        <v>6.7460458499999998</v>
      </c>
      <c r="O438" s="1">
        <v>1.4225500529999999</v>
      </c>
      <c r="P438" s="1">
        <f t="shared" si="0"/>
        <v>3</v>
      </c>
    </row>
    <row r="439" spans="1:16" ht="14.25" customHeight="1" x14ac:dyDescent="0.35">
      <c r="A439" s="1" t="s">
        <v>643</v>
      </c>
      <c r="B439" s="3">
        <v>45379</v>
      </c>
      <c r="C439" s="1" t="s">
        <v>235</v>
      </c>
      <c r="D439" s="1">
        <v>62</v>
      </c>
      <c r="E439" s="1" t="s">
        <v>26</v>
      </c>
      <c r="F439" s="1" t="s">
        <v>27</v>
      </c>
      <c r="G439" s="1" t="s">
        <v>28</v>
      </c>
      <c r="H439" s="1" t="s">
        <v>23</v>
      </c>
      <c r="I439" s="1">
        <v>1232.28</v>
      </c>
      <c r="J439" s="1">
        <v>5473</v>
      </c>
      <c r="K439" s="1">
        <v>2836</v>
      </c>
      <c r="L439" s="1">
        <v>119</v>
      </c>
      <c r="M439" s="1">
        <v>5</v>
      </c>
      <c r="N439" s="1">
        <v>51.818015709999997</v>
      </c>
      <c r="O439" s="1">
        <v>4.1960507759999999</v>
      </c>
      <c r="P439" s="1">
        <f t="shared" si="0"/>
        <v>5</v>
      </c>
    </row>
    <row r="440" spans="1:16" ht="14.25" customHeight="1" x14ac:dyDescent="0.35">
      <c r="A440" s="1" t="s">
        <v>644</v>
      </c>
      <c r="B440" s="3">
        <v>45535</v>
      </c>
      <c r="C440" s="1" t="s">
        <v>253</v>
      </c>
      <c r="D440" s="1">
        <v>47</v>
      </c>
      <c r="E440" s="1" t="s">
        <v>20</v>
      </c>
      <c r="F440" s="1" t="s">
        <v>27</v>
      </c>
      <c r="G440" s="1" t="s">
        <v>22</v>
      </c>
      <c r="H440" s="1" t="s">
        <v>59</v>
      </c>
      <c r="I440" s="1">
        <v>575.39</v>
      </c>
      <c r="J440" s="1">
        <v>35157</v>
      </c>
      <c r="K440" s="1">
        <v>2313</v>
      </c>
      <c r="L440" s="1">
        <v>156</v>
      </c>
      <c r="M440" s="1">
        <v>3</v>
      </c>
      <c r="N440" s="1">
        <v>6.5790596470000002</v>
      </c>
      <c r="O440" s="1">
        <v>6.7444876779999996</v>
      </c>
      <c r="P440" s="1">
        <f t="shared" si="0"/>
        <v>3</v>
      </c>
    </row>
    <row r="441" spans="1:16" ht="14.25" customHeight="1" x14ac:dyDescent="0.35">
      <c r="A441" s="1" t="s">
        <v>645</v>
      </c>
      <c r="B441" s="3">
        <v>45303</v>
      </c>
      <c r="C441" s="1" t="s">
        <v>581</v>
      </c>
      <c r="D441" s="1">
        <v>49</v>
      </c>
      <c r="E441" s="1" t="s">
        <v>26</v>
      </c>
      <c r="F441" s="1" t="s">
        <v>38</v>
      </c>
      <c r="G441" s="1" t="s">
        <v>58</v>
      </c>
      <c r="H441" s="1" t="s">
        <v>59</v>
      </c>
      <c r="I441" s="1">
        <v>259.99</v>
      </c>
      <c r="J441" s="1">
        <v>42594</v>
      </c>
      <c r="K441" s="1">
        <v>1184</v>
      </c>
      <c r="L441" s="1">
        <v>262</v>
      </c>
      <c r="M441" s="1">
        <v>1</v>
      </c>
      <c r="N441" s="1">
        <v>2.7797342349999998</v>
      </c>
      <c r="O441" s="1">
        <v>22.128378380000001</v>
      </c>
      <c r="P441" s="1">
        <f t="shared" si="0"/>
        <v>1</v>
      </c>
    </row>
    <row r="442" spans="1:16" ht="14.25" customHeight="1" x14ac:dyDescent="0.35">
      <c r="A442" s="1" t="s">
        <v>646</v>
      </c>
      <c r="B442" s="3">
        <v>45614</v>
      </c>
      <c r="C442" s="1" t="s">
        <v>480</v>
      </c>
      <c r="D442" s="1">
        <v>26</v>
      </c>
      <c r="E442" s="1" t="s">
        <v>26</v>
      </c>
      <c r="F442" s="1" t="s">
        <v>21</v>
      </c>
      <c r="G442" s="1" t="s">
        <v>28</v>
      </c>
      <c r="H442" s="1" t="s">
        <v>59</v>
      </c>
      <c r="I442" s="1">
        <v>1967.33</v>
      </c>
      <c r="J442" s="1">
        <v>9594</v>
      </c>
      <c r="K442" s="1">
        <v>777</v>
      </c>
      <c r="L442" s="1">
        <v>163</v>
      </c>
      <c r="N442" s="1">
        <v>8.098811757</v>
      </c>
      <c r="O442" s="1">
        <v>20.97812098</v>
      </c>
      <c r="P442" s="1">
        <f t="shared" si="0"/>
        <v>3</v>
      </c>
    </row>
    <row r="443" spans="1:16" ht="14.25" customHeight="1" x14ac:dyDescent="0.35">
      <c r="A443" s="1" t="s">
        <v>647</v>
      </c>
      <c r="B443" s="3">
        <v>45385</v>
      </c>
      <c r="C443" s="1" t="s">
        <v>147</v>
      </c>
      <c r="D443" s="1">
        <v>61</v>
      </c>
      <c r="E443" s="1" t="s">
        <v>32</v>
      </c>
      <c r="F443" s="1" t="s">
        <v>21</v>
      </c>
      <c r="G443" s="1" t="s">
        <v>39</v>
      </c>
      <c r="H443" s="1" t="s">
        <v>29</v>
      </c>
      <c r="I443" s="1">
        <v>1381.91</v>
      </c>
      <c r="J443" s="1">
        <v>38920</v>
      </c>
      <c r="K443" s="1">
        <v>249</v>
      </c>
      <c r="L443" s="1">
        <v>124</v>
      </c>
      <c r="M443" s="1">
        <v>3</v>
      </c>
      <c r="N443" s="1">
        <v>0.63977389500000004</v>
      </c>
      <c r="O443" s="1">
        <v>49.799196790000003</v>
      </c>
      <c r="P443" s="1">
        <f t="shared" si="0"/>
        <v>3</v>
      </c>
    </row>
    <row r="444" spans="1:16" ht="14.25" customHeight="1" x14ac:dyDescent="0.35">
      <c r="A444" s="1" t="s">
        <v>648</v>
      </c>
      <c r="B444" s="3">
        <v>45651</v>
      </c>
      <c r="C444" s="1" t="s">
        <v>411</v>
      </c>
      <c r="D444" s="1">
        <v>26</v>
      </c>
      <c r="E444" s="1" t="s">
        <v>20</v>
      </c>
      <c r="F444" s="1" t="s">
        <v>54</v>
      </c>
      <c r="G444" s="1" t="s">
        <v>28</v>
      </c>
      <c r="H444" s="1" t="s">
        <v>59</v>
      </c>
      <c r="I444" s="1">
        <v>1123.6099999999999</v>
      </c>
      <c r="J444" s="1">
        <v>5615</v>
      </c>
      <c r="K444" s="1">
        <v>1134</v>
      </c>
      <c r="L444" s="1">
        <v>230</v>
      </c>
      <c r="N444" s="1">
        <v>20.195903829999999</v>
      </c>
      <c r="O444" s="1">
        <v>20.28218695</v>
      </c>
      <c r="P444" s="1">
        <f t="shared" si="0"/>
        <v>3</v>
      </c>
    </row>
    <row r="445" spans="1:16" ht="14.25" customHeight="1" x14ac:dyDescent="0.35">
      <c r="A445" s="1" t="s">
        <v>649</v>
      </c>
      <c r="B445" s="3">
        <v>45653</v>
      </c>
      <c r="C445" s="1" t="s">
        <v>159</v>
      </c>
      <c r="D445" s="1">
        <v>41</v>
      </c>
      <c r="E445" s="1" t="s">
        <v>26</v>
      </c>
      <c r="F445" s="1" t="s">
        <v>47</v>
      </c>
      <c r="G445" s="1" t="s">
        <v>43</v>
      </c>
      <c r="H445" s="1" t="s">
        <v>59</v>
      </c>
      <c r="I445" s="1">
        <v>633.01</v>
      </c>
      <c r="J445" s="1">
        <v>32820</v>
      </c>
      <c r="K445" s="1">
        <v>4017</v>
      </c>
      <c r="L445" s="1">
        <v>366</v>
      </c>
      <c r="M445" s="1">
        <v>5</v>
      </c>
      <c r="N445" s="1">
        <v>12.239488120000001</v>
      </c>
      <c r="O445" s="1">
        <v>9.111277072</v>
      </c>
      <c r="P445" s="1">
        <f t="shared" si="0"/>
        <v>5</v>
      </c>
    </row>
    <row r="446" spans="1:16" ht="14.25" customHeight="1" x14ac:dyDescent="0.35">
      <c r="A446" s="1" t="s">
        <v>650</v>
      </c>
      <c r="B446" s="3">
        <v>45602</v>
      </c>
      <c r="C446" s="1" t="s">
        <v>651</v>
      </c>
      <c r="D446" s="1">
        <v>54</v>
      </c>
      <c r="E446" s="1" t="s">
        <v>26</v>
      </c>
      <c r="F446" s="1" t="s">
        <v>21</v>
      </c>
      <c r="G446" s="1" t="s">
        <v>43</v>
      </c>
      <c r="H446" s="1" t="s">
        <v>33</v>
      </c>
      <c r="I446" s="1">
        <v>1183.31</v>
      </c>
      <c r="J446" s="1">
        <v>14477</v>
      </c>
      <c r="K446" s="1">
        <v>3466</v>
      </c>
      <c r="L446" s="1">
        <v>306</v>
      </c>
      <c r="M446" s="1">
        <v>5</v>
      </c>
      <c r="N446" s="1">
        <v>23.94142433</v>
      </c>
      <c r="O446" s="1">
        <v>8.8286208889999997</v>
      </c>
      <c r="P446" s="1">
        <f t="shared" si="0"/>
        <v>5</v>
      </c>
    </row>
    <row r="447" spans="1:16" ht="14.25" customHeight="1" x14ac:dyDescent="0.35">
      <c r="A447" s="1" t="s">
        <v>652</v>
      </c>
      <c r="B447" s="3">
        <v>45462</v>
      </c>
      <c r="C447" s="1" t="s">
        <v>567</v>
      </c>
      <c r="D447" s="1">
        <v>34</v>
      </c>
      <c r="E447" s="1" t="s">
        <v>32</v>
      </c>
      <c r="F447" s="1" t="s">
        <v>47</v>
      </c>
      <c r="G447" s="1" t="s">
        <v>39</v>
      </c>
      <c r="H447" s="1" t="s">
        <v>29</v>
      </c>
      <c r="I447" s="1">
        <v>1236.26</v>
      </c>
      <c r="J447" s="1">
        <v>18572</v>
      </c>
      <c r="K447" s="1">
        <v>3925</v>
      </c>
      <c r="L447" s="1">
        <v>273</v>
      </c>
      <c r="M447" s="1">
        <v>5</v>
      </c>
      <c r="N447" s="1">
        <v>21.133965109999998</v>
      </c>
      <c r="O447" s="1">
        <v>6.9554140130000004</v>
      </c>
      <c r="P447" s="1">
        <f t="shared" si="0"/>
        <v>5</v>
      </c>
    </row>
    <row r="448" spans="1:16" ht="14.25" customHeight="1" x14ac:dyDescent="0.35">
      <c r="A448" s="1" t="s">
        <v>653</v>
      </c>
      <c r="B448" s="3">
        <v>45542</v>
      </c>
      <c r="C448" s="1" t="s">
        <v>321</v>
      </c>
      <c r="D448" s="1">
        <v>23</v>
      </c>
      <c r="E448" s="1" t="s">
        <v>32</v>
      </c>
      <c r="F448" s="1" t="s">
        <v>21</v>
      </c>
      <c r="G448" s="1" t="s">
        <v>39</v>
      </c>
      <c r="H448" s="1" t="s">
        <v>59</v>
      </c>
      <c r="I448" s="1">
        <v>511.94</v>
      </c>
      <c r="J448" s="1">
        <v>20598</v>
      </c>
      <c r="K448" s="1">
        <v>3841</v>
      </c>
      <c r="L448" s="1">
        <v>99</v>
      </c>
      <c r="M448" s="1">
        <v>3</v>
      </c>
      <c r="N448" s="1">
        <v>18.647441499999999</v>
      </c>
      <c r="O448" s="1">
        <v>2.5774537880000001</v>
      </c>
      <c r="P448" s="1">
        <f t="shared" si="0"/>
        <v>3</v>
      </c>
    </row>
    <row r="449" spans="1:21" ht="14.25" customHeight="1" x14ac:dyDescent="0.35">
      <c r="A449" s="1" t="s">
        <v>654</v>
      </c>
      <c r="B449" s="3">
        <v>45458</v>
      </c>
      <c r="C449" s="1" t="s">
        <v>655</v>
      </c>
      <c r="D449" s="1">
        <v>49</v>
      </c>
      <c r="E449" s="1" t="s">
        <v>20</v>
      </c>
      <c r="F449" s="1" t="s">
        <v>38</v>
      </c>
      <c r="G449" s="1" t="s">
        <v>43</v>
      </c>
      <c r="H449" s="1" t="s">
        <v>23</v>
      </c>
      <c r="I449" s="1">
        <v>90.85</v>
      </c>
      <c r="J449" s="1">
        <v>16084</v>
      </c>
      <c r="K449" s="1">
        <v>3568</v>
      </c>
      <c r="L449" s="1">
        <v>66</v>
      </c>
      <c r="M449" s="1">
        <v>4</v>
      </c>
      <c r="N449" s="1">
        <v>22.18353643</v>
      </c>
      <c r="O449" s="1">
        <v>1.8497757850000001</v>
      </c>
      <c r="P449" s="1">
        <f t="shared" si="0"/>
        <v>4</v>
      </c>
    </row>
    <row r="450" spans="1:21" ht="14.25" customHeight="1" x14ac:dyDescent="0.35">
      <c r="A450" s="1" t="s">
        <v>656</v>
      </c>
      <c r="B450" s="3">
        <v>45382</v>
      </c>
      <c r="C450" s="1" t="s">
        <v>657</v>
      </c>
      <c r="D450" s="1">
        <v>60</v>
      </c>
      <c r="E450" s="1" t="s">
        <v>20</v>
      </c>
      <c r="F450" s="1" t="s">
        <v>54</v>
      </c>
      <c r="G450" s="1" t="s">
        <v>22</v>
      </c>
      <c r="H450" s="1" t="s">
        <v>33</v>
      </c>
      <c r="I450" s="1">
        <v>135.41</v>
      </c>
      <c r="J450" s="1">
        <v>5520</v>
      </c>
      <c r="K450" s="1">
        <v>556</v>
      </c>
      <c r="L450" s="1">
        <v>227</v>
      </c>
      <c r="M450" s="1">
        <v>2</v>
      </c>
      <c r="N450" s="1">
        <v>10.072463770000001</v>
      </c>
      <c r="O450" s="1">
        <v>40.827338130000001</v>
      </c>
      <c r="P450" s="1">
        <f t="shared" si="0"/>
        <v>2</v>
      </c>
    </row>
    <row r="451" spans="1:21" ht="14.25" customHeight="1" x14ac:dyDescent="0.35">
      <c r="A451" s="1" t="s">
        <v>658</v>
      </c>
      <c r="B451" s="3">
        <v>45437</v>
      </c>
      <c r="C451" s="1" t="s">
        <v>420</v>
      </c>
      <c r="D451" s="1">
        <v>30</v>
      </c>
      <c r="E451" s="1" t="s">
        <v>20</v>
      </c>
      <c r="F451" s="1" t="s">
        <v>54</v>
      </c>
      <c r="G451" s="1" t="s">
        <v>28</v>
      </c>
      <c r="H451" s="1" t="s">
        <v>33</v>
      </c>
      <c r="I451" s="1">
        <v>477.25</v>
      </c>
      <c r="J451" s="1">
        <v>46902</v>
      </c>
      <c r="K451" s="1">
        <v>2366</v>
      </c>
      <c r="L451" s="1">
        <v>12</v>
      </c>
      <c r="N451" s="1">
        <v>5.0445609999999999</v>
      </c>
      <c r="O451" s="1">
        <v>0.50718512299999996</v>
      </c>
      <c r="P451" s="1">
        <f t="shared" si="0"/>
        <v>3</v>
      </c>
    </row>
    <row r="452" spans="1:21" ht="14.25" customHeight="1" x14ac:dyDescent="0.35">
      <c r="A452" s="1" t="s">
        <v>659</v>
      </c>
      <c r="B452" s="3">
        <v>45436</v>
      </c>
      <c r="C452" s="1" t="s">
        <v>660</v>
      </c>
      <c r="E452" s="1" t="s">
        <v>20</v>
      </c>
      <c r="G452" s="1" t="s">
        <v>28</v>
      </c>
      <c r="H452" s="1" t="s">
        <v>29</v>
      </c>
      <c r="I452" s="1">
        <v>585.29</v>
      </c>
      <c r="J452" s="1">
        <v>2617</v>
      </c>
      <c r="K452" s="1">
        <v>4791</v>
      </c>
      <c r="L452" s="1">
        <v>252</v>
      </c>
      <c r="N452" s="1">
        <v>183.07222010000001</v>
      </c>
      <c r="O452" s="1">
        <v>5.2598622419999996</v>
      </c>
      <c r="P452" s="1">
        <f t="shared" si="0"/>
        <v>3</v>
      </c>
      <c r="U452" s="1">
        <f>COUNTIF(N448:N1000, N452&gt;100)</f>
        <v>0</v>
      </c>
    </row>
    <row r="453" spans="1:21" ht="14.25" customHeight="1" x14ac:dyDescent="0.35">
      <c r="A453" s="1" t="s">
        <v>661</v>
      </c>
      <c r="B453" s="3">
        <v>45363</v>
      </c>
      <c r="C453" s="1" t="s">
        <v>335</v>
      </c>
      <c r="D453" s="1">
        <v>37</v>
      </c>
      <c r="E453" s="1" t="s">
        <v>20</v>
      </c>
      <c r="F453" s="1" t="s">
        <v>54</v>
      </c>
      <c r="G453" s="1" t="s">
        <v>58</v>
      </c>
      <c r="H453" s="1" t="s">
        <v>23</v>
      </c>
      <c r="I453" s="1">
        <v>1402.95</v>
      </c>
      <c r="J453" s="1">
        <v>7974</v>
      </c>
      <c r="K453" s="1">
        <v>4910</v>
      </c>
      <c r="L453" s="1">
        <v>323</v>
      </c>
      <c r="M453" s="1">
        <v>1</v>
      </c>
      <c r="N453" s="1">
        <v>61.575119139999998</v>
      </c>
      <c r="O453" s="1">
        <v>6.5784114049999998</v>
      </c>
      <c r="P453" s="1">
        <f t="shared" si="0"/>
        <v>1</v>
      </c>
    </row>
    <row r="454" spans="1:21" ht="14.25" customHeight="1" x14ac:dyDescent="0.35">
      <c r="A454" s="1" t="s">
        <v>662</v>
      </c>
      <c r="B454" s="3">
        <v>45410</v>
      </c>
      <c r="C454" s="1" t="s">
        <v>37</v>
      </c>
      <c r="D454" s="1">
        <v>21</v>
      </c>
      <c r="E454" s="1" t="s">
        <v>20</v>
      </c>
      <c r="F454" s="1" t="s">
        <v>38</v>
      </c>
      <c r="G454" s="1" t="s">
        <v>22</v>
      </c>
      <c r="H454" s="1" t="s">
        <v>33</v>
      </c>
      <c r="I454" s="1">
        <v>1756.99</v>
      </c>
      <c r="J454" s="1">
        <v>29611</v>
      </c>
      <c r="K454" s="1">
        <v>3794</v>
      </c>
      <c r="L454" s="1">
        <v>379</v>
      </c>
      <c r="N454" s="1">
        <v>12.812806050000001</v>
      </c>
      <c r="O454" s="1">
        <v>9.9894570369999993</v>
      </c>
      <c r="P454" s="1">
        <f t="shared" si="0"/>
        <v>3</v>
      </c>
    </row>
    <row r="455" spans="1:21" ht="14.25" customHeight="1" x14ac:dyDescent="0.35">
      <c r="A455" s="1" t="s">
        <v>663</v>
      </c>
      <c r="B455" s="3">
        <v>45348</v>
      </c>
      <c r="C455" s="1" t="s">
        <v>314</v>
      </c>
      <c r="D455" s="1">
        <v>30</v>
      </c>
      <c r="E455" s="1" t="s">
        <v>26</v>
      </c>
      <c r="F455" s="1" t="s">
        <v>47</v>
      </c>
      <c r="G455" s="1" t="s">
        <v>43</v>
      </c>
      <c r="H455" s="1" t="s">
        <v>29</v>
      </c>
      <c r="I455" s="1">
        <v>280.64999999999998</v>
      </c>
      <c r="J455" s="1">
        <v>35248</v>
      </c>
      <c r="K455" s="1">
        <v>3329</v>
      </c>
      <c r="L455" s="1">
        <v>156</v>
      </c>
      <c r="M455" s="1">
        <v>5</v>
      </c>
      <c r="N455" s="1">
        <v>9.4445074899999994</v>
      </c>
      <c r="O455" s="1">
        <v>4.6860919189999999</v>
      </c>
      <c r="P455" s="1">
        <f t="shared" si="0"/>
        <v>5</v>
      </c>
    </row>
    <row r="456" spans="1:21" ht="14.25" customHeight="1" x14ac:dyDescent="0.35">
      <c r="A456" s="1" t="s">
        <v>664</v>
      </c>
      <c r="B456" s="3">
        <v>45537</v>
      </c>
      <c r="C456" s="1" t="s">
        <v>657</v>
      </c>
      <c r="D456" s="1">
        <v>56</v>
      </c>
      <c r="E456" s="1" t="s">
        <v>26</v>
      </c>
      <c r="F456" s="1" t="s">
        <v>21</v>
      </c>
      <c r="G456" s="1" t="s">
        <v>22</v>
      </c>
      <c r="H456" s="1" t="s">
        <v>23</v>
      </c>
      <c r="I456" s="1">
        <v>1674.62</v>
      </c>
      <c r="J456" s="1">
        <v>26920</v>
      </c>
      <c r="K456" s="1">
        <v>2753</v>
      </c>
      <c r="L456" s="1">
        <v>138</v>
      </c>
      <c r="M456" s="1">
        <v>5</v>
      </c>
      <c r="N456" s="1">
        <v>10.226597330000001</v>
      </c>
      <c r="O456" s="1">
        <v>5.0127134040000003</v>
      </c>
      <c r="P456" s="1">
        <f t="shared" si="0"/>
        <v>5</v>
      </c>
    </row>
    <row r="457" spans="1:21" ht="14.25" customHeight="1" x14ac:dyDescent="0.35">
      <c r="A457" s="1" t="s">
        <v>665</v>
      </c>
      <c r="B457" s="3">
        <v>45552</v>
      </c>
      <c r="C457" s="1" t="s">
        <v>666</v>
      </c>
      <c r="D457" s="1">
        <v>30</v>
      </c>
      <c r="E457" s="1" t="s">
        <v>32</v>
      </c>
      <c r="F457" s="1" t="s">
        <v>47</v>
      </c>
      <c r="G457" s="1" t="s">
        <v>22</v>
      </c>
      <c r="H457" s="1" t="s">
        <v>23</v>
      </c>
      <c r="I457" s="1">
        <v>852.6</v>
      </c>
      <c r="J457" s="1">
        <v>38069</v>
      </c>
      <c r="K457" s="1">
        <v>2948</v>
      </c>
      <c r="L457" s="1">
        <v>286</v>
      </c>
      <c r="M457" s="1">
        <v>3</v>
      </c>
      <c r="N457" s="1">
        <v>7.7438335650000001</v>
      </c>
      <c r="O457" s="1">
        <v>9.701492537</v>
      </c>
      <c r="P457" s="1">
        <f t="shared" si="0"/>
        <v>3</v>
      </c>
    </row>
    <row r="458" spans="1:21" ht="14.25" customHeight="1" x14ac:dyDescent="0.35">
      <c r="A458" s="1" t="s">
        <v>667</v>
      </c>
      <c r="B458" s="3">
        <v>45546</v>
      </c>
      <c r="C458" s="1" t="s">
        <v>668</v>
      </c>
      <c r="D458" s="1">
        <v>52</v>
      </c>
      <c r="E458" s="1" t="s">
        <v>26</v>
      </c>
      <c r="F458" s="1" t="s">
        <v>47</v>
      </c>
      <c r="G458" s="1" t="s">
        <v>58</v>
      </c>
      <c r="H458" s="1" t="s">
        <v>33</v>
      </c>
      <c r="I458" s="1">
        <v>152.69</v>
      </c>
      <c r="J458" s="1">
        <v>47524</v>
      </c>
      <c r="K458" s="1">
        <v>4929</v>
      </c>
      <c r="L458" s="1">
        <v>140</v>
      </c>
      <c r="M458" s="1">
        <v>3</v>
      </c>
      <c r="N458" s="1">
        <v>10.371601719999999</v>
      </c>
      <c r="O458" s="1">
        <v>2.8403327250000001</v>
      </c>
      <c r="P458" s="1">
        <f t="shared" si="0"/>
        <v>3</v>
      </c>
    </row>
    <row r="459" spans="1:21" ht="14.25" customHeight="1" x14ac:dyDescent="0.35">
      <c r="A459" s="1" t="s">
        <v>669</v>
      </c>
      <c r="B459" s="3">
        <v>45466</v>
      </c>
      <c r="C459" s="1" t="s">
        <v>154</v>
      </c>
      <c r="D459" s="1">
        <v>23</v>
      </c>
      <c r="E459" s="1" t="s">
        <v>32</v>
      </c>
      <c r="F459" s="1" t="s">
        <v>21</v>
      </c>
      <c r="G459" s="1" t="s">
        <v>39</v>
      </c>
      <c r="H459" s="1" t="s">
        <v>23</v>
      </c>
      <c r="I459" s="1">
        <v>1469.59</v>
      </c>
      <c r="J459" s="1">
        <v>15095</v>
      </c>
      <c r="K459" s="1">
        <v>1056</v>
      </c>
      <c r="L459" s="1">
        <v>391</v>
      </c>
      <c r="M459" s="1">
        <v>5</v>
      </c>
      <c r="N459" s="1">
        <v>6.9956939379999996</v>
      </c>
      <c r="O459" s="1">
        <v>37.026515150000002</v>
      </c>
      <c r="P459" s="1">
        <f t="shared" si="0"/>
        <v>5</v>
      </c>
    </row>
    <row r="460" spans="1:21" ht="14.25" customHeight="1" x14ac:dyDescent="0.35">
      <c r="A460" s="1" t="s">
        <v>670</v>
      </c>
      <c r="B460" s="3">
        <v>45359</v>
      </c>
      <c r="C460" s="1" t="s">
        <v>406</v>
      </c>
      <c r="D460" s="1">
        <v>34</v>
      </c>
      <c r="E460" s="1" t="s">
        <v>26</v>
      </c>
      <c r="F460" s="1" t="s">
        <v>21</v>
      </c>
      <c r="G460" s="1" t="s">
        <v>58</v>
      </c>
      <c r="H460" s="1" t="s">
        <v>23</v>
      </c>
      <c r="I460" s="1">
        <v>1906.86</v>
      </c>
      <c r="J460" s="1">
        <v>36437</v>
      </c>
      <c r="K460" s="1">
        <v>1266</v>
      </c>
      <c r="L460" s="1">
        <v>180</v>
      </c>
      <c r="N460" s="1">
        <v>3.474490216</v>
      </c>
      <c r="O460" s="1">
        <v>14.218009479999999</v>
      </c>
      <c r="P460" s="1">
        <f t="shared" si="0"/>
        <v>3</v>
      </c>
    </row>
    <row r="461" spans="1:21" ht="14.25" customHeight="1" x14ac:dyDescent="0.35">
      <c r="A461" s="1" t="s">
        <v>671</v>
      </c>
      <c r="B461" s="3">
        <v>45532</v>
      </c>
      <c r="C461" s="1" t="s">
        <v>159</v>
      </c>
      <c r="D461" s="1">
        <v>53</v>
      </c>
      <c r="E461" s="1" t="s">
        <v>32</v>
      </c>
      <c r="F461" s="1" t="s">
        <v>54</v>
      </c>
      <c r="G461" s="1" t="s">
        <v>39</v>
      </c>
      <c r="H461" s="1" t="s">
        <v>29</v>
      </c>
      <c r="I461" s="1">
        <v>286.62</v>
      </c>
      <c r="J461" s="1">
        <v>42967</v>
      </c>
      <c r="K461" s="1">
        <v>3745</v>
      </c>
      <c r="L461" s="1">
        <v>316</v>
      </c>
      <c r="M461" s="1">
        <v>5</v>
      </c>
      <c r="N461" s="1">
        <v>8.7159913420000006</v>
      </c>
      <c r="O461" s="1">
        <v>8.4379172229999995</v>
      </c>
      <c r="P461" s="1">
        <f t="shared" si="0"/>
        <v>5</v>
      </c>
    </row>
    <row r="462" spans="1:21" ht="14.25" customHeight="1" x14ac:dyDescent="0.35">
      <c r="A462" s="1" t="s">
        <v>672</v>
      </c>
      <c r="B462" s="3">
        <v>45507</v>
      </c>
      <c r="C462" s="1" t="s">
        <v>278</v>
      </c>
      <c r="D462" s="1">
        <v>22</v>
      </c>
      <c r="E462" s="1" t="s">
        <v>32</v>
      </c>
      <c r="F462" s="1" t="s">
        <v>42</v>
      </c>
      <c r="G462" s="1" t="s">
        <v>39</v>
      </c>
      <c r="H462" s="1" t="s">
        <v>59</v>
      </c>
      <c r="I462" s="1">
        <v>1233.83</v>
      </c>
      <c r="J462" s="1">
        <v>24663</v>
      </c>
      <c r="K462" s="1">
        <v>4645</v>
      </c>
      <c r="L462" s="1">
        <v>237</v>
      </c>
      <c r="N462" s="1">
        <v>18.833880709999999</v>
      </c>
      <c r="O462" s="1">
        <v>5.1022604950000003</v>
      </c>
      <c r="P462" s="1">
        <f t="shared" si="0"/>
        <v>3</v>
      </c>
    </row>
    <row r="463" spans="1:21" ht="14.25" customHeight="1" x14ac:dyDescent="0.35">
      <c r="A463" s="1" t="s">
        <v>673</v>
      </c>
      <c r="B463" s="3">
        <v>45576</v>
      </c>
      <c r="C463" s="1" t="s">
        <v>576</v>
      </c>
      <c r="D463" s="1">
        <v>44</v>
      </c>
      <c r="E463" s="1" t="s">
        <v>20</v>
      </c>
      <c r="F463" s="1" t="s">
        <v>42</v>
      </c>
      <c r="G463" s="1" t="s">
        <v>43</v>
      </c>
      <c r="H463" s="1" t="s">
        <v>29</v>
      </c>
      <c r="I463" s="1">
        <v>364.32</v>
      </c>
      <c r="J463" s="1">
        <v>11840</v>
      </c>
      <c r="K463" s="1">
        <v>87</v>
      </c>
      <c r="L463" s="1">
        <v>365</v>
      </c>
      <c r="M463" s="1">
        <v>4</v>
      </c>
      <c r="N463" s="1">
        <v>0.73479729699999996</v>
      </c>
      <c r="O463" s="1">
        <v>419.54022989999999</v>
      </c>
      <c r="P463" s="1">
        <f t="shared" si="0"/>
        <v>4</v>
      </c>
    </row>
    <row r="464" spans="1:21" ht="14.25" customHeight="1" x14ac:dyDescent="0.35">
      <c r="A464" s="1" t="s">
        <v>674</v>
      </c>
      <c r="B464" s="3">
        <v>45464</v>
      </c>
      <c r="C464" s="1" t="s">
        <v>159</v>
      </c>
      <c r="D464" s="1">
        <v>63</v>
      </c>
      <c r="E464" s="1" t="s">
        <v>20</v>
      </c>
      <c r="F464" s="1" t="s">
        <v>54</v>
      </c>
      <c r="G464" s="1" t="s">
        <v>39</v>
      </c>
      <c r="H464" s="1" t="s">
        <v>23</v>
      </c>
      <c r="I464" s="1">
        <v>1537.13</v>
      </c>
      <c r="J464" s="1">
        <v>3337</v>
      </c>
      <c r="K464" s="1">
        <v>1281</v>
      </c>
      <c r="L464" s="1">
        <v>335</v>
      </c>
      <c r="N464" s="1">
        <v>38.387773449999997</v>
      </c>
      <c r="O464" s="1">
        <v>26.151444179999999</v>
      </c>
      <c r="P464" s="1">
        <f t="shared" si="0"/>
        <v>3</v>
      </c>
    </row>
    <row r="465" spans="1:21" ht="14.25" customHeight="1" x14ac:dyDescent="0.35">
      <c r="A465" s="1" t="s">
        <v>675</v>
      </c>
      <c r="B465" s="3">
        <v>45584</v>
      </c>
      <c r="C465" s="1" t="s">
        <v>198</v>
      </c>
      <c r="D465" s="1">
        <v>35</v>
      </c>
      <c r="E465" s="1" t="s">
        <v>26</v>
      </c>
      <c r="F465" s="1" t="s">
        <v>47</v>
      </c>
      <c r="G465" s="1" t="s">
        <v>28</v>
      </c>
      <c r="H465" s="1" t="s">
        <v>23</v>
      </c>
      <c r="I465" s="1">
        <v>601.66</v>
      </c>
      <c r="J465" s="1">
        <v>23181</v>
      </c>
      <c r="K465" s="1">
        <v>444</v>
      </c>
      <c r="L465" s="1">
        <v>342</v>
      </c>
      <c r="M465" s="1">
        <v>4</v>
      </c>
      <c r="N465" s="1">
        <v>1.9153617190000001</v>
      </c>
      <c r="O465" s="1">
        <v>77.027027029999999</v>
      </c>
      <c r="P465" s="1">
        <f t="shared" si="0"/>
        <v>4</v>
      </c>
    </row>
    <row r="466" spans="1:21" ht="14.25" customHeight="1" x14ac:dyDescent="0.35">
      <c r="A466" s="1" t="s">
        <v>676</v>
      </c>
      <c r="B466" s="3">
        <v>45323</v>
      </c>
      <c r="C466" s="1" t="s">
        <v>470</v>
      </c>
      <c r="D466" s="1">
        <v>58</v>
      </c>
      <c r="E466" s="1" t="s">
        <v>20</v>
      </c>
      <c r="F466" s="1" t="s">
        <v>42</v>
      </c>
      <c r="G466" s="1" t="s">
        <v>22</v>
      </c>
      <c r="H466" s="1" t="s">
        <v>59</v>
      </c>
      <c r="I466" s="1">
        <v>1609.82</v>
      </c>
      <c r="J466" s="1">
        <v>12077</v>
      </c>
      <c r="K466" s="1">
        <v>4168</v>
      </c>
      <c r="L466" s="1">
        <v>79</v>
      </c>
      <c r="M466" s="1">
        <v>4</v>
      </c>
      <c r="N466" s="1">
        <v>34.51188209</v>
      </c>
      <c r="O466" s="1">
        <v>1.895393474</v>
      </c>
      <c r="P466" s="1">
        <f t="shared" si="0"/>
        <v>4</v>
      </c>
    </row>
    <row r="467" spans="1:21" ht="14.25" customHeight="1" x14ac:dyDescent="0.35">
      <c r="A467" s="1" t="s">
        <v>677</v>
      </c>
      <c r="B467" s="3">
        <v>45596</v>
      </c>
      <c r="C467" s="1" t="s">
        <v>125</v>
      </c>
      <c r="D467" s="1">
        <v>39</v>
      </c>
      <c r="E467" s="1" t="s">
        <v>26</v>
      </c>
      <c r="F467" s="1" t="s">
        <v>42</v>
      </c>
      <c r="G467" s="1" t="s">
        <v>28</v>
      </c>
      <c r="H467" s="1" t="s">
        <v>33</v>
      </c>
      <c r="I467" s="1">
        <v>543.67999999999995</v>
      </c>
      <c r="J467" s="1">
        <v>10803</v>
      </c>
      <c r="K467" s="1">
        <v>2408</v>
      </c>
      <c r="L467" s="1">
        <v>80</v>
      </c>
      <c r="N467" s="1">
        <v>22.290104599999999</v>
      </c>
      <c r="O467" s="1">
        <v>3.322259136</v>
      </c>
      <c r="P467" s="1">
        <f t="shared" si="0"/>
        <v>3</v>
      </c>
    </row>
    <row r="468" spans="1:21" ht="14.25" customHeight="1" x14ac:dyDescent="0.35">
      <c r="A468" s="1" t="s">
        <v>678</v>
      </c>
      <c r="B468" s="3">
        <v>45332</v>
      </c>
      <c r="C468" s="1" t="s">
        <v>61</v>
      </c>
      <c r="D468" s="1">
        <v>22</v>
      </c>
      <c r="E468" s="1" t="s">
        <v>20</v>
      </c>
      <c r="F468" s="1" t="s">
        <v>27</v>
      </c>
      <c r="G468" s="1" t="s">
        <v>39</v>
      </c>
      <c r="H468" s="1" t="s">
        <v>29</v>
      </c>
      <c r="I468" s="1">
        <v>249</v>
      </c>
      <c r="J468" s="1">
        <v>7290</v>
      </c>
      <c r="K468" s="1">
        <v>271</v>
      </c>
      <c r="L468" s="1">
        <v>388</v>
      </c>
      <c r="M468" s="1">
        <v>2</v>
      </c>
      <c r="N468" s="1">
        <v>3.717421125</v>
      </c>
      <c r="O468" s="1">
        <v>143.17343170000001</v>
      </c>
      <c r="P468" s="1">
        <f t="shared" si="0"/>
        <v>2</v>
      </c>
    </row>
    <row r="469" spans="1:21" ht="14.25" customHeight="1" x14ac:dyDescent="0.35">
      <c r="A469" s="1" t="s">
        <v>679</v>
      </c>
      <c r="B469" s="3">
        <v>45414</v>
      </c>
      <c r="C469" s="1" t="s">
        <v>363</v>
      </c>
      <c r="D469" s="1">
        <v>36</v>
      </c>
      <c r="E469" s="1" t="s">
        <v>32</v>
      </c>
      <c r="F469" s="1" t="s">
        <v>38</v>
      </c>
      <c r="G469" s="1" t="s">
        <v>58</v>
      </c>
      <c r="H469" s="1" t="s">
        <v>23</v>
      </c>
      <c r="I469" s="1">
        <v>100.32</v>
      </c>
      <c r="J469" s="1">
        <v>4883</v>
      </c>
      <c r="K469" s="1">
        <v>4918</v>
      </c>
      <c r="L469" s="1">
        <v>88</v>
      </c>
      <c r="M469" s="1">
        <v>1</v>
      </c>
      <c r="N469" s="1">
        <v>100.7167725</v>
      </c>
      <c r="O469" s="1">
        <v>1.7893452620000001</v>
      </c>
      <c r="P469" s="1">
        <f t="shared" si="0"/>
        <v>1</v>
      </c>
    </row>
    <row r="470" spans="1:21" ht="14.25" customHeight="1" x14ac:dyDescent="0.35">
      <c r="A470" s="1" t="s">
        <v>680</v>
      </c>
      <c r="B470" s="3">
        <v>45479</v>
      </c>
      <c r="C470" s="1" t="s">
        <v>25</v>
      </c>
      <c r="D470" s="1">
        <v>51</v>
      </c>
      <c r="E470" s="1" t="s">
        <v>20</v>
      </c>
      <c r="F470" s="1" t="s">
        <v>47</v>
      </c>
      <c r="G470" s="1" t="s">
        <v>58</v>
      </c>
      <c r="H470" s="1" t="s">
        <v>29</v>
      </c>
      <c r="I470" s="1">
        <v>735.41</v>
      </c>
      <c r="J470" s="1">
        <v>4469</v>
      </c>
      <c r="K470" s="1">
        <v>671</v>
      </c>
      <c r="L470" s="1">
        <v>45</v>
      </c>
      <c r="M470" s="1">
        <v>3</v>
      </c>
      <c r="N470" s="1">
        <v>15.01454464</v>
      </c>
      <c r="O470" s="1">
        <v>6.7064083459999999</v>
      </c>
      <c r="P470" s="1">
        <f t="shared" si="0"/>
        <v>3</v>
      </c>
    </row>
    <row r="471" spans="1:21" ht="14.25" customHeight="1" x14ac:dyDescent="0.35">
      <c r="A471" s="1" t="s">
        <v>681</v>
      </c>
      <c r="B471" s="3">
        <v>45547</v>
      </c>
      <c r="C471" s="1" t="s">
        <v>214</v>
      </c>
      <c r="D471" s="1">
        <v>21</v>
      </c>
      <c r="E471" s="1" t="s">
        <v>26</v>
      </c>
      <c r="F471" s="1" t="s">
        <v>27</v>
      </c>
      <c r="G471" s="1" t="s">
        <v>58</v>
      </c>
      <c r="H471" s="1" t="s">
        <v>33</v>
      </c>
      <c r="I471" s="1">
        <v>424.94</v>
      </c>
      <c r="J471" s="1">
        <v>28471</v>
      </c>
      <c r="K471" s="1">
        <v>1738</v>
      </c>
      <c r="L471" s="1">
        <v>16</v>
      </c>
      <c r="M471" s="1">
        <v>3</v>
      </c>
      <c r="N471" s="1">
        <v>6.1044571669999996</v>
      </c>
      <c r="O471" s="1">
        <v>0.92059838900000002</v>
      </c>
      <c r="P471" s="1">
        <f t="shared" si="0"/>
        <v>3</v>
      </c>
    </row>
    <row r="472" spans="1:21" ht="14.25" customHeight="1" x14ac:dyDescent="0.35">
      <c r="A472" s="1" t="s">
        <v>682</v>
      </c>
      <c r="B472" s="3">
        <v>45612</v>
      </c>
      <c r="C472" s="1" t="s">
        <v>276</v>
      </c>
      <c r="D472" s="1">
        <v>32</v>
      </c>
      <c r="E472" s="1" t="s">
        <v>26</v>
      </c>
      <c r="F472" s="1" t="s">
        <v>42</v>
      </c>
      <c r="G472" s="1" t="s">
        <v>22</v>
      </c>
      <c r="H472" s="1" t="s">
        <v>23</v>
      </c>
      <c r="I472" s="1">
        <v>763.76</v>
      </c>
      <c r="J472" s="1">
        <v>27895</v>
      </c>
      <c r="K472" s="1">
        <v>3565</v>
      </c>
      <c r="L472" s="1">
        <v>42</v>
      </c>
      <c r="M472" s="1">
        <v>5</v>
      </c>
      <c r="N472" s="1">
        <v>12.78006811</v>
      </c>
      <c r="O472" s="1">
        <v>1.178120617</v>
      </c>
      <c r="P472" s="1">
        <f t="shared" si="0"/>
        <v>5</v>
      </c>
    </row>
    <row r="473" spans="1:21" ht="14.25" customHeight="1" x14ac:dyDescent="0.35">
      <c r="A473" s="1" t="s">
        <v>683</v>
      </c>
      <c r="B473" s="3">
        <v>45320</v>
      </c>
      <c r="C473" s="1" t="s">
        <v>381</v>
      </c>
      <c r="D473" s="1">
        <v>21</v>
      </c>
      <c r="E473" s="1" t="s">
        <v>26</v>
      </c>
      <c r="F473" s="1" t="s">
        <v>42</v>
      </c>
      <c r="G473" s="1" t="s">
        <v>39</v>
      </c>
      <c r="H473" s="1" t="s">
        <v>23</v>
      </c>
      <c r="I473" s="1">
        <v>873.27</v>
      </c>
      <c r="J473" s="1">
        <v>11048</v>
      </c>
      <c r="K473" s="1">
        <v>4528</v>
      </c>
      <c r="L473" s="1">
        <v>219</v>
      </c>
      <c r="M473" s="1">
        <v>1</v>
      </c>
      <c r="N473" s="1">
        <v>40.984793629999999</v>
      </c>
      <c r="O473" s="1">
        <v>4.8365724380000001</v>
      </c>
      <c r="P473" s="1">
        <f t="shared" si="0"/>
        <v>1</v>
      </c>
    </row>
    <row r="474" spans="1:21" ht="14.25" customHeight="1" x14ac:dyDescent="0.35">
      <c r="A474" s="1" t="s">
        <v>684</v>
      </c>
      <c r="B474" s="3">
        <v>45299</v>
      </c>
      <c r="C474" s="1" t="s">
        <v>685</v>
      </c>
      <c r="D474" s="1">
        <v>24</v>
      </c>
      <c r="E474" s="1" t="s">
        <v>32</v>
      </c>
      <c r="F474" s="1" t="s">
        <v>54</v>
      </c>
      <c r="G474" s="1" t="s">
        <v>43</v>
      </c>
      <c r="H474" s="1" t="s">
        <v>33</v>
      </c>
      <c r="I474" s="1">
        <v>559.04</v>
      </c>
      <c r="J474" s="1">
        <v>48184</v>
      </c>
      <c r="K474" s="1">
        <v>676</v>
      </c>
      <c r="L474" s="1">
        <v>55</v>
      </c>
      <c r="M474" s="1">
        <v>5</v>
      </c>
      <c r="N474" s="1">
        <v>1.4029553379999999</v>
      </c>
      <c r="O474" s="1">
        <v>8.1360946750000007</v>
      </c>
      <c r="P474" s="1">
        <f t="shared" si="0"/>
        <v>5</v>
      </c>
    </row>
    <row r="475" spans="1:21" ht="14.25" customHeight="1" x14ac:dyDescent="0.35">
      <c r="A475" s="1" t="s">
        <v>686</v>
      </c>
      <c r="B475" s="3">
        <v>45335</v>
      </c>
      <c r="C475" s="1" t="s">
        <v>296</v>
      </c>
      <c r="D475" s="1">
        <v>40</v>
      </c>
      <c r="E475" s="1" t="s">
        <v>26</v>
      </c>
      <c r="F475" s="1" t="s">
        <v>27</v>
      </c>
      <c r="G475" s="1" t="s">
        <v>43</v>
      </c>
      <c r="H475" s="1" t="s">
        <v>23</v>
      </c>
      <c r="I475" s="1">
        <v>1729.99</v>
      </c>
      <c r="J475" s="1">
        <v>37883</v>
      </c>
      <c r="K475" s="1">
        <v>4156</v>
      </c>
      <c r="L475" s="1">
        <v>286</v>
      </c>
      <c r="M475" s="1">
        <v>5</v>
      </c>
      <c r="N475" s="1">
        <v>10.970620070000001</v>
      </c>
      <c r="O475" s="1">
        <v>6.8816169389999997</v>
      </c>
      <c r="P475" s="1">
        <f t="shared" si="0"/>
        <v>5</v>
      </c>
    </row>
    <row r="476" spans="1:21" ht="14.25" customHeight="1" x14ac:dyDescent="0.35">
      <c r="A476" s="1" t="s">
        <v>687</v>
      </c>
      <c r="B476" s="3">
        <v>45638</v>
      </c>
      <c r="C476" s="1" t="s">
        <v>78</v>
      </c>
      <c r="D476" s="1">
        <v>47</v>
      </c>
      <c r="E476" s="1" t="s">
        <v>32</v>
      </c>
      <c r="F476" s="1" t="s">
        <v>38</v>
      </c>
      <c r="G476" s="1" t="s">
        <v>58</v>
      </c>
      <c r="H476" s="1" t="s">
        <v>29</v>
      </c>
      <c r="I476" s="1">
        <v>1396.64</v>
      </c>
      <c r="J476" s="1">
        <v>48853</v>
      </c>
      <c r="K476" s="1">
        <v>1265</v>
      </c>
      <c r="L476" s="1">
        <v>168</v>
      </c>
      <c r="M476" s="1">
        <v>1</v>
      </c>
      <c r="N476" s="1">
        <v>2.5894008560000001</v>
      </c>
      <c r="O476" s="1">
        <v>13.280632410000001</v>
      </c>
      <c r="P476" s="1">
        <f t="shared" si="0"/>
        <v>1</v>
      </c>
    </row>
    <row r="477" spans="1:21" ht="14.25" customHeight="1" x14ac:dyDescent="0.35">
      <c r="A477" s="1" t="s">
        <v>688</v>
      </c>
      <c r="B477" s="3">
        <v>45425</v>
      </c>
      <c r="C477" s="1" t="s">
        <v>217</v>
      </c>
      <c r="D477" s="1">
        <v>25</v>
      </c>
      <c r="E477" s="1" t="s">
        <v>20</v>
      </c>
      <c r="F477" s="1" t="s">
        <v>21</v>
      </c>
      <c r="G477" s="1" t="s">
        <v>28</v>
      </c>
      <c r="H477" s="1" t="s">
        <v>23</v>
      </c>
      <c r="I477" s="1">
        <v>1639.47</v>
      </c>
      <c r="J477" s="1">
        <v>34488</v>
      </c>
      <c r="K477" s="1">
        <v>288</v>
      </c>
      <c r="L477" s="1">
        <v>12</v>
      </c>
      <c r="M477" s="1">
        <v>2</v>
      </c>
      <c r="N477" s="1">
        <v>0.835073069</v>
      </c>
      <c r="O477" s="1">
        <v>4.1666666670000003</v>
      </c>
      <c r="P477" s="1">
        <f t="shared" si="0"/>
        <v>2</v>
      </c>
    </row>
    <row r="478" spans="1:21" ht="14.25" customHeight="1" x14ac:dyDescent="0.35">
      <c r="A478" s="1" t="s">
        <v>689</v>
      </c>
      <c r="B478" s="3">
        <v>45624</v>
      </c>
      <c r="C478" s="1" t="s">
        <v>595</v>
      </c>
      <c r="D478" s="1">
        <v>19</v>
      </c>
      <c r="E478" s="1" t="s">
        <v>26</v>
      </c>
      <c r="F478" s="1" t="s">
        <v>27</v>
      </c>
      <c r="G478" s="1" t="s">
        <v>58</v>
      </c>
      <c r="H478" s="1" t="s">
        <v>29</v>
      </c>
      <c r="I478" s="1">
        <v>1118.92</v>
      </c>
      <c r="J478" s="1">
        <v>13713</v>
      </c>
      <c r="K478" s="1">
        <v>4502</v>
      </c>
      <c r="L478" s="1">
        <v>199</v>
      </c>
      <c r="M478" s="1">
        <v>1</v>
      </c>
      <c r="N478" s="1">
        <v>32.830161160000003</v>
      </c>
      <c r="O478" s="1">
        <v>4.4202576630000001</v>
      </c>
      <c r="P478" s="1">
        <f t="shared" si="0"/>
        <v>1</v>
      </c>
    </row>
    <row r="479" spans="1:21" ht="14.25" customHeight="1" x14ac:dyDescent="0.35">
      <c r="A479" s="1" t="s">
        <v>690</v>
      </c>
      <c r="B479" s="3">
        <v>45613</v>
      </c>
      <c r="C479" s="1" t="s">
        <v>116</v>
      </c>
      <c r="D479" s="1">
        <v>31</v>
      </c>
      <c r="E479" s="1" t="s">
        <v>32</v>
      </c>
      <c r="F479" s="1" t="s">
        <v>27</v>
      </c>
      <c r="G479" s="1" t="s">
        <v>28</v>
      </c>
      <c r="H479" s="1" t="s">
        <v>23</v>
      </c>
      <c r="I479" s="1">
        <v>345.88</v>
      </c>
      <c r="J479" s="1">
        <v>1064</v>
      </c>
      <c r="K479" s="1">
        <v>1285</v>
      </c>
      <c r="L479" s="1">
        <v>15</v>
      </c>
      <c r="M479" s="1">
        <v>3</v>
      </c>
      <c r="N479" s="1">
        <v>120.7706767</v>
      </c>
      <c r="O479" s="1">
        <v>1.1673151749999999</v>
      </c>
      <c r="P479" s="1">
        <f t="shared" si="0"/>
        <v>3</v>
      </c>
      <c r="U479" s="1">
        <f>COUNTIF(N475:N1000, N479&gt;100)</f>
        <v>0</v>
      </c>
    </row>
    <row r="480" spans="1:21" ht="14.25" customHeight="1" x14ac:dyDescent="0.35">
      <c r="A480" s="1" t="s">
        <v>691</v>
      </c>
      <c r="B480" s="3">
        <v>45505</v>
      </c>
      <c r="C480" s="1" t="s">
        <v>458</v>
      </c>
      <c r="D480" s="1">
        <v>37</v>
      </c>
      <c r="E480" s="1" t="s">
        <v>20</v>
      </c>
      <c r="F480" s="1" t="s">
        <v>27</v>
      </c>
      <c r="G480" s="1" t="s">
        <v>22</v>
      </c>
      <c r="H480" s="1" t="s">
        <v>59</v>
      </c>
      <c r="I480" s="1">
        <v>1399.6</v>
      </c>
      <c r="J480" s="1">
        <v>20146</v>
      </c>
      <c r="K480" s="1">
        <v>4092</v>
      </c>
      <c r="L480" s="1">
        <v>396</v>
      </c>
      <c r="M480" s="1">
        <v>1</v>
      </c>
      <c r="N480" s="1">
        <v>20.31172441</v>
      </c>
      <c r="O480" s="1">
        <v>9.6774193549999996</v>
      </c>
      <c r="P480" s="1">
        <f t="shared" si="0"/>
        <v>1</v>
      </c>
    </row>
    <row r="481" spans="1:21" ht="14.25" customHeight="1" x14ac:dyDescent="0.35">
      <c r="A481" s="1" t="s">
        <v>692</v>
      </c>
      <c r="B481" s="3">
        <v>45381</v>
      </c>
      <c r="C481" s="1" t="s">
        <v>358</v>
      </c>
      <c r="D481" s="1">
        <v>56</v>
      </c>
      <c r="E481" s="1" t="s">
        <v>20</v>
      </c>
      <c r="F481" s="1" t="s">
        <v>38</v>
      </c>
      <c r="G481" s="1" t="s">
        <v>43</v>
      </c>
      <c r="H481" s="1" t="s">
        <v>29</v>
      </c>
      <c r="I481" s="1">
        <v>1495.4</v>
      </c>
      <c r="J481" s="1">
        <v>29712</v>
      </c>
      <c r="K481" s="1">
        <v>2236</v>
      </c>
      <c r="L481" s="1">
        <v>110</v>
      </c>
      <c r="M481" s="1">
        <v>4</v>
      </c>
      <c r="N481" s="1">
        <v>7.5255788910000003</v>
      </c>
      <c r="O481" s="1">
        <v>4.919499106</v>
      </c>
      <c r="P481" s="1">
        <f t="shared" si="0"/>
        <v>4</v>
      </c>
    </row>
    <row r="482" spans="1:21" ht="14.25" customHeight="1" x14ac:dyDescent="0.35">
      <c r="A482" s="1" t="s">
        <v>693</v>
      </c>
      <c r="B482" s="3">
        <v>45472</v>
      </c>
      <c r="C482" s="1" t="s">
        <v>278</v>
      </c>
      <c r="D482" s="1">
        <v>22</v>
      </c>
      <c r="E482" s="1" t="s">
        <v>26</v>
      </c>
      <c r="F482" s="1" t="s">
        <v>42</v>
      </c>
      <c r="G482" s="1" t="s">
        <v>22</v>
      </c>
      <c r="H482" s="1" t="s">
        <v>23</v>
      </c>
      <c r="I482" s="1">
        <v>1275.81</v>
      </c>
      <c r="J482" s="1">
        <v>34527</v>
      </c>
      <c r="K482" s="1">
        <v>1341</v>
      </c>
      <c r="L482" s="1">
        <v>81</v>
      </c>
      <c r="M482" s="1">
        <v>1</v>
      </c>
      <c r="N482" s="1">
        <v>3.8839169349999998</v>
      </c>
      <c r="O482" s="1">
        <v>6.0402684559999997</v>
      </c>
      <c r="P482" s="1">
        <f t="shared" si="0"/>
        <v>1</v>
      </c>
    </row>
    <row r="483" spans="1:21" ht="14.25" customHeight="1" x14ac:dyDescent="0.35">
      <c r="A483" s="1" t="s">
        <v>694</v>
      </c>
      <c r="B483" s="3">
        <v>45381</v>
      </c>
      <c r="C483" s="1" t="s">
        <v>489</v>
      </c>
      <c r="D483" s="1">
        <v>34</v>
      </c>
      <c r="E483" s="1" t="s">
        <v>26</v>
      </c>
      <c r="F483" s="1" t="s">
        <v>21</v>
      </c>
      <c r="G483" s="1" t="s">
        <v>28</v>
      </c>
      <c r="H483" s="1" t="s">
        <v>33</v>
      </c>
      <c r="I483" s="1">
        <v>1447.21</v>
      </c>
      <c r="J483" s="1">
        <v>23239</v>
      </c>
      <c r="K483" s="1">
        <v>1637</v>
      </c>
      <c r="L483" s="1">
        <v>286</v>
      </c>
      <c r="M483" s="1">
        <v>4</v>
      </c>
      <c r="N483" s="1">
        <v>7.0441929520000004</v>
      </c>
      <c r="O483" s="1">
        <v>17.47098351</v>
      </c>
      <c r="P483" s="1">
        <f t="shared" si="0"/>
        <v>4</v>
      </c>
    </row>
    <row r="484" spans="1:21" ht="14.25" customHeight="1" x14ac:dyDescent="0.35">
      <c r="A484" s="1" t="s">
        <v>695</v>
      </c>
      <c r="B484" s="3">
        <v>45313</v>
      </c>
      <c r="C484" s="1" t="s">
        <v>406</v>
      </c>
      <c r="D484" s="1">
        <v>54</v>
      </c>
      <c r="E484" s="1" t="s">
        <v>20</v>
      </c>
      <c r="F484" s="1" t="s">
        <v>54</v>
      </c>
      <c r="G484" s="1" t="s">
        <v>58</v>
      </c>
      <c r="H484" s="1" t="s">
        <v>59</v>
      </c>
      <c r="I484" s="1">
        <v>1807.33</v>
      </c>
      <c r="J484" s="1">
        <v>4303</v>
      </c>
      <c r="K484" s="1">
        <v>3197</v>
      </c>
      <c r="L484" s="1">
        <v>124</v>
      </c>
      <c r="M484" s="1">
        <v>4</v>
      </c>
      <c r="N484" s="1">
        <v>74.297002090000007</v>
      </c>
      <c r="O484" s="1">
        <v>3.8786362209999998</v>
      </c>
      <c r="P484" s="1">
        <f t="shared" si="0"/>
        <v>4</v>
      </c>
    </row>
    <row r="485" spans="1:21" ht="14.25" customHeight="1" x14ac:dyDescent="0.35">
      <c r="A485" s="1" t="s">
        <v>696</v>
      </c>
      <c r="B485" s="3">
        <v>45394</v>
      </c>
      <c r="C485" s="1" t="s">
        <v>112</v>
      </c>
      <c r="D485" s="1">
        <v>29</v>
      </c>
      <c r="E485" s="1" t="s">
        <v>26</v>
      </c>
      <c r="F485" s="1" t="s">
        <v>42</v>
      </c>
      <c r="G485" s="1" t="s">
        <v>39</v>
      </c>
      <c r="H485" s="1" t="s">
        <v>59</v>
      </c>
      <c r="I485" s="1">
        <v>279.16000000000003</v>
      </c>
      <c r="J485" s="1">
        <v>46212</v>
      </c>
      <c r="K485" s="1">
        <v>4540</v>
      </c>
      <c r="L485" s="1">
        <v>90</v>
      </c>
      <c r="N485" s="1">
        <v>9.8242880639999992</v>
      </c>
      <c r="O485" s="1">
        <v>1.9823788550000001</v>
      </c>
      <c r="P485" s="1">
        <f t="shared" si="0"/>
        <v>3</v>
      </c>
    </row>
    <row r="486" spans="1:21" ht="14.25" customHeight="1" x14ac:dyDescent="0.35">
      <c r="A486" s="1" t="s">
        <v>697</v>
      </c>
      <c r="B486" s="3">
        <v>45399</v>
      </c>
      <c r="C486" s="1" t="s">
        <v>131</v>
      </c>
      <c r="E486" s="1" t="s">
        <v>20</v>
      </c>
      <c r="G486" s="1" t="s">
        <v>39</v>
      </c>
      <c r="H486" s="1" t="s">
        <v>59</v>
      </c>
      <c r="I486" s="1">
        <v>569.16</v>
      </c>
      <c r="J486" s="1">
        <v>8704</v>
      </c>
      <c r="K486" s="1">
        <v>4318</v>
      </c>
      <c r="L486" s="1">
        <v>34</v>
      </c>
      <c r="N486" s="1">
        <v>49.609375</v>
      </c>
      <c r="O486" s="1">
        <v>0.78740157499999996</v>
      </c>
      <c r="P486" s="1">
        <f t="shared" si="0"/>
        <v>3</v>
      </c>
    </row>
    <row r="487" spans="1:21" ht="14.25" customHeight="1" x14ac:dyDescent="0.35">
      <c r="A487" s="1" t="s">
        <v>698</v>
      </c>
      <c r="B487" s="3">
        <v>45457</v>
      </c>
      <c r="C487" s="1" t="s">
        <v>154</v>
      </c>
      <c r="D487" s="1">
        <v>26</v>
      </c>
      <c r="E487" s="1" t="s">
        <v>20</v>
      </c>
      <c r="F487" s="1" t="s">
        <v>21</v>
      </c>
      <c r="G487" s="1" t="s">
        <v>43</v>
      </c>
      <c r="H487" s="1" t="s">
        <v>23</v>
      </c>
      <c r="I487" s="1">
        <v>427.94</v>
      </c>
      <c r="J487" s="1">
        <v>31240</v>
      </c>
      <c r="K487" s="1">
        <v>2206</v>
      </c>
      <c r="L487" s="1">
        <v>270</v>
      </c>
      <c r="M487" s="1">
        <v>4</v>
      </c>
      <c r="N487" s="1">
        <v>7.0614596670000003</v>
      </c>
      <c r="O487" s="1">
        <v>12.23934723</v>
      </c>
      <c r="P487" s="1">
        <f t="shared" si="0"/>
        <v>4</v>
      </c>
    </row>
    <row r="488" spans="1:21" ht="14.25" customHeight="1" x14ac:dyDescent="0.35">
      <c r="A488" s="1" t="s">
        <v>699</v>
      </c>
      <c r="B488" s="3">
        <v>45573</v>
      </c>
      <c r="C488" s="1" t="s">
        <v>157</v>
      </c>
      <c r="D488" s="1">
        <v>52</v>
      </c>
      <c r="E488" s="1" t="s">
        <v>32</v>
      </c>
      <c r="F488" s="1" t="s">
        <v>47</v>
      </c>
      <c r="G488" s="1" t="s">
        <v>39</v>
      </c>
      <c r="H488" s="1" t="s">
        <v>23</v>
      </c>
      <c r="I488" s="1">
        <v>1073.06</v>
      </c>
      <c r="J488" s="1">
        <v>35650</v>
      </c>
      <c r="K488" s="1">
        <v>309</v>
      </c>
      <c r="L488" s="1">
        <v>131</v>
      </c>
      <c r="M488" s="1">
        <v>3</v>
      </c>
      <c r="N488" s="1">
        <v>0.866760168</v>
      </c>
      <c r="O488" s="1">
        <v>42.394822009999999</v>
      </c>
      <c r="P488" s="1">
        <f t="shared" si="0"/>
        <v>3</v>
      </c>
    </row>
    <row r="489" spans="1:21" ht="14.25" customHeight="1" x14ac:dyDescent="0.35">
      <c r="A489" s="1" t="s">
        <v>700</v>
      </c>
      <c r="B489" s="3">
        <v>45360</v>
      </c>
      <c r="C489" s="1" t="s">
        <v>188</v>
      </c>
      <c r="D489" s="1">
        <v>33</v>
      </c>
      <c r="E489" s="1" t="s">
        <v>32</v>
      </c>
      <c r="F489" s="1" t="s">
        <v>54</v>
      </c>
      <c r="G489" s="1" t="s">
        <v>22</v>
      </c>
      <c r="H489" s="1" t="s">
        <v>33</v>
      </c>
      <c r="I489" s="1">
        <v>1095.5899999999999</v>
      </c>
      <c r="J489" s="1">
        <v>8097</v>
      </c>
      <c r="K489" s="1">
        <v>4780</v>
      </c>
      <c r="L489" s="1">
        <v>337</v>
      </c>
      <c r="M489" s="1">
        <v>2</v>
      </c>
      <c r="N489" s="1">
        <v>59.034210199999997</v>
      </c>
      <c r="O489" s="1">
        <v>7.0502092049999998</v>
      </c>
      <c r="P489" s="1">
        <f t="shared" si="0"/>
        <v>2</v>
      </c>
    </row>
    <row r="490" spans="1:21" ht="14.25" customHeight="1" x14ac:dyDescent="0.35">
      <c r="A490" s="1" t="s">
        <v>701</v>
      </c>
      <c r="B490" s="3">
        <v>45442</v>
      </c>
      <c r="C490" s="1" t="s">
        <v>406</v>
      </c>
      <c r="D490" s="1">
        <v>58</v>
      </c>
      <c r="E490" s="1" t="s">
        <v>32</v>
      </c>
      <c r="F490" s="1" t="s">
        <v>27</v>
      </c>
      <c r="G490" s="1" t="s">
        <v>39</v>
      </c>
      <c r="H490" s="1" t="s">
        <v>33</v>
      </c>
      <c r="I490" s="1">
        <v>1616.83</v>
      </c>
      <c r="J490" s="1">
        <v>48262</v>
      </c>
      <c r="K490" s="1">
        <v>2065</v>
      </c>
      <c r="L490" s="1">
        <v>16</v>
      </c>
      <c r="M490" s="1">
        <v>3</v>
      </c>
      <c r="N490" s="1">
        <v>4.2787286059999996</v>
      </c>
      <c r="O490" s="1">
        <v>0.77481840199999996</v>
      </c>
      <c r="P490" s="1">
        <f t="shared" si="0"/>
        <v>3</v>
      </c>
    </row>
    <row r="491" spans="1:21" ht="14.25" customHeight="1" x14ac:dyDescent="0.35">
      <c r="A491" s="1" t="s">
        <v>702</v>
      </c>
      <c r="B491" s="3">
        <v>45324</v>
      </c>
      <c r="C491" s="1" t="s">
        <v>703</v>
      </c>
      <c r="D491" s="1">
        <v>44</v>
      </c>
      <c r="E491" s="1" t="s">
        <v>32</v>
      </c>
      <c r="F491" s="1" t="s">
        <v>47</v>
      </c>
      <c r="G491" s="1" t="s">
        <v>58</v>
      </c>
      <c r="H491" s="1" t="s">
        <v>29</v>
      </c>
      <c r="I491" s="1">
        <v>1635.95</v>
      </c>
      <c r="J491" s="1">
        <v>7197</v>
      </c>
      <c r="K491" s="1">
        <v>1788</v>
      </c>
      <c r="L491" s="1">
        <v>24</v>
      </c>
      <c r="M491" s="1">
        <v>2</v>
      </c>
      <c r="N491" s="1">
        <v>24.843684870000001</v>
      </c>
      <c r="O491" s="1">
        <v>1.342281879</v>
      </c>
      <c r="P491" s="1">
        <f t="shared" si="0"/>
        <v>2</v>
      </c>
    </row>
    <row r="492" spans="1:21" ht="14.25" customHeight="1" x14ac:dyDescent="0.35">
      <c r="A492" s="1" t="s">
        <v>704</v>
      </c>
      <c r="B492" s="3">
        <v>45611</v>
      </c>
      <c r="C492" s="1" t="s">
        <v>258</v>
      </c>
      <c r="E492" s="1" t="s">
        <v>20</v>
      </c>
      <c r="G492" s="1" t="s">
        <v>39</v>
      </c>
      <c r="H492" s="1" t="s">
        <v>59</v>
      </c>
      <c r="I492" s="1">
        <v>446.63</v>
      </c>
      <c r="J492" s="1">
        <v>31137</v>
      </c>
      <c r="K492" s="1">
        <v>3898</v>
      </c>
      <c r="L492" s="1">
        <v>269</v>
      </c>
      <c r="N492" s="1">
        <v>12.518868230000001</v>
      </c>
      <c r="O492" s="1">
        <v>6.9009748589999997</v>
      </c>
      <c r="P492" s="1">
        <f t="shared" si="0"/>
        <v>3</v>
      </c>
    </row>
    <row r="493" spans="1:21" ht="14.25" customHeight="1" x14ac:dyDescent="0.35">
      <c r="A493" s="1" t="s">
        <v>705</v>
      </c>
      <c r="B493" s="3">
        <v>45518</v>
      </c>
      <c r="C493" s="1" t="s">
        <v>172</v>
      </c>
      <c r="D493" s="1">
        <v>43</v>
      </c>
      <c r="E493" s="1" t="s">
        <v>20</v>
      </c>
      <c r="F493" s="1" t="s">
        <v>42</v>
      </c>
      <c r="G493" s="1" t="s">
        <v>43</v>
      </c>
      <c r="H493" s="1" t="s">
        <v>29</v>
      </c>
      <c r="I493" s="1">
        <v>1926.85</v>
      </c>
      <c r="J493" s="1">
        <v>45461</v>
      </c>
      <c r="K493" s="1">
        <v>3777</v>
      </c>
      <c r="L493" s="1">
        <v>258</v>
      </c>
      <c r="M493" s="1">
        <v>4</v>
      </c>
      <c r="N493" s="1">
        <v>8.3082202330000001</v>
      </c>
      <c r="O493" s="1">
        <v>6.8308181100000001</v>
      </c>
      <c r="P493" s="1">
        <f t="shared" si="0"/>
        <v>4</v>
      </c>
    </row>
    <row r="494" spans="1:21" ht="14.25" customHeight="1" x14ac:dyDescent="0.35">
      <c r="A494" s="1" t="s">
        <v>706</v>
      </c>
      <c r="B494" s="3">
        <v>45302</v>
      </c>
      <c r="C494" s="1" t="s">
        <v>286</v>
      </c>
      <c r="D494" s="1">
        <v>46</v>
      </c>
      <c r="E494" s="1" t="s">
        <v>20</v>
      </c>
      <c r="F494" s="1" t="s">
        <v>27</v>
      </c>
      <c r="G494" s="1" t="s">
        <v>22</v>
      </c>
      <c r="H494" s="1" t="s">
        <v>23</v>
      </c>
      <c r="I494" s="1">
        <v>1472.98</v>
      </c>
      <c r="J494" s="1">
        <v>42049</v>
      </c>
      <c r="K494" s="1">
        <v>779</v>
      </c>
      <c r="L494" s="1">
        <v>64</v>
      </c>
      <c r="M494" s="1">
        <v>3</v>
      </c>
      <c r="N494" s="1">
        <v>1.852600537</v>
      </c>
      <c r="O494" s="1">
        <v>8.2156611040000005</v>
      </c>
      <c r="P494" s="1">
        <f t="shared" si="0"/>
        <v>3</v>
      </c>
    </row>
    <row r="495" spans="1:21" ht="14.25" customHeight="1" x14ac:dyDescent="0.35">
      <c r="A495" s="1" t="s">
        <v>707</v>
      </c>
      <c r="B495" s="3">
        <v>45625</v>
      </c>
      <c r="C495" s="1" t="s">
        <v>502</v>
      </c>
      <c r="D495" s="1">
        <v>20</v>
      </c>
      <c r="E495" s="1" t="s">
        <v>26</v>
      </c>
      <c r="F495" s="1" t="s">
        <v>21</v>
      </c>
      <c r="G495" s="1" t="s">
        <v>58</v>
      </c>
      <c r="H495" s="1" t="s">
        <v>59</v>
      </c>
      <c r="I495" s="1">
        <v>656.89</v>
      </c>
      <c r="J495" s="1">
        <v>935</v>
      </c>
      <c r="K495" s="1">
        <v>3128</v>
      </c>
      <c r="L495" s="1">
        <v>248</v>
      </c>
      <c r="N495" s="1">
        <v>334.54545450000001</v>
      </c>
      <c r="O495" s="1">
        <v>7.9283887469999996</v>
      </c>
      <c r="P495" s="1">
        <f t="shared" si="0"/>
        <v>3</v>
      </c>
      <c r="U495" s="1">
        <f>COUNTIF(N491:N1000, N495&gt;100)</f>
        <v>0</v>
      </c>
    </row>
    <row r="496" spans="1:21" ht="14.25" customHeight="1" x14ac:dyDescent="0.35">
      <c r="A496" s="1" t="s">
        <v>708</v>
      </c>
      <c r="B496" s="3">
        <v>45455</v>
      </c>
      <c r="C496" s="1" t="s">
        <v>564</v>
      </c>
      <c r="D496" s="1">
        <v>51</v>
      </c>
      <c r="E496" s="1" t="s">
        <v>32</v>
      </c>
      <c r="F496" s="1" t="s">
        <v>27</v>
      </c>
      <c r="G496" s="1" t="s">
        <v>39</v>
      </c>
      <c r="H496" s="1" t="s">
        <v>23</v>
      </c>
      <c r="I496" s="1">
        <v>553.27</v>
      </c>
      <c r="J496" s="1">
        <v>44864</v>
      </c>
      <c r="K496" s="1">
        <v>4157</v>
      </c>
      <c r="L496" s="1">
        <v>130</v>
      </c>
      <c r="M496" s="1">
        <v>3</v>
      </c>
      <c r="N496" s="1">
        <v>9.2657810269999992</v>
      </c>
      <c r="O496" s="1">
        <v>3.127255232</v>
      </c>
      <c r="P496" s="1">
        <f t="shared" si="0"/>
        <v>3</v>
      </c>
    </row>
    <row r="497" spans="1:16" ht="14.25" customHeight="1" x14ac:dyDescent="0.35">
      <c r="A497" s="1" t="s">
        <v>709</v>
      </c>
      <c r="B497" s="3">
        <v>45330</v>
      </c>
      <c r="C497" s="1" t="s">
        <v>127</v>
      </c>
      <c r="D497" s="1">
        <v>59</v>
      </c>
      <c r="E497" s="1" t="s">
        <v>20</v>
      </c>
      <c r="F497" s="1" t="s">
        <v>38</v>
      </c>
      <c r="G497" s="1" t="s">
        <v>22</v>
      </c>
      <c r="H497" s="1" t="s">
        <v>23</v>
      </c>
      <c r="I497" s="1">
        <v>398.14</v>
      </c>
      <c r="J497" s="1">
        <v>21016</v>
      </c>
      <c r="K497" s="1">
        <v>1705</v>
      </c>
      <c r="L497" s="1">
        <v>384</v>
      </c>
      <c r="M497" s="1">
        <v>2</v>
      </c>
      <c r="N497" s="1">
        <v>8.1128663880000005</v>
      </c>
      <c r="O497" s="1">
        <v>22.52199413</v>
      </c>
      <c r="P497" s="1">
        <f t="shared" si="0"/>
        <v>2</v>
      </c>
    </row>
    <row r="498" spans="1:16" ht="14.25" customHeight="1" x14ac:dyDescent="0.35">
      <c r="A498" s="1" t="s">
        <v>710</v>
      </c>
      <c r="B498" s="3">
        <v>45651</v>
      </c>
      <c r="C498" s="1" t="s">
        <v>711</v>
      </c>
      <c r="D498" s="1">
        <v>61</v>
      </c>
      <c r="E498" s="1" t="s">
        <v>26</v>
      </c>
      <c r="F498" s="1" t="s">
        <v>47</v>
      </c>
      <c r="G498" s="1" t="s">
        <v>43</v>
      </c>
      <c r="H498" s="1" t="s">
        <v>33</v>
      </c>
      <c r="I498" s="1">
        <v>1709.65</v>
      </c>
      <c r="J498" s="1">
        <v>12991</v>
      </c>
      <c r="K498" s="1">
        <v>3816</v>
      </c>
      <c r="L498" s="1">
        <v>394</v>
      </c>
      <c r="N498" s="1">
        <v>29.374182130000001</v>
      </c>
      <c r="O498" s="1">
        <v>10.324947590000001</v>
      </c>
      <c r="P498" s="1">
        <f t="shared" si="0"/>
        <v>3</v>
      </c>
    </row>
    <row r="499" spans="1:16" ht="14.25" customHeight="1" x14ac:dyDescent="0.35">
      <c r="A499" s="1" t="s">
        <v>712</v>
      </c>
      <c r="B499" s="3">
        <v>45404</v>
      </c>
      <c r="C499" s="1" t="s">
        <v>61</v>
      </c>
      <c r="D499" s="1">
        <v>48</v>
      </c>
      <c r="E499" s="1" t="s">
        <v>20</v>
      </c>
      <c r="F499" s="1" t="s">
        <v>21</v>
      </c>
      <c r="G499" s="1" t="s">
        <v>28</v>
      </c>
      <c r="H499" s="1" t="s">
        <v>33</v>
      </c>
      <c r="I499" s="1">
        <v>1638.68</v>
      </c>
      <c r="J499" s="1">
        <v>35229</v>
      </c>
      <c r="K499" s="1">
        <v>4750</v>
      </c>
      <c r="L499" s="1">
        <v>174</v>
      </c>
      <c r="M499" s="1">
        <v>1</v>
      </c>
      <c r="N499" s="1">
        <v>13.483209860000001</v>
      </c>
      <c r="O499" s="1">
        <v>3.6631578949999999</v>
      </c>
      <c r="P499" s="1">
        <f t="shared" si="0"/>
        <v>1</v>
      </c>
    </row>
    <row r="500" spans="1:16" ht="14.25" customHeight="1" x14ac:dyDescent="0.35">
      <c r="A500" s="1" t="s">
        <v>713</v>
      </c>
      <c r="B500" s="3">
        <v>45292</v>
      </c>
      <c r="C500" s="1" t="s">
        <v>366</v>
      </c>
      <c r="D500" s="1">
        <v>40</v>
      </c>
      <c r="E500" s="1" t="s">
        <v>26</v>
      </c>
      <c r="F500" s="1" t="s">
        <v>54</v>
      </c>
      <c r="G500" s="1" t="s">
        <v>28</v>
      </c>
      <c r="H500" s="1" t="s">
        <v>29</v>
      </c>
      <c r="I500" s="1">
        <v>1560.04</v>
      </c>
      <c r="J500" s="1">
        <v>4611</v>
      </c>
      <c r="K500" s="1">
        <v>2522</v>
      </c>
      <c r="L500" s="1">
        <v>308</v>
      </c>
      <c r="M500" s="1">
        <v>1</v>
      </c>
      <c r="N500" s="1">
        <v>54.69529386</v>
      </c>
      <c r="O500" s="1">
        <v>12.212529740000001</v>
      </c>
      <c r="P500" s="1">
        <f t="shared" si="0"/>
        <v>1</v>
      </c>
    </row>
    <row r="501" spans="1:16" ht="14.25" customHeight="1" x14ac:dyDescent="0.35">
      <c r="A501" s="1" t="s">
        <v>714</v>
      </c>
      <c r="B501" s="3">
        <v>45374</v>
      </c>
      <c r="C501" s="1" t="s">
        <v>453</v>
      </c>
      <c r="D501" s="1">
        <v>43</v>
      </c>
      <c r="E501" s="1" t="s">
        <v>32</v>
      </c>
      <c r="F501" s="1" t="s">
        <v>21</v>
      </c>
      <c r="G501" s="1" t="s">
        <v>43</v>
      </c>
      <c r="H501" s="1" t="s">
        <v>23</v>
      </c>
      <c r="I501" s="1">
        <v>767.66</v>
      </c>
      <c r="J501" s="1">
        <v>753</v>
      </c>
      <c r="K501" s="1">
        <v>627</v>
      </c>
      <c r="L501" s="1">
        <v>301</v>
      </c>
      <c r="N501" s="1">
        <v>83.266932269999998</v>
      </c>
      <c r="O501" s="1">
        <v>48.006379590000002</v>
      </c>
      <c r="P501" s="1">
        <f t="shared" si="0"/>
        <v>3</v>
      </c>
    </row>
    <row r="502" spans="1:16" ht="14.25" customHeight="1" x14ac:dyDescent="0.35"/>
    <row r="503" spans="1:16" ht="14.25" customHeight="1" x14ac:dyDescent="0.35"/>
    <row r="504" spans="1:16" ht="14.25" customHeight="1" x14ac:dyDescent="0.35"/>
    <row r="505" spans="1:16" ht="14.25" customHeight="1" x14ac:dyDescent="0.35"/>
    <row r="506" spans="1:16" ht="14.25" customHeight="1" x14ac:dyDescent="0.35"/>
    <row r="507" spans="1:16" ht="14.25" customHeight="1" x14ac:dyDescent="0.35"/>
    <row r="508" spans="1:16" ht="14.25" customHeight="1" x14ac:dyDescent="0.35"/>
    <row r="509" spans="1:16" ht="14.25" customHeight="1" x14ac:dyDescent="0.35"/>
    <row r="510" spans="1:16" ht="14.25" customHeight="1" x14ac:dyDescent="0.35"/>
    <row r="511" spans="1:16" ht="14.25" customHeight="1" x14ac:dyDescent="0.35"/>
    <row r="512" spans="1:16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"/>
  <sheetViews>
    <sheetView workbookViewId="0"/>
  </sheetViews>
  <sheetFormatPr defaultColWidth="14.453125" defaultRowHeight="15" customHeight="1" x14ac:dyDescent="0.35"/>
  <cols>
    <col min="1" max="1" width="20.7265625" customWidth="1"/>
  </cols>
  <sheetData>
    <row r="1" spans="1:2" x14ac:dyDescent="0.35">
      <c r="A1" s="2" t="s">
        <v>715</v>
      </c>
      <c r="B1" s="2" t="s">
        <v>716</v>
      </c>
    </row>
    <row r="2" spans="1:2" x14ac:dyDescent="0.35">
      <c r="A2" s="2" t="s">
        <v>717</v>
      </c>
      <c r="B2" s="1" t="e">
        <f>AVERAGE([1]marketing_campaign_dataset_500_!M:M)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marketing_campaign_dataset_500_</vt:lpstr>
      <vt:lpstr>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</cp:lastModifiedBy>
  <dcterms:created xsi:type="dcterms:W3CDTF">2026-03-13T02:09:33Z</dcterms:created>
  <dcterms:modified xsi:type="dcterms:W3CDTF">2026-05-21T20:42:50Z</dcterms:modified>
</cp:coreProperties>
</file>