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ctoria\Desktop\NextMakers\"/>
    </mc:Choice>
  </mc:AlternateContent>
  <bookViews>
    <workbookView xWindow="0" yWindow="0" windowWidth="19200" windowHeight="7640" firstSheet="3" activeTab="3"/>
  </bookViews>
  <sheets>
    <sheet name="marketing_campaign_dataset_500_" sheetId="1" r:id="rId1"/>
    <sheet name="Summary sheet" sheetId="2" r:id="rId2"/>
    <sheet name="Lookup_table" sheetId="3" r:id="rId3"/>
    <sheet name="Dynamic_report" sheetId="4" r:id="rId4"/>
    <sheet name="Cleaned_data" sheetId="5" r:id="rId5"/>
    <sheet name="Pivot_report" sheetId="6" r:id="rId6"/>
    <sheet name="Statistical_analysis" sheetId="7" r:id="rId7"/>
    <sheet name="PowerBI_Data" sheetId="8" r:id="rId8"/>
  </sheets>
  <externalReferences>
    <externalReference r:id="rId9"/>
  </externalReferences>
  <definedNames>
    <definedName name="Slicer_Country">#N/A</definedName>
  </definedNames>
  <calcPr calcId="162913"/>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7tUc6V4mqLRjvYRFrRClYizaIO1RUkrfRnE6oUxeRqk="/>
    </ext>
  </extLst>
</workbook>
</file>

<file path=xl/calcChain.xml><?xml version="1.0" encoding="utf-8"?>
<calcChain xmlns="http://schemas.openxmlformats.org/spreadsheetml/2006/main">
  <c r="H3" i="7" l="1"/>
  <c r="H4" i="7"/>
  <c r="H2" i="7"/>
  <c r="E8" i="7"/>
  <c r="E7" i="7"/>
  <c r="E6" i="7"/>
  <c r="E5" i="7"/>
  <c r="E4" i="7"/>
  <c r="E3" i="7"/>
  <c r="E2" i="7"/>
  <c r="D8" i="7"/>
  <c r="D7" i="7"/>
  <c r="D6" i="7"/>
  <c r="D5" i="7"/>
  <c r="D4" i="7"/>
  <c r="D3" i="7"/>
  <c r="D2" i="7"/>
  <c r="C8" i="7"/>
  <c r="C7" i="7"/>
  <c r="C6" i="7"/>
  <c r="C5" i="7"/>
  <c r="C4" i="7"/>
  <c r="C3" i="7"/>
  <c r="C2" i="7"/>
  <c r="B8" i="7"/>
  <c r="B7" i="7"/>
  <c r="B6" i="7"/>
  <c r="B4" i="7"/>
  <c r="B5" i="7"/>
  <c r="B3" i="7"/>
  <c r="B2" i="7"/>
  <c r="AE5" i="5"/>
  <c r="AE4" i="5"/>
  <c r="AE3" i="5"/>
  <c r="AE2" i="5"/>
  <c r="AC3" i="5"/>
  <c r="AA501" i="5"/>
  <c r="Y501" i="5"/>
  <c r="Z501" i="5" s="1"/>
  <c r="X501" i="5"/>
  <c r="V501" i="5"/>
  <c r="AA500" i="5"/>
  <c r="Y500" i="5"/>
  <c r="Z500" i="5" s="1"/>
  <c r="X500" i="5"/>
  <c r="V500" i="5"/>
  <c r="P500" i="5"/>
  <c r="AA499" i="5"/>
  <c r="Y499" i="5"/>
  <c r="Z499" i="5" s="1"/>
  <c r="X499" i="5"/>
  <c r="V499" i="5"/>
  <c r="P499" i="5"/>
  <c r="AA498" i="5"/>
  <c r="Y498" i="5"/>
  <c r="Z498" i="5" s="1"/>
  <c r="X498" i="5"/>
  <c r="V498" i="5"/>
  <c r="AA497" i="5"/>
  <c r="Y497" i="5"/>
  <c r="Z497" i="5" s="1"/>
  <c r="X497" i="5"/>
  <c r="V497" i="5"/>
  <c r="P497" i="5"/>
  <c r="AA496" i="5"/>
  <c r="Y496" i="5"/>
  <c r="Z496" i="5" s="1"/>
  <c r="X496" i="5"/>
  <c r="V496" i="5"/>
  <c r="P496" i="5"/>
  <c r="AA495" i="5"/>
  <c r="Y495" i="5"/>
  <c r="Z495" i="5" s="1"/>
  <c r="X495" i="5"/>
  <c r="V495" i="5"/>
  <c r="U495" i="5"/>
  <c r="AA494" i="5"/>
  <c r="Y494" i="5"/>
  <c r="Z494" i="5" s="1"/>
  <c r="X494" i="5"/>
  <c r="V494" i="5"/>
  <c r="P494" i="5"/>
  <c r="AA493" i="5"/>
  <c r="Y493" i="5"/>
  <c r="Z493" i="5" s="1"/>
  <c r="X493" i="5"/>
  <c r="V493" i="5"/>
  <c r="P493" i="5"/>
  <c r="AA492" i="5"/>
  <c r="Z492" i="5"/>
  <c r="Y492" i="5"/>
  <c r="X492" i="5"/>
  <c r="V492" i="5"/>
  <c r="AA491" i="5"/>
  <c r="Y491" i="5"/>
  <c r="Z491" i="5" s="1"/>
  <c r="X491" i="5"/>
  <c r="V491" i="5"/>
  <c r="P491" i="5"/>
  <c r="AA490" i="5"/>
  <c r="Y490" i="5"/>
  <c r="Z490" i="5" s="1"/>
  <c r="X490" i="5"/>
  <c r="V490" i="5"/>
  <c r="P490" i="5"/>
  <c r="AA489" i="5"/>
  <c r="Z489" i="5"/>
  <c r="Y489" i="5"/>
  <c r="X489" i="5"/>
  <c r="V489" i="5"/>
  <c r="P489" i="5"/>
  <c r="AA488" i="5"/>
  <c r="Y488" i="5"/>
  <c r="Z488" i="5" s="1"/>
  <c r="X488" i="5"/>
  <c r="V488" i="5"/>
  <c r="P488" i="5"/>
  <c r="AA487" i="5"/>
  <c r="Y487" i="5"/>
  <c r="Z487" i="5" s="1"/>
  <c r="X487" i="5"/>
  <c r="V487" i="5"/>
  <c r="P487" i="5"/>
  <c r="AA486" i="5"/>
  <c r="Z486" i="5"/>
  <c r="Y486" i="5"/>
  <c r="X486" i="5"/>
  <c r="V486" i="5"/>
  <c r="AA485" i="5"/>
  <c r="Y485" i="5"/>
  <c r="Z485" i="5" s="1"/>
  <c r="X485" i="5"/>
  <c r="V485" i="5"/>
  <c r="AA484" i="5"/>
  <c r="Y484" i="5"/>
  <c r="Z484" i="5" s="1"/>
  <c r="X484" i="5"/>
  <c r="V484" i="5"/>
  <c r="P484" i="5"/>
  <c r="AA483" i="5"/>
  <c r="Z483" i="5"/>
  <c r="Y483" i="5"/>
  <c r="X483" i="5"/>
  <c r="V483" i="5"/>
  <c r="P483" i="5"/>
  <c r="AA482" i="5"/>
  <c r="Y482" i="5"/>
  <c r="Z482" i="5" s="1"/>
  <c r="X482" i="5"/>
  <c r="V482" i="5"/>
  <c r="P482" i="5"/>
  <c r="AA481" i="5"/>
  <c r="Y481" i="5"/>
  <c r="Z481" i="5" s="1"/>
  <c r="X481" i="5"/>
  <c r="V481" i="5"/>
  <c r="P481" i="5"/>
  <c r="AA480" i="5"/>
  <c r="Y480" i="5"/>
  <c r="Z480" i="5" s="1"/>
  <c r="X480" i="5"/>
  <c r="V480" i="5"/>
  <c r="P480" i="5"/>
  <c r="AA479" i="5"/>
  <c r="Y479" i="5"/>
  <c r="Z479" i="5" s="1"/>
  <c r="X479" i="5"/>
  <c r="V479" i="5"/>
  <c r="U479" i="5"/>
  <c r="P479" i="5"/>
  <c r="AA478" i="5"/>
  <c r="Y478" i="5"/>
  <c r="Z478" i="5" s="1"/>
  <c r="X478" i="5"/>
  <c r="V478" i="5"/>
  <c r="P478" i="5"/>
  <c r="AA477" i="5"/>
  <c r="Z477" i="5"/>
  <c r="Y477" i="5"/>
  <c r="X477" i="5"/>
  <c r="V477" i="5"/>
  <c r="P477" i="5"/>
  <c r="AA476" i="5"/>
  <c r="Z476" i="5"/>
  <c r="Y476" i="5"/>
  <c r="X476" i="5"/>
  <c r="V476" i="5"/>
  <c r="P476" i="5"/>
  <c r="AA475" i="5"/>
  <c r="Y475" i="5"/>
  <c r="Z475" i="5" s="1"/>
  <c r="X475" i="5"/>
  <c r="V475" i="5"/>
  <c r="P475" i="5"/>
  <c r="AA474" i="5"/>
  <c r="Z474" i="5"/>
  <c r="Y474" i="5"/>
  <c r="X474" i="5"/>
  <c r="V474" i="5"/>
  <c r="P474" i="5"/>
  <c r="AA473" i="5"/>
  <c r="Z473" i="5"/>
  <c r="Y473" i="5"/>
  <c r="X473" i="5"/>
  <c r="V473" i="5"/>
  <c r="P473" i="5"/>
  <c r="AA472" i="5"/>
  <c r="Y472" i="5"/>
  <c r="Z472" i="5" s="1"/>
  <c r="X472" i="5"/>
  <c r="V472" i="5"/>
  <c r="P472" i="5"/>
  <c r="AA471" i="5"/>
  <c r="Z471" i="5"/>
  <c r="Y471" i="5"/>
  <c r="X471" i="5"/>
  <c r="V471" i="5"/>
  <c r="P471" i="5"/>
  <c r="AA470" i="5"/>
  <c r="Z470" i="5"/>
  <c r="Y470" i="5"/>
  <c r="X470" i="5"/>
  <c r="V470" i="5"/>
  <c r="P470" i="5"/>
  <c r="AA469" i="5"/>
  <c r="Y469" i="5"/>
  <c r="Z469" i="5" s="1"/>
  <c r="X469" i="5"/>
  <c r="V469" i="5"/>
  <c r="P469" i="5"/>
  <c r="AA468" i="5"/>
  <c r="Z468" i="5"/>
  <c r="Y468" i="5"/>
  <c r="X468" i="5"/>
  <c r="V468" i="5"/>
  <c r="P468" i="5"/>
  <c r="AA467" i="5"/>
  <c r="Z467" i="5"/>
  <c r="Y467" i="5"/>
  <c r="X467" i="5"/>
  <c r="V467" i="5"/>
  <c r="AA466" i="5"/>
  <c r="Y466" i="5"/>
  <c r="Z466" i="5" s="1"/>
  <c r="X466" i="5"/>
  <c r="V466" i="5"/>
  <c r="P466" i="5"/>
  <c r="AA465" i="5"/>
  <c r="Z465" i="5"/>
  <c r="Y465" i="5"/>
  <c r="X465" i="5"/>
  <c r="V465" i="5"/>
  <c r="P465" i="5"/>
  <c r="AA464" i="5"/>
  <c r="Z464" i="5"/>
  <c r="Y464" i="5"/>
  <c r="X464" i="5"/>
  <c r="V464" i="5"/>
  <c r="AA463" i="5"/>
  <c r="Y463" i="5"/>
  <c r="Z463" i="5" s="1"/>
  <c r="X463" i="5"/>
  <c r="V463" i="5"/>
  <c r="P463" i="5"/>
  <c r="AA462" i="5"/>
  <c r="Z462" i="5"/>
  <c r="Y462" i="5"/>
  <c r="X462" i="5"/>
  <c r="V462" i="5"/>
  <c r="AA461" i="5"/>
  <c r="Z461" i="5"/>
  <c r="Y461" i="5"/>
  <c r="X461" i="5"/>
  <c r="V461" i="5"/>
  <c r="P461" i="5"/>
  <c r="AA460" i="5"/>
  <c r="Y460" i="5"/>
  <c r="Z460" i="5" s="1"/>
  <c r="X460" i="5"/>
  <c r="V460" i="5"/>
  <c r="AA459" i="5"/>
  <c r="Z459" i="5"/>
  <c r="Y459" i="5"/>
  <c r="X459" i="5"/>
  <c r="V459" i="5"/>
  <c r="P459" i="5"/>
  <c r="AA458" i="5"/>
  <c r="Z458" i="5"/>
  <c r="Y458" i="5"/>
  <c r="X458" i="5"/>
  <c r="V458" i="5"/>
  <c r="P458" i="5"/>
  <c r="AA457" i="5"/>
  <c r="Y457" i="5"/>
  <c r="Z457" i="5" s="1"/>
  <c r="X457" i="5"/>
  <c r="V457" i="5"/>
  <c r="P457" i="5"/>
  <c r="AA456" i="5"/>
  <c r="Z456" i="5"/>
  <c r="Y456" i="5"/>
  <c r="X456" i="5"/>
  <c r="V456" i="5"/>
  <c r="P456" i="5"/>
  <c r="AA455" i="5"/>
  <c r="Z455" i="5"/>
  <c r="Y455" i="5"/>
  <c r="X455" i="5"/>
  <c r="V455" i="5"/>
  <c r="P455" i="5"/>
  <c r="AA454" i="5"/>
  <c r="Y454" i="5"/>
  <c r="Z454" i="5" s="1"/>
  <c r="X454" i="5"/>
  <c r="V454" i="5"/>
  <c r="AA453" i="5"/>
  <c r="Z453" i="5"/>
  <c r="Y453" i="5"/>
  <c r="X453" i="5"/>
  <c r="V453" i="5"/>
  <c r="P453" i="5"/>
  <c r="AA452" i="5"/>
  <c r="Z452" i="5"/>
  <c r="Y452" i="5"/>
  <c r="X452" i="5"/>
  <c r="V452" i="5"/>
  <c r="U452" i="5"/>
  <c r="AA451" i="5"/>
  <c r="Z451" i="5"/>
  <c r="Y451" i="5"/>
  <c r="X451" i="5"/>
  <c r="V451" i="5"/>
  <c r="AA450" i="5"/>
  <c r="Z450" i="5"/>
  <c r="Y450" i="5"/>
  <c r="X450" i="5"/>
  <c r="V450" i="5"/>
  <c r="P450" i="5"/>
  <c r="AA449" i="5"/>
  <c r="Y449" i="5"/>
  <c r="Z449" i="5" s="1"/>
  <c r="X449" i="5"/>
  <c r="V449" i="5"/>
  <c r="P449" i="5"/>
  <c r="AA448" i="5"/>
  <c r="Z448" i="5"/>
  <c r="Y448" i="5"/>
  <c r="X448" i="5"/>
  <c r="V448" i="5"/>
  <c r="P448" i="5"/>
  <c r="AA447" i="5"/>
  <c r="Z447" i="5"/>
  <c r="Y447" i="5"/>
  <c r="X447" i="5"/>
  <c r="V447" i="5"/>
  <c r="P447" i="5"/>
  <c r="AA446" i="5"/>
  <c r="Y446" i="5"/>
  <c r="Z446" i="5" s="1"/>
  <c r="X446" i="5"/>
  <c r="V446" i="5"/>
  <c r="P446" i="5"/>
  <c r="AA445" i="5"/>
  <c r="Z445" i="5"/>
  <c r="Y445" i="5"/>
  <c r="X445" i="5"/>
  <c r="V445" i="5"/>
  <c r="P445" i="5"/>
  <c r="AA444" i="5"/>
  <c r="Z444" i="5"/>
  <c r="Y444" i="5"/>
  <c r="X444" i="5"/>
  <c r="V444" i="5"/>
  <c r="AA443" i="5"/>
  <c r="Y443" i="5"/>
  <c r="Z443" i="5" s="1"/>
  <c r="X443" i="5"/>
  <c r="V443" i="5"/>
  <c r="P443" i="5"/>
  <c r="AA442" i="5"/>
  <c r="Z442" i="5"/>
  <c r="Y442" i="5"/>
  <c r="X442" i="5"/>
  <c r="V442" i="5"/>
  <c r="AA441" i="5"/>
  <c r="Z441" i="5"/>
  <c r="Y441" i="5"/>
  <c r="X441" i="5"/>
  <c r="V441" i="5"/>
  <c r="P441" i="5"/>
  <c r="AA440" i="5"/>
  <c r="Y440" i="5"/>
  <c r="Z440" i="5" s="1"/>
  <c r="X440" i="5"/>
  <c r="V440" i="5"/>
  <c r="P440" i="5"/>
  <c r="AA439" i="5"/>
  <c r="Z439" i="5"/>
  <c r="Y439" i="5"/>
  <c r="X439" i="5"/>
  <c r="V439" i="5"/>
  <c r="P439" i="5"/>
  <c r="AA438" i="5"/>
  <c r="Z438" i="5"/>
  <c r="Y438" i="5"/>
  <c r="X438" i="5"/>
  <c r="V438" i="5"/>
  <c r="AA437" i="5"/>
  <c r="Y437" i="5"/>
  <c r="Z437" i="5" s="1"/>
  <c r="X437" i="5"/>
  <c r="V437" i="5"/>
  <c r="AA436" i="5"/>
  <c r="Z436" i="5"/>
  <c r="Y436" i="5"/>
  <c r="X436" i="5"/>
  <c r="V436" i="5"/>
  <c r="P436" i="5"/>
  <c r="AA435" i="5"/>
  <c r="Z435" i="5"/>
  <c r="Y435" i="5"/>
  <c r="X435" i="5"/>
  <c r="V435" i="5"/>
  <c r="P435" i="5"/>
  <c r="AA434" i="5"/>
  <c r="Y434" i="5"/>
  <c r="Z434" i="5" s="1"/>
  <c r="X434" i="5"/>
  <c r="V434" i="5"/>
  <c r="P434" i="5"/>
  <c r="AA433" i="5"/>
  <c r="Z433" i="5"/>
  <c r="Y433" i="5"/>
  <c r="X433" i="5"/>
  <c r="V433" i="5"/>
  <c r="P433" i="5"/>
  <c r="AA432" i="5"/>
  <c r="Y432" i="5"/>
  <c r="Z432" i="5" s="1"/>
  <c r="X432" i="5"/>
  <c r="V432" i="5"/>
  <c r="P432" i="5"/>
  <c r="AA431" i="5"/>
  <c r="Y431" i="5"/>
  <c r="Z431" i="5" s="1"/>
  <c r="X431" i="5"/>
  <c r="V431" i="5"/>
  <c r="P431" i="5"/>
  <c r="AA430" i="5"/>
  <c r="Z430" i="5"/>
  <c r="Y430" i="5"/>
  <c r="X430" i="5"/>
  <c r="V430" i="5"/>
  <c r="P430" i="5"/>
  <c r="AA429" i="5"/>
  <c r="Y429" i="5"/>
  <c r="Z429" i="5" s="1"/>
  <c r="X429" i="5"/>
  <c r="V429" i="5"/>
  <c r="AA428" i="5"/>
  <c r="Y428" i="5"/>
  <c r="Z428" i="5" s="1"/>
  <c r="X428" i="5"/>
  <c r="V428" i="5"/>
  <c r="P428" i="5"/>
  <c r="AA427" i="5"/>
  <c r="Z427" i="5"/>
  <c r="Y427" i="5"/>
  <c r="X427" i="5"/>
  <c r="V427" i="5"/>
  <c r="P427" i="5"/>
  <c r="AA426" i="5"/>
  <c r="Y426" i="5"/>
  <c r="Z426" i="5" s="1"/>
  <c r="X426" i="5"/>
  <c r="V426" i="5"/>
  <c r="AA425" i="5"/>
  <c r="Y425" i="5"/>
  <c r="Z425" i="5" s="1"/>
  <c r="X425" i="5"/>
  <c r="V425" i="5"/>
  <c r="P425" i="5"/>
  <c r="AA424" i="5"/>
  <c r="Z424" i="5"/>
  <c r="Y424" i="5"/>
  <c r="X424" i="5"/>
  <c r="V424" i="5"/>
  <c r="P424" i="5"/>
  <c r="AA423" i="5"/>
  <c r="Y423" i="5"/>
  <c r="Z423" i="5" s="1"/>
  <c r="X423" i="5"/>
  <c r="V423" i="5"/>
  <c r="U423" i="5"/>
  <c r="P423" i="5"/>
  <c r="AA422" i="5"/>
  <c r="Z422" i="5"/>
  <c r="Y422" i="5"/>
  <c r="X422" i="5"/>
  <c r="V422" i="5"/>
  <c r="AA421" i="5"/>
  <c r="Y421" i="5"/>
  <c r="Z421" i="5" s="1"/>
  <c r="X421" i="5"/>
  <c r="V421" i="5"/>
  <c r="P421" i="5"/>
  <c r="AA420" i="5"/>
  <c r="Y420" i="5"/>
  <c r="Z420" i="5" s="1"/>
  <c r="X420" i="5"/>
  <c r="V420" i="5"/>
  <c r="P420" i="5"/>
  <c r="AA419" i="5"/>
  <c r="Z419" i="5"/>
  <c r="Y419" i="5"/>
  <c r="X419" i="5"/>
  <c r="V419" i="5"/>
  <c r="P419" i="5"/>
  <c r="AA418" i="5"/>
  <c r="Z418" i="5"/>
  <c r="Y418" i="5"/>
  <c r="X418" i="5"/>
  <c r="V418" i="5"/>
  <c r="P418" i="5"/>
  <c r="AA417" i="5"/>
  <c r="Y417" i="5"/>
  <c r="Z417" i="5" s="1"/>
  <c r="X417" i="5"/>
  <c r="V417" i="5"/>
  <c r="P417" i="5"/>
  <c r="AA416" i="5"/>
  <c r="Z416" i="5"/>
  <c r="Y416" i="5"/>
  <c r="X416" i="5"/>
  <c r="V416" i="5"/>
  <c r="P416" i="5"/>
  <c r="AA415" i="5"/>
  <c r="Y415" i="5"/>
  <c r="Z415" i="5" s="1"/>
  <c r="X415" i="5"/>
  <c r="V415" i="5"/>
  <c r="P415" i="5"/>
  <c r="AA414" i="5"/>
  <c r="Y414" i="5"/>
  <c r="Z414" i="5" s="1"/>
  <c r="X414" i="5"/>
  <c r="V414" i="5"/>
  <c r="P414" i="5"/>
  <c r="AA413" i="5"/>
  <c r="Z413" i="5"/>
  <c r="Y413" i="5"/>
  <c r="X413" i="5"/>
  <c r="V413" i="5"/>
  <c r="P413" i="5"/>
  <c r="AA412" i="5"/>
  <c r="Z412" i="5"/>
  <c r="Y412" i="5"/>
  <c r="X412" i="5"/>
  <c r="V412" i="5"/>
  <c r="P412" i="5"/>
  <c r="AA411" i="5"/>
  <c r="Y411" i="5"/>
  <c r="Z411" i="5" s="1"/>
  <c r="X411" i="5"/>
  <c r="V411" i="5"/>
  <c r="U411" i="5"/>
  <c r="P411" i="5"/>
  <c r="AA410" i="5"/>
  <c r="Z410" i="5"/>
  <c r="Y410" i="5"/>
  <c r="X410" i="5"/>
  <c r="V410" i="5"/>
  <c r="P410" i="5"/>
  <c r="AA409" i="5"/>
  <c r="Y409" i="5"/>
  <c r="Z409" i="5" s="1"/>
  <c r="X409" i="5"/>
  <c r="V409" i="5"/>
  <c r="P409" i="5"/>
  <c r="AA408" i="5"/>
  <c r="Y408" i="5"/>
  <c r="Z408" i="5" s="1"/>
  <c r="X408" i="5"/>
  <c r="V408" i="5"/>
  <c r="P408" i="5"/>
  <c r="AA407" i="5"/>
  <c r="Z407" i="5"/>
  <c r="Y407" i="5"/>
  <c r="X407" i="5"/>
  <c r="V407" i="5"/>
  <c r="U407" i="5"/>
  <c r="P407" i="5"/>
  <c r="AA406" i="5"/>
  <c r="Z406" i="5"/>
  <c r="Y406" i="5"/>
  <c r="X406" i="5"/>
  <c r="V406" i="5"/>
  <c r="P406" i="5"/>
  <c r="AA405" i="5"/>
  <c r="Y405" i="5"/>
  <c r="Z405" i="5" s="1"/>
  <c r="X405" i="5"/>
  <c r="V405" i="5"/>
  <c r="P405" i="5"/>
  <c r="AA404" i="5"/>
  <c r="Z404" i="5"/>
  <c r="Y404" i="5"/>
  <c r="X404" i="5"/>
  <c r="V404" i="5"/>
  <c r="P404" i="5"/>
  <c r="AA403" i="5"/>
  <c r="Z403" i="5"/>
  <c r="Y403" i="5"/>
  <c r="X403" i="5"/>
  <c r="V403" i="5"/>
  <c r="P403" i="5"/>
  <c r="AA402" i="5"/>
  <c r="Y402" i="5"/>
  <c r="Z402" i="5" s="1"/>
  <c r="X402" i="5"/>
  <c r="V402" i="5"/>
  <c r="P402" i="5"/>
  <c r="AA401" i="5"/>
  <c r="Z401" i="5"/>
  <c r="Y401" i="5"/>
  <c r="X401" i="5"/>
  <c r="V401" i="5"/>
  <c r="P401" i="5"/>
  <c r="AA400" i="5"/>
  <c r="Z400" i="5"/>
  <c r="Y400" i="5"/>
  <c r="X400" i="5"/>
  <c r="V400" i="5"/>
  <c r="P400" i="5"/>
  <c r="AA399" i="5"/>
  <c r="Y399" i="5"/>
  <c r="Z399" i="5" s="1"/>
  <c r="X399" i="5"/>
  <c r="V399" i="5"/>
  <c r="P399" i="5"/>
  <c r="AA398" i="5"/>
  <c r="Z398" i="5"/>
  <c r="Y398" i="5"/>
  <c r="X398" i="5"/>
  <c r="V398" i="5"/>
  <c r="P398" i="5"/>
  <c r="AA397" i="5"/>
  <c r="Z397" i="5"/>
  <c r="Y397" i="5"/>
  <c r="X397" i="5"/>
  <c r="V397" i="5"/>
  <c r="AA396" i="5"/>
  <c r="Y396" i="5"/>
  <c r="Z396" i="5" s="1"/>
  <c r="X396" i="5"/>
  <c r="V396" i="5"/>
  <c r="P396" i="5"/>
  <c r="AA395" i="5"/>
  <c r="Z395" i="5"/>
  <c r="Y395" i="5"/>
  <c r="X395" i="5"/>
  <c r="V395" i="5"/>
  <c r="P395" i="5"/>
  <c r="AA394" i="5"/>
  <c r="Z394" i="5"/>
  <c r="Y394" i="5"/>
  <c r="X394" i="5"/>
  <c r="V394" i="5"/>
  <c r="P394" i="5"/>
  <c r="AA393" i="5"/>
  <c r="Y393" i="5"/>
  <c r="Z393" i="5" s="1"/>
  <c r="X393" i="5"/>
  <c r="V393" i="5"/>
  <c r="P393" i="5"/>
  <c r="AA392" i="5"/>
  <c r="Z392" i="5"/>
  <c r="Y392" i="5"/>
  <c r="X392" i="5"/>
  <c r="V392" i="5"/>
  <c r="P392" i="5"/>
  <c r="AA391" i="5"/>
  <c r="Z391" i="5"/>
  <c r="Y391" i="5"/>
  <c r="X391" i="5"/>
  <c r="V391" i="5"/>
  <c r="P391" i="5"/>
  <c r="AA390" i="5"/>
  <c r="Y390" i="5"/>
  <c r="Z390" i="5" s="1"/>
  <c r="X390" i="5"/>
  <c r="V390" i="5"/>
  <c r="P390" i="5"/>
  <c r="AA389" i="5"/>
  <c r="Z389" i="5"/>
  <c r="Y389" i="5"/>
  <c r="X389" i="5"/>
  <c r="V389" i="5"/>
  <c r="P389" i="5"/>
  <c r="AA388" i="5"/>
  <c r="Z388" i="5"/>
  <c r="Y388" i="5"/>
  <c r="X388" i="5"/>
  <c r="V388" i="5"/>
  <c r="P388" i="5"/>
  <c r="AA387" i="5"/>
  <c r="Y387" i="5"/>
  <c r="Z387" i="5" s="1"/>
  <c r="X387" i="5"/>
  <c r="V387" i="5"/>
  <c r="P387" i="5"/>
  <c r="AA386" i="5"/>
  <c r="Z386" i="5"/>
  <c r="Y386" i="5"/>
  <c r="X386" i="5"/>
  <c r="V386" i="5"/>
  <c r="P386" i="5"/>
  <c r="AA385" i="5"/>
  <c r="Z385" i="5"/>
  <c r="Y385" i="5"/>
  <c r="X385" i="5"/>
  <c r="V385" i="5"/>
  <c r="P385" i="5"/>
  <c r="AA384" i="5"/>
  <c r="Y384" i="5"/>
  <c r="Z384" i="5" s="1"/>
  <c r="X384" i="5"/>
  <c r="V384" i="5"/>
  <c r="P384" i="5"/>
  <c r="AA383" i="5"/>
  <c r="Z383" i="5"/>
  <c r="Y383" i="5"/>
  <c r="X383" i="5"/>
  <c r="V383" i="5"/>
  <c r="P383" i="5"/>
  <c r="AA382" i="5"/>
  <c r="Z382" i="5"/>
  <c r="Y382" i="5"/>
  <c r="X382" i="5"/>
  <c r="V382" i="5"/>
  <c r="AA381" i="5"/>
  <c r="Y381" i="5"/>
  <c r="Z381" i="5" s="1"/>
  <c r="X381" i="5"/>
  <c r="V381" i="5"/>
  <c r="AA380" i="5"/>
  <c r="Z380" i="5"/>
  <c r="Y380" i="5"/>
  <c r="X380" i="5"/>
  <c r="V380" i="5"/>
  <c r="P380" i="5"/>
  <c r="AA379" i="5"/>
  <c r="Z379" i="5"/>
  <c r="Y379" i="5"/>
  <c r="X379" i="5"/>
  <c r="V379" i="5"/>
  <c r="AA378" i="5"/>
  <c r="Y378" i="5"/>
  <c r="Z378" i="5" s="1"/>
  <c r="X378" i="5"/>
  <c r="V378" i="5"/>
  <c r="P378" i="5"/>
  <c r="AA377" i="5"/>
  <c r="Z377" i="5"/>
  <c r="Y377" i="5"/>
  <c r="X377" i="5"/>
  <c r="V377" i="5"/>
  <c r="P377" i="5"/>
  <c r="AA376" i="5"/>
  <c r="Z376" i="5"/>
  <c r="Y376" i="5"/>
  <c r="X376" i="5"/>
  <c r="V376" i="5"/>
  <c r="P376" i="5"/>
  <c r="AA375" i="5"/>
  <c r="Y375" i="5"/>
  <c r="Z375" i="5" s="1"/>
  <c r="X375" i="5"/>
  <c r="V375" i="5"/>
  <c r="P375" i="5"/>
  <c r="AA374" i="5"/>
  <c r="Z374" i="5"/>
  <c r="Y374" i="5"/>
  <c r="X374" i="5"/>
  <c r="V374" i="5"/>
  <c r="P374" i="5"/>
  <c r="AA373" i="5"/>
  <c r="Z373" i="5"/>
  <c r="Y373" i="5"/>
  <c r="X373" i="5"/>
  <c r="V373" i="5"/>
  <c r="P373" i="5"/>
  <c r="AA372" i="5"/>
  <c r="Y372" i="5"/>
  <c r="Z372" i="5" s="1"/>
  <c r="X372" i="5"/>
  <c r="V372" i="5"/>
  <c r="P372" i="5"/>
  <c r="AA371" i="5"/>
  <c r="Z371" i="5"/>
  <c r="Y371" i="5"/>
  <c r="X371" i="5"/>
  <c r="V371" i="5"/>
  <c r="P371" i="5"/>
  <c r="AA370" i="5"/>
  <c r="Z370" i="5"/>
  <c r="Y370" i="5"/>
  <c r="X370" i="5"/>
  <c r="V370" i="5"/>
  <c r="P370" i="5"/>
  <c r="AA369" i="5"/>
  <c r="Y369" i="5"/>
  <c r="Z369" i="5" s="1"/>
  <c r="X369" i="5"/>
  <c r="V369" i="5"/>
  <c r="AA368" i="5"/>
  <c r="Z368" i="5"/>
  <c r="Y368" i="5"/>
  <c r="X368" i="5"/>
  <c r="V368" i="5"/>
  <c r="P368" i="5"/>
  <c r="AA367" i="5"/>
  <c r="Z367" i="5"/>
  <c r="Y367" i="5"/>
  <c r="X367" i="5"/>
  <c r="V367" i="5"/>
  <c r="P367" i="5"/>
  <c r="AA366" i="5"/>
  <c r="Y366" i="5"/>
  <c r="Z366" i="5" s="1"/>
  <c r="X366" i="5"/>
  <c r="V366" i="5"/>
  <c r="AA365" i="5"/>
  <c r="Z365" i="5"/>
  <c r="Y365" i="5"/>
  <c r="X365" i="5"/>
  <c r="V365" i="5"/>
  <c r="U365" i="5"/>
  <c r="AA364" i="5"/>
  <c r="Y364" i="5"/>
  <c r="Z364" i="5" s="1"/>
  <c r="X364" i="5"/>
  <c r="V364" i="5"/>
  <c r="P364" i="5"/>
  <c r="AA363" i="5"/>
  <c r="Z363" i="5"/>
  <c r="Y363" i="5"/>
  <c r="X363" i="5"/>
  <c r="V363" i="5"/>
  <c r="AA362" i="5"/>
  <c r="Z362" i="5"/>
  <c r="Y362" i="5"/>
  <c r="X362" i="5"/>
  <c r="V362" i="5"/>
  <c r="P362" i="5"/>
  <c r="AA361" i="5"/>
  <c r="Y361" i="5"/>
  <c r="Z361" i="5" s="1"/>
  <c r="X361" i="5"/>
  <c r="V361" i="5"/>
  <c r="P361" i="5"/>
  <c r="AA360" i="5"/>
  <c r="Z360" i="5"/>
  <c r="Y360" i="5"/>
  <c r="X360" i="5"/>
  <c r="V360" i="5"/>
  <c r="P360" i="5"/>
  <c r="AA359" i="5"/>
  <c r="Z359" i="5"/>
  <c r="Y359" i="5"/>
  <c r="X359" i="5"/>
  <c r="V359" i="5"/>
  <c r="AA358" i="5"/>
  <c r="Y358" i="5"/>
  <c r="Z358" i="5" s="1"/>
  <c r="X358" i="5"/>
  <c r="V358" i="5"/>
  <c r="P358" i="5"/>
  <c r="AA357" i="5"/>
  <c r="Y357" i="5"/>
  <c r="Z357" i="5" s="1"/>
  <c r="X357" i="5"/>
  <c r="V357" i="5"/>
  <c r="P357" i="5"/>
  <c r="AA356" i="5"/>
  <c r="Z356" i="5"/>
  <c r="Y356" i="5"/>
  <c r="X356" i="5"/>
  <c r="V356" i="5"/>
  <c r="P356" i="5"/>
  <c r="AA355" i="5"/>
  <c r="Y355" i="5"/>
  <c r="Z355" i="5" s="1"/>
  <c r="X355" i="5"/>
  <c r="V355" i="5"/>
  <c r="P355" i="5"/>
  <c r="AA354" i="5"/>
  <c r="Y354" i="5"/>
  <c r="Z354" i="5" s="1"/>
  <c r="X354" i="5"/>
  <c r="V354" i="5"/>
  <c r="P354" i="5"/>
  <c r="AA353" i="5"/>
  <c r="Z353" i="5"/>
  <c r="Y353" i="5"/>
  <c r="X353" i="5"/>
  <c r="V353" i="5"/>
  <c r="P353" i="5"/>
  <c r="AA352" i="5"/>
  <c r="Y352" i="5"/>
  <c r="Z352" i="5" s="1"/>
  <c r="X352" i="5"/>
  <c r="V352" i="5"/>
  <c r="P352" i="5"/>
  <c r="AA351" i="5"/>
  <c r="Z351" i="5"/>
  <c r="Y351" i="5"/>
  <c r="X351" i="5"/>
  <c r="V351" i="5"/>
  <c r="AA350" i="5"/>
  <c r="Z350" i="5"/>
  <c r="Y350" i="5"/>
  <c r="X350" i="5"/>
  <c r="V350" i="5"/>
  <c r="AA349" i="5"/>
  <c r="Y349" i="5"/>
  <c r="Z349" i="5" s="1"/>
  <c r="X349" i="5"/>
  <c r="V349" i="5"/>
  <c r="AA348" i="5"/>
  <c r="Y348" i="5"/>
  <c r="Z348" i="5" s="1"/>
  <c r="X348" i="5"/>
  <c r="V348" i="5"/>
  <c r="P348" i="5"/>
  <c r="AA347" i="5"/>
  <c r="Z347" i="5"/>
  <c r="Y347" i="5"/>
  <c r="X347" i="5"/>
  <c r="V347" i="5"/>
  <c r="P347" i="5"/>
  <c r="AA346" i="5"/>
  <c r="Y346" i="5"/>
  <c r="Z346" i="5" s="1"/>
  <c r="X346" i="5"/>
  <c r="V346" i="5"/>
  <c r="P346" i="5"/>
  <c r="AA345" i="5"/>
  <c r="Y345" i="5"/>
  <c r="Z345" i="5" s="1"/>
  <c r="X345" i="5"/>
  <c r="V345" i="5"/>
  <c r="AA344" i="5"/>
  <c r="Y344" i="5"/>
  <c r="Z344" i="5" s="1"/>
  <c r="X344" i="5"/>
  <c r="V344" i="5"/>
  <c r="U344" i="5"/>
  <c r="P344" i="5"/>
  <c r="AA343" i="5"/>
  <c r="Z343" i="5"/>
  <c r="Y343" i="5"/>
  <c r="X343" i="5"/>
  <c r="V343" i="5"/>
  <c r="U343" i="5"/>
  <c r="P343" i="5"/>
  <c r="AA342" i="5"/>
  <c r="Z342" i="5"/>
  <c r="Y342" i="5"/>
  <c r="X342" i="5"/>
  <c r="V342" i="5"/>
  <c r="P342" i="5"/>
  <c r="AA341" i="5"/>
  <c r="Y341" i="5"/>
  <c r="Z341" i="5" s="1"/>
  <c r="X341" i="5"/>
  <c r="V341" i="5"/>
  <c r="P341" i="5"/>
  <c r="AA340" i="5"/>
  <c r="Y340" i="5"/>
  <c r="Z340" i="5" s="1"/>
  <c r="X340" i="5"/>
  <c r="V340" i="5"/>
  <c r="P340" i="5"/>
  <c r="AA339" i="5"/>
  <c r="Z339" i="5"/>
  <c r="Y339" i="5"/>
  <c r="X339" i="5"/>
  <c r="V339" i="5"/>
  <c r="P339" i="5"/>
  <c r="AA338" i="5"/>
  <c r="Y338" i="5"/>
  <c r="Z338" i="5" s="1"/>
  <c r="X338" i="5"/>
  <c r="V338" i="5"/>
  <c r="P338" i="5"/>
  <c r="AA337" i="5"/>
  <c r="Y337" i="5"/>
  <c r="Z337" i="5" s="1"/>
  <c r="X337" i="5"/>
  <c r="V337" i="5"/>
  <c r="AA336" i="5"/>
  <c r="Z336" i="5"/>
  <c r="Y336" i="5"/>
  <c r="X336" i="5"/>
  <c r="V336" i="5"/>
  <c r="P336" i="5"/>
  <c r="AA335" i="5"/>
  <c r="Y335" i="5"/>
  <c r="Z335" i="5" s="1"/>
  <c r="X335" i="5"/>
  <c r="V335" i="5"/>
  <c r="P335" i="5"/>
  <c r="AA334" i="5"/>
  <c r="Y334" i="5"/>
  <c r="Z334" i="5" s="1"/>
  <c r="X334" i="5"/>
  <c r="V334" i="5"/>
  <c r="P334" i="5"/>
  <c r="AA333" i="5"/>
  <c r="Z333" i="5"/>
  <c r="Y333" i="5"/>
  <c r="X333" i="5"/>
  <c r="V333" i="5"/>
  <c r="P333" i="5"/>
  <c r="AA332" i="5"/>
  <c r="Y332" i="5"/>
  <c r="Z332" i="5" s="1"/>
  <c r="X332" i="5"/>
  <c r="V332" i="5"/>
  <c r="P332" i="5"/>
  <c r="AA331" i="5"/>
  <c r="Y331" i="5"/>
  <c r="Z331" i="5" s="1"/>
  <c r="X331" i="5"/>
  <c r="V331" i="5"/>
  <c r="P331" i="5"/>
  <c r="AA330" i="5"/>
  <c r="Z330" i="5"/>
  <c r="Y330" i="5"/>
  <c r="X330" i="5"/>
  <c r="V330" i="5"/>
  <c r="P330" i="5"/>
  <c r="AA329" i="5"/>
  <c r="Y329" i="5"/>
  <c r="Z329" i="5" s="1"/>
  <c r="X329" i="5"/>
  <c r="V329" i="5"/>
  <c r="P329" i="5"/>
  <c r="AA328" i="5"/>
  <c r="Y328" i="5"/>
  <c r="Z328" i="5" s="1"/>
  <c r="X328" i="5"/>
  <c r="V328" i="5"/>
  <c r="P328" i="5"/>
  <c r="AA327" i="5"/>
  <c r="Z327" i="5"/>
  <c r="Y327" i="5"/>
  <c r="X327" i="5"/>
  <c r="V327" i="5"/>
  <c r="P327" i="5"/>
  <c r="AA326" i="5"/>
  <c r="Y326" i="5"/>
  <c r="Z326" i="5" s="1"/>
  <c r="X326" i="5"/>
  <c r="V326" i="5"/>
  <c r="AA325" i="5"/>
  <c r="Y325" i="5"/>
  <c r="Z325" i="5" s="1"/>
  <c r="X325" i="5"/>
  <c r="V325" i="5"/>
  <c r="AA324" i="5"/>
  <c r="Y324" i="5"/>
  <c r="Z324" i="5" s="1"/>
  <c r="X324" i="5"/>
  <c r="V324" i="5"/>
  <c r="P324" i="5"/>
  <c r="AA323" i="5"/>
  <c r="Y323" i="5"/>
  <c r="Z323" i="5" s="1"/>
  <c r="X323" i="5"/>
  <c r="V323" i="5"/>
  <c r="AA322" i="5"/>
  <c r="Y322" i="5"/>
  <c r="Z322" i="5" s="1"/>
  <c r="X322" i="5"/>
  <c r="V322" i="5"/>
  <c r="P322" i="5"/>
  <c r="AA321" i="5"/>
  <c r="Z321" i="5"/>
  <c r="Y321" i="5"/>
  <c r="X321" i="5"/>
  <c r="V321" i="5"/>
  <c r="P321" i="5"/>
  <c r="AA320" i="5"/>
  <c r="Y320" i="5"/>
  <c r="Z320" i="5" s="1"/>
  <c r="X320" i="5"/>
  <c r="V320" i="5"/>
  <c r="P320" i="5"/>
  <c r="AA319" i="5"/>
  <c r="Y319" i="5"/>
  <c r="Z319" i="5" s="1"/>
  <c r="X319" i="5"/>
  <c r="V319" i="5"/>
  <c r="AA318" i="5"/>
  <c r="Z318" i="5"/>
  <c r="Y318" i="5"/>
  <c r="X318" i="5"/>
  <c r="V318" i="5"/>
  <c r="P318" i="5"/>
  <c r="AA317" i="5"/>
  <c r="Y317" i="5"/>
  <c r="Z317" i="5" s="1"/>
  <c r="X317" i="5"/>
  <c r="V317" i="5"/>
  <c r="U317" i="5"/>
  <c r="P317" i="5"/>
  <c r="AA316" i="5"/>
  <c r="Z316" i="5"/>
  <c r="Y316" i="5"/>
  <c r="X316" i="5"/>
  <c r="V316" i="5"/>
  <c r="P316" i="5"/>
  <c r="AA315" i="5"/>
  <c r="Z315" i="5"/>
  <c r="Y315" i="5"/>
  <c r="X315" i="5"/>
  <c r="V315" i="5"/>
  <c r="P315" i="5"/>
  <c r="AA314" i="5"/>
  <c r="Z314" i="5"/>
  <c r="Y314" i="5"/>
  <c r="X314" i="5"/>
  <c r="V314" i="5"/>
  <c r="P314" i="5"/>
  <c r="AA313" i="5"/>
  <c r="Z313" i="5"/>
  <c r="Y313" i="5"/>
  <c r="X313" i="5"/>
  <c r="V313" i="5"/>
  <c r="P313" i="5"/>
  <c r="AA312" i="5"/>
  <c r="Z312" i="5"/>
  <c r="Y312" i="5"/>
  <c r="X312" i="5"/>
  <c r="V312" i="5"/>
  <c r="P312" i="5"/>
  <c r="AA311" i="5"/>
  <c r="Z311" i="5"/>
  <c r="Y311" i="5"/>
  <c r="X311" i="5"/>
  <c r="V311" i="5"/>
  <c r="P311" i="5"/>
  <c r="AA310" i="5"/>
  <c r="Z310" i="5"/>
  <c r="Y310" i="5"/>
  <c r="X310" i="5"/>
  <c r="V310" i="5"/>
  <c r="P310" i="5"/>
  <c r="AA309" i="5"/>
  <c r="Z309" i="5"/>
  <c r="Y309" i="5"/>
  <c r="X309" i="5"/>
  <c r="V309" i="5"/>
  <c r="P309" i="5"/>
  <c r="AA308" i="5"/>
  <c r="Y308" i="5"/>
  <c r="Z308" i="5" s="1"/>
  <c r="X308" i="5"/>
  <c r="V308" i="5"/>
  <c r="P308" i="5"/>
  <c r="AA307" i="5"/>
  <c r="Z307" i="5"/>
  <c r="Y307" i="5"/>
  <c r="X307" i="5"/>
  <c r="V307" i="5"/>
  <c r="P307" i="5"/>
  <c r="AA306" i="5"/>
  <c r="Z306" i="5"/>
  <c r="Y306" i="5"/>
  <c r="X306" i="5"/>
  <c r="V306" i="5"/>
  <c r="P306" i="5"/>
  <c r="AA305" i="5"/>
  <c r="Z305" i="5"/>
  <c r="Y305" i="5"/>
  <c r="X305" i="5"/>
  <c r="V305" i="5"/>
  <c r="P305" i="5"/>
  <c r="AA304" i="5"/>
  <c r="Z304" i="5"/>
  <c r="Y304" i="5"/>
  <c r="X304" i="5"/>
  <c r="V304" i="5"/>
  <c r="P304" i="5"/>
  <c r="AA303" i="5"/>
  <c r="Z303" i="5"/>
  <c r="Y303" i="5"/>
  <c r="X303" i="5"/>
  <c r="V303" i="5"/>
  <c r="U303" i="5"/>
  <c r="P303" i="5"/>
  <c r="AA302" i="5"/>
  <c r="Y302" i="5"/>
  <c r="Z302" i="5" s="1"/>
  <c r="X302" i="5"/>
  <c r="V302" i="5"/>
  <c r="P302" i="5"/>
  <c r="AA301" i="5"/>
  <c r="Y301" i="5"/>
  <c r="Z301" i="5" s="1"/>
  <c r="X301" i="5"/>
  <c r="V301" i="5"/>
  <c r="P301" i="5"/>
  <c r="AA300" i="5"/>
  <c r="Y300" i="5"/>
  <c r="Z300" i="5" s="1"/>
  <c r="X300" i="5"/>
  <c r="V300" i="5"/>
  <c r="P300" i="5"/>
  <c r="AA299" i="5"/>
  <c r="Y299" i="5"/>
  <c r="Z299" i="5" s="1"/>
  <c r="X299" i="5"/>
  <c r="V299" i="5"/>
  <c r="P299" i="5"/>
  <c r="AA298" i="5"/>
  <c r="Y298" i="5"/>
  <c r="Z298" i="5" s="1"/>
  <c r="X298" i="5"/>
  <c r="V298" i="5"/>
  <c r="P298" i="5"/>
  <c r="AA297" i="5"/>
  <c r="Y297" i="5"/>
  <c r="Z297" i="5" s="1"/>
  <c r="X297" i="5"/>
  <c r="V297" i="5"/>
  <c r="P297" i="5"/>
  <c r="AA296" i="5"/>
  <c r="Z296" i="5"/>
  <c r="Y296" i="5"/>
  <c r="X296" i="5"/>
  <c r="V296" i="5"/>
  <c r="P296" i="5"/>
  <c r="AA295" i="5"/>
  <c r="Y295" i="5"/>
  <c r="Z295" i="5" s="1"/>
  <c r="X295" i="5"/>
  <c r="V295" i="5"/>
  <c r="P295" i="5"/>
  <c r="AA294" i="5"/>
  <c r="Y294" i="5"/>
  <c r="Z294" i="5" s="1"/>
  <c r="X294" i="5"/>
  <c r="V294" i="5"/>
  <c r="P294" i="5"/>
  <c r="AA293" i="5"/>
  <c r="Z293" i="5"/>
  <c r="Y293" i="5"/>
  <c r="X293" i="5"/>
  <c r="V293" i="5"/>
  <c r="AA292" i="5"/>
  <c r="Y292" i="5"/>
  <c r="Z292" i="5" s="1"/>
  <c r="X292" i="5"/>
  <c r="V292" i="5"/>
  <c r="AA291" i="5"/>
  <c r="Y291" i="5"/>
  <c r="Z291" i="5" s="1"/>
  <c r="X291" i="5"/>
  <c r="V291" i="5"/>
  <c r="P291" i="5"/>
  <c r="AA290" i="5"/>
  <c r="Y290" i="5"/>
  <c r="Z290" i="5" s="1"/>
  <c r="X290" i="5"/>
  <c r="V290" i="5"/>
  <c r="P290" i="5"/>
  <c r="AA289" i="5"/>
  <c r="Y289" i="5"/>
  <c r="Z289" i="5" s="1"/>
  <c r="X289" i="5"/>
  <c r="V289" i="5"/>
  <c r="P289" i="5"/>
  <c r="AA288" i="5"/>
  <c r="Y288" i="5"/>
  <c r="Z288" i="5" s="1"/>
  <c r="X288" i="5"/>
  <c r="V288" i="5"/>
  <c r="P288" i="5"/>
  <c r="AA287" i="5"/>
  <c r="Z287" i="5"/>
  <c r="Y287" i="5"/>
  <c r="X287" i="5"/>
  <c r="V287" i="5"/>
  <c r="P287" i="5"/>
  <c r="AA286" i="5"/>
  <c r="Y286" i="5"/>
  <c r="Z286" i="5" s="1"/>
  <c r="X286" i="5"/>
  <c r="V286" i="5"/>
  <c r="AA285" i="5"/>
  <c r="Y285" i="5"/>
  <c r="Z285" i="5" s="1"/>
  <c r="X285" i="5"/>
  <c r="V285" i="5"/>
  <c r="P285" i="5"/>
  <c r="AA284" i="5"/>
  <c r="Y284" i="5"/>
  <c r="Z284" i="5" s="1"/>
  <c r="X284" i="5"/>
  <c r="V284" i="5"/>
  <c r="P284" i="5"/>
  <c r="AA283" i="5"/>
  <c r="Y283" i="5"/>
  <c r="Z283" i="5" s="1"/>
  <c r="X283" i="5"/>
  <c r="V283" i="5"/>
  <c r="P283" i="5"/>
  <c r="AA282" i="5"/>
  <c r="Y282" i="5"/>
  <c r="Z282" i="5" s="1"/>
  <c r="X282" i="5"/>
  <c r="V282" i="5"/>
  <c r="P282" i="5"/>
  <c r="AA281" i="5"/>
  <c r="Y281" i="5"/>
  <c r="Z281" i="5" s="1"/>
  <c r="X281" i="5"/>
  <c r="V281" i="5"/>
  <c r="P281" i="5"/>
  <c r="AA280" i="5"/>
  <c r="Y280" i="5"/>
  <c r="Z280" i="5" s="1"/>
  <c r="X280" i="5"/>
  <c r="V280" i="5"/>
  <c r="P280" i="5"/>
  <c r="AA279" i="5"/>
  <c r="Y279" i="5"/>
  <c r="Z279" i="5" s="1"/>
  <c r="X279" i="5"/>
  <c r="V279" i="5"/>
  <c r="P279" i="5"/>
  <c r="AA278" i="5"/>
  <c r="Z278" i="5"/>
  <c r="Y278" i="5"/>
  <c r="X278" i="5"/>
  <c r="V278" i="5"/>
  <c r="P278" i="5"/>
  <c r="AA277" i="5"/>
  <c r="Y277" i="5"/>
  <c r="Z277" i="5" s="1"/>
  <c r="X277" i="5"/>
  <c r="V277" i="5"/>
  <c r="AA276" i="5"/>
  <c r="Y276" i="5"/>
  <c r="Z276" i="5" s="1"/>
  <c r="X276" i="5"/>
  <c r="V276" i="5"/>
  <c r="P276" i="5"/>
  <c r="AA275" i="5"/>
  <c r="Z275" i="5"/>
  <c r="Y275" i="5"/>
  <c r="X275" i="5"/>
  <c r="V275" i="5"/>
  <c r="P275" i="5"/>
  <c r="AA274" i="5"/>
  <c r="Y274" i="5"/>
  <c r="Z274" i="5" s="1"/>
  <c r="X274" i="5"/>
  <c r="V274" i="5"/>
  <c r="P274" i="5"/>
  <c r="AA273" i="5"/>
  <c r="Y273" i="5"/>
  <c r="Z273" i="5" s="1"/>
  <c r="X273" i="5"/>
  <c r="V273" i="5"/>
  <c r="P273" i="5"/>
  <c r="AA272" i="5"/>
  <c r="Z272" i="5"/>
  <c r="Y272" i="5"/>
  <c r="X272" i="5"/>
  <c r="V272" i="5"/>
  <c r="U272" i="5"/>
  <c r="P272" i="5"/>
  <c r="AA271" i="5"/>
  <c r="Z271" i="5"/>
  <c r="Y271" i="5"/>
  <c r="X271" i="5"/>
  <c r="V271" i="5"/>
  <c r="P271" i="5"/>
  <c r="AA270" i="5"/>
  <c r="Z270" i="5"/>
  <c r="Y270" i="5"/>
  <c r="X270" i="5"/>
  <c r="V270" i="5"/>
  <c r="P270" i="5"/>
  <c r="AA269" i="5"/>
  <c r="Z269" i="5"/>
  <c r="Y269" i="5"/>
  <c r="X269" i="5"/>
  <c r="V269" i="5"/>
  <c r="P269" i="5"/>
  <c r="AA268" i="5"/>
  <c r="Z268" i="5"/>
  <c r="Y268" i="5"/>
  <c r="X268" i="5"/>
  <c r="V268" i="5"/>
  <c r="P268" i="5"/>
  <c r="AA267" i="5"/>
  <c r="Z267" i="5"/>
  <c r="Y267" i="5"/>
  <c r="X267" i="5"/>
  <c r="V267" i="5"/>
  <c r="P267" i="5"/>
  <c r="AA266" i="5"/>
  <c r="Z266" i="5"/>
  <c r="Y266" i="5"/>
  <c r="X266" i="5"/>
  <c r="V266" i="5"/>
  <c r="P266" i="5"/>
  <c r="AA265" i="5"/>
  <c r="Z265" i="5"/>
  <c r="Y265" i="5"/>
  <c r="X265" i="5"/>
  <c r="V265" i="5"/>
  <c r="AA264" i="5"/>
  <c r="Z264" i="5"/>
  <c r="Y264" i="5"/>
  <c r="X264" i="5"/>
  <c r="V264" i="5"/>
  <c r="P264" i="5"/>
  <c r="AA263" i="5"/>
  <c r="Y263" i="5"/>
  <c r="Z263" i="5" s="1"/>
  <c r="X263" i="5"/>
  <c r="V263" i="5"/>
  <c r="P263" i="5"/>
  <c r="AA262" i="5"/>
  <c r="Z262" i="5"/>
  <c r="Y262" i="5"/>
  <c r="X262" i="5"/>
  <c r="V262" i="5"/>
  <c r="P262" i="5"/>
  <c r="AA261" i="5"/>
  <c r="Z261" i="5"/>
  <c r="Y261" i="5"/>
  <c r="X261" i="5"/>
  <c r="V261" i="5"/>
  <c r="AA260" i="5"/>
  <c r="Z260" i="5"/>
  <c r="Y260" i="5"/>
  <c r="X260" i="5"/>
  <c r="V260" i="5"/>
  <c r="AA259" i="5"/>
  <c r="Z259" i="5"/>
  <c r="Y259" i="5"/>
  <c r="X259" i="5"/>
  <c r="V259" i="5"/>
  <c r="P259" i="5"/>
  <c r="AA258" i="5"/>
  <c r="Z258" i="5"/>
  <c r="Y258" i="5"/>
  <c r="X258" i="5"/>
  <c r="V258" i="5"/>
  <c r="P258" i="5"/>
  <c r="AA257" i="5"/>
  <c r="Y257" i="5"/>
  <c r="Z257" i="5" s="1"/>
  <c r="X257" i="5"/>
  <c r="V257" i="5"/>
  <c r="P257" i="5"/>
  <c r="AA256" i="5"/>
  <c r="Z256" i="5"/>
  <c r="Y256" i="5"/>
  <c r="X256" i="5"/>
  <c r="V256" i="5"/>
  <c r="AA255" i="5"/>
  <c r="Z255" i="5"/>
  <c r="Y255" i="5"/>
  <c r="X255" i="5"/>
  <c r="V255" i="5"/>
  <c r="P255" i="5"/>
  <c r="AA254" i="5"/>
  <c r="Y254" i="5"/>
  <c r="Z254" i="5" s="1"/>
  <c r="X254" i="5"/>
  <c r="V254" i="5"/>
  <c r="P254" i="5"/>
  <c r="AA253" i="5"/>
  <c r="Z253" i="5"/>
  <c r="Y253" i="5"/>
  <c r="X253" i="5"/>
  <c r="V253" i="5"/>
  <c r="P253" i="5"/>
  <c r="AA252" i="5"/>
  <c r="Z252" i="5"/>
  <c r="Y252" i="5"/>
  <c r="X252" i="5"/>
  <c r="V252" i="5"/>
  <c r="AA251" i="5"/>
  <c r="Y251" i="5"/>
  <c r="Z251" i="5" s="1"/>
  <c r="X251" i="5"/>
  <c r="V251" i="5"/>
  <c r="AA250" i="5"/>
  <c r="Z250" i="5"/>
  <c r="Y250" i="5"/>
  <c r="X250" i="5"/>
  <c r="V250" i="5"/>
  <c r="P250" i="5"/>
  <c r="AA249" i="5"/>
  <c r="Z249" i="5"/>
  <c r="Y249" i="5"/>
  <c r="X249" i="5"/>
  <c r="V249" i="5"/>
  <c r="P249" i="5"/>
  <c r="AA248" i="5"/>
  <c r="Z248" i="5"/>
  <c r="Y248" i="5"/>
  <c r="X248" i="5"/>
  <c r="V248" i="5"/>
  <c r="P248" i="5"/>
  <c r="AA247" i="5"/>
  <c r="Z247" i="5"/>
  <c r="Y247" i="5"/>
  <c r="X247" i="5"/>
  <c r="V247" i="5"/>
  <c r="P247" i="5"/>
  <c r="AA246" i="5"/>
  <c r="Z246" i="5"/>
  <c r="Y246" i="5"/>
  <c r="X246" i="5"/>
  <c r="V246" i="5"/>
  <c r="AA245" i="5"/>
  <c r="Z245" i="5"/>
  <c r="Y245" i="5"/>
  <c r="X245" i="5"/>
  <c r="V245" i="5"/>
  <c r="P245" i="5"/>
  <c r="AA244" i="5"/>
  <c r="Z244" i="5"/>
  <c r="Y244" i="5"/>
  <c r="X244" i="5"/>
  <c r="V244" i="5"/>
  <c r="P244" i="5"/>
  <c r="AA243" i="5"/>
  <c r="Z243" i="5"/>
  <c r="Y243" i="5"/>
  <c r="X243" i="5"/>
  <c r="V243" i="5"/>
  <c r="AA242" i="5"/>
  <c r="Y242" i="5"/>
  <c r="Z242" i="5" s="1"/>
  <c r="X242" i="5"/>
  <c r="V242" i="5"/>
  <c r="P242" i="5"/>
  <c r="AA241" i="5"/>
  <c r="Z241" i="5"/>
  <c r="Y241" i="5"/>
  <c r="X241" i="5"/>
  <c r="V241" i="5"/>
  <c r="AA240" i="5"/>
  <c r="Z240" i="5"/>
  <c r="Y240" i="5"/>
  <c r="X240" i="5"/>
  <c r="V240" i="5"/>
  <c r="P240" i="5"/>
  <c r="AA239" i="5"/>
  <c r="Y239" i="5"/>
  <c r="Z239" i="5" s="1"/>
  <c r="X239" i="5"/>
  <c r="V239" i="5"/>
  <c r="P239" i="5"/>
  <c r="AA238" i="5"/>
  <c r="Z238" i="5"/>
  <c r="Y238" i="5"/>
  <c r="X238" i="5"/>
  <c r="V238" i="5"/>
  <c r="P238" i="5"/>
  <c r="AA237" i="5"/>
  <c r="Z237" i="5"/>
  <c r="Y237" i="5"/>
  <c r="X237" i="5"/>
  <c r="V237" i="5"/>
  <c r="P237" i="5"/>
  <c r="AA236" i="5"/>
  <c r="Y236" i="5"/>
  <c r="Z236" i="5" s="1"/>
  <c r="X236" i="5"/>
  <c r="V236" i="5"/>
  <c r="P236" i="5"/>
  <c r="AA235" i="5"/>
  <c r="Z235" i="5"/>
  <c r="Y235" i="5"/>
  <c r="X235" i="5"/>
  <c r="V235" i="5"/>
  <c r="U235" i="5"/>
  <c r="P235" i="5"/>
  <c r="AA234" i="5"/>
  <c r="Z234" i="5"/>
  <c r="Y234" i="5"/>
  <c r="X234" i="5"/>
  <c r="V234" i="5"/>
  <c r="P234" i="5"/>
  <c r="AA233" i="5"/>
  <c r="Y233" i="5"/>
  <c r="Z233" i="5" s="1"/>
  <c r="X233" i="5"/>
  <c r="V233" i="5"/>
  <c r="P233" i="5"/>
  <c r="AA232" i="5"/>
  <c r="Y232" i="5"/>
  <c r="Z232" i="5" s="1"/>
  <c r="X232" i="5"/>
  <c r="V232" i="5"/>
  <c r="AA231" i="5"/>
  <c r="Z231" i="5"/>
  <c r="Y231" i="5"/>
  <c r="X231" i="5"/>
  <c r="V231" i="5"/>
  <c r="P231" i="5"/>
  <c r="AA230" i="5"/>
  <c r="Y230" i="5"/>
  <c r="Z230" i="5" s="1"/>
  <c r="X230" i="5"/>
  <c r="V230" i="5"/>
  <c r="P230" i="5"/>
  <c r="AA229" i="5"/>
  <c r="Y229" i="5"/>
  <c r="Z229" i="5" s="1"/>
  <c r="X229" i="5"/>
  <c r="V229" i="5"/>
  <c r="P229" i="5"/>
  <c r="AA228" i="5"/>
  <c r="Z228" i="5"/>
  <c r="Y228" i="5"/>
  <c r="X228" i="5"/>
  <c r="V228" i="5"/>
  <c r="P228" i="5"/>
  <c r="AA227" i="5"/>
  <c r="Y227" i="5"/>
  <c r="Z227" i="5" s="1"/>
  <c r="X227" i="5"/>
  <c r="V227" i="5"/>
  <c r="AA226" i="5"/>
  <c r="Y226" i="5"/>
  <c r="Z226" i="5" s="1"/>
  <c r="X226" i="5"/>
  <c r="V226" i="5"/>
  <c r="P226" i="5"/>
  <c r="AA225" i="5"/>
  <c r="Z225" i="5"/>
  <c r="Y225" i="5"/>
  <c r="X225" i="5"/>
  <c r="V225" i="5"/>
  <c r="AA224" i="5"/>
  <c r="Y224" i="5"/>
  <c r="Z224" i="5" s="1"/>
  <c r="X224" i="5"/>
  <c r="V224" i="5"/>
  <c r="P224" i="5"/>
  <c r="AA223" i="5"/>
  <c r="Y223" i="5"/>
  <c r="Z223" i="5" s="1"/>
  <c r="X223" i="5"/>
  <c r="V223" i="5"/>
  <c r="P223" i="5"/>
  <c r="AA222" i="5"/>
  <c r="Z222" i="5"/>
  <c r="Y222" i="5"/>
  <c r="X222" i="5"/>
  <c r="V222" i="5"/>
  <c r="P222" i="5"/>
  <c r="AA221" i="5"/>
  <c r="Z221" i="5"/>
  <c r="Y221" i="5"/>
  <c r="X221" i="5"/>
  <c r="V221" i="5"/>
  <c r="AA220" i="5"/>
  <c r="Y220" i="5"/>
  <c r="Z220" i="5" s="1"/>
  <c r="X220" i="5"/>
  <c r="V220" i="5"/>
  <c r="P220" i="5"/>
  <c r="AA219" i="5"/>
  <c r="Z219" i="5"/>
  <c r="Y219" i="5"/>
  <c r="X219" i="5"/>
  <c r="V219" i="5"/>
  <c r="P219" i="5"/>
  <c r="AA218" i="5"/>
  <c r="Y218" i="5"/>
  <c r="Z218" i="5" s="1"/>
  <c r="X218" i="5"/>
  <c r="V218" i="5"/>
  <c r="P218" i="5"/>
  <c r="AA217" i="5"/>
  <c r="Y217" i="5"/>
  <c r="Z217" i="5" s="1"/>
  <c r="X217" i="5"/>
  <c r="V217" i="5"/>
  <c r="P217" i="5"/>
  <c r="AA216" i="5"/>
  <c r="Z216" i="5"/>
  <c r="Y216" i="5"/>
  <c r="X216" i="5"/>
  <c r="V216" i="5"/>
  <c r="P216" i="5"/>
  <c r="AA215" i="5"/>
  <c r="Y215" i="5"/>
  <c r="Z215" i="5" s="1"/>
  <c r="X215" i="5"/>
  <c r="V215" i="5"/>
  <c r="P215" i="5"/>
  <c r="AA214" i="5"/>
  <c r="Y214" i="5"/>
  <c r="Z214" i="5" s="1"/>
  <c r="X214" i="5"/>
  <c r="V214" i="5"/>
  <c r="P214" i="5"/>
  <c r="AA213" i="5"/>
  <c r="Z213" i="5"/>
  <c r="Y213" i="5"/>
  <c r="X213" i="5"/>
  <c r="V213" i="5"/>
  <c r="AA212" i="5"/>
  <c r="Y212" i="5"/>
  <c r="Z212" i="5" s="1"/>
  <c r="X212" i="5"/>
  <c r="V212" i="5"/>
  <c r="P212" i="5"/>
  <c r="AA211" i="5"/>
  <c r="Y211" i="5"/>
  <c r="Z211" i="5" s="1"/>
  <c r="X211" i="5"/>
  <c r="V211" i="5"/>
  <c r="P211" i="5"/>
  <c r="AA210" i="5"/>
  <c r="Z210" i="5"/>
  <c r="Y210" i="5"/>
  <c r="X210" i="5"/>
  <c r="V210" i="5"/>
  <c r="P210" i="5"/>
  <c r="AA209" i="5"/>
  <c r="Z209" i="5"/>
  <c r="Y209" i="5"/>
  <c r="X209" i="5"/>
  <c r="V209" i="5"/>
  <c r="P209" i="5"/>
  <c r="AA208" i="5"/>
  <c r="Y208" i="5"/>
  <c r="Z208" i="5" s="1"/>
  <c r="X208" i="5"/>
  <c r="V208" i="5"/>
  <c r="AA207" i="5"/>
  <c r="Z207" i="5"/>
  <c r="Y207" i="5"/>
  <c r="X207" i="5"/>
  <c r="V207" i="5"/>
  <c r="AA206" i="5"/>
  <c r="Y206" i="5"/>
  <c r="Z206" i="5" s="1"/>
  <c r="X206" i="5"/>
  <c r="V206" i="5"/>
  <c r="P206" i="5"/>
  <c r="AA205" i="5"/>
  <c r="Y205" i="5"/>
  <c r="Z205" i="5" s="1"/>
  <c r="X205" i="5"/>
  <c r="V205" i="5"/>
  <c r="P205" i="5"/>
  <c r="AA204" i="5"/>
  <c r="Z204" i="5"/>
  <c r="Y204" i="5"/>
  <c r="X204" i="5"/>
  <c r="V204" i="5"/>
  <c r="AA203" i="5"/>
  <c r="Z203" i="5"/>
  <c r="Y203" i="5"/>
  <c r="X203" i="5"/>
  <c r="V203" i="5"/>
  <c r="P203" i="5"/>
  <c r="AA202" i="5"/>
  <c r="Y202" i="5"/>
  <c r="Z202" i="5" s="1"/>
  <c r="X202" i="5"/>
  <c r="V202" i="5"/>
  <c r="P202" i="5"/>
  <c r="AA201" i="5"/>
  <c r="Z201" i="5"/>
  <c r="Y201" i="5"/>
  <c r="X201" i="5"/>
  <c r="V201" i="5"/>
  <c r="P201" i="5"/>
  <c r="AA200" i="5"/>
  <c r="Z200" i="5"/>
  <c r="Y200" i="5"/>
  <c r="X200" i="5"/>
  <c r="V200" i="5"/>
  <c r="AA199" i="5"/>
  <c r="Y199" i="5"/>
  <c r="Z199" i="5" s="1"/>
  <c r="X199" i="5"/>
  <c r="V199" i="5"/>
  <c r="AA198" i="5"/>
  <c r="Z198" i="5"/>
  <c r="Y198" i="5"/>
  <c r="X198" i="5"/>
  <c r="V198" i="5"/>
  <c r="P198" i="5"/>
  <c r="AA197" i="5"/>
  <c r="Y197" i="5"/>
  <c r="Z197" i="5" s="1"/>
  <c r="X197" i="5"/>
  <c r="V197" i="5"/>
  <c r="AA196" i="5"/>
  <c r="Y196" i="5"/>
  <c r="Z196" i="5" s="1"/>
  <c r="X196" i="5"/>
  <c r="V196" i="5"/>
  <c r="P196" i="5"/>
  <c r="AA195" i="5"/>
  <c r="Z195" i="5"/>
  <c r="Y195" i="5"/>
  <c r="X195" i="5"/>
  <c r="V195" i="5"/>
  <c r="P195" i="5"/>
  <c r="AA194" i="5"/>
  <c r="Z194" i="5"/>
  <c r="Y194" i="5"/>
  <c r="X194" i="5"/>
  <c r="V194" i="5"/>
  <c r="P194" i="5"/>
  <c r="AA193" i="5"/>
  <c r="Y193" i="5"/>
  <c r="Z193" i="5" s="1"/>
  <c r="X193" i="5"/>
  <c r="V193" i="5"/>
  <c r="AA192" i="5"/>
  <c r="Z192" i="5"/>
  <c r="Y192" i="5"/>
  <c r="X192" i="5"/>
  <c r="V192" i="5"/>
  <c r="P192" i="5"/>
  <c r="AA191" i="5"/>
  <c r="Z191" i="5"/>
  <c r="Y191" i="5"/>
  <c r="X191" i="5"/>
  <c r="V191" i="5"/>
  <c r="P191" i="5"/>
  <c r="AA190" i="5"/>
  <c r="Y190" i="5"/>
  <c r="Z190" i="5" s="1"/>
  <c r="X190" i="5"/>
  <c r="V190" i="5"/>
  <c r="P190" i="5"/>
  <c r="AA189" i="5"/>
  <c r="Y189" i="5"/>
  <c r="Z189" i="5" s="1"/>
  <c r="X189" i="5"/>
  <c r="V189" i="5"/>
  <c r="P189" i="5"/>
  <c r="AA188" i="5"/>
  <c r="Y188" i="5"/>
  <c r="Z188" i="5" s="1"/>
  <c r="X188" i="5"/>
  <c r="V188" i="5"/>
  <c r="AA187" i="5"/>
  <c r="Y187" i="5"/>
  <c r="Z187" i="5" s="1"/>
  <c r="X187" i="5"/>
  <c r="V187" i="5"/>
  <c r="P187" i="5"/>
  <c r="AA186" i="5"/>
  <c r="Y186" i="5"/>
  <c r="Z186" i="5" s="1"/>
  <c r="X186" i="5"/>
  <c r="V186" i="5"/>
  <c r="AA185" i="5"/>
  <c r="Y185" i="5"/>
  <c r="Z185" i="5" s="1"/>
  <c r="X185" i="5"/>
  <c r="V185" i="5"/>
  <c r="P185" i="5"/>
  <c r="AA184" i="5"/>
  <c r="Y184" i="5"/>
  <c r="Z184" i="5" s="1"/>
  <c r="X184" i="5"/>
  <c r="V184" i="5"/>
  <c r="AA183" i="5"/>
  <c r="Y183" i="5"/>
  <c r="Z183" i="5" s="1"/>
  <c r="X183" i="5"/>
  <c r="V183" i="5"/>
  <c r="P183" i="5"/>
  <c r="AA182" i="5"/>
  <c r="Y182" i="5"/>
  <c r="Z182" i="5" s="1"/>
  <c r="X182" i="5"/>
  <c r="V182" i="5"/>
  <c r="AA181" i="5"/>
  <c r="Z181" i="5"/>
  <c r="Y181" i="5"/>
  <c r="X181" i="5"/>
  <c r="V181" i="5"/>
  <c r="U181" i="5"/>
  <c r="AA180" i="5"/>
  <c r="Z180" i="5"/>
  <c r="Y180" i="5"/>
  <c r="X180" i="5"/>
  <c r="V180" i="5"/>
  <c r="P180" i="5"/>
  <c r="AA179" i="5"/>
  <c r="Z179" i="5"/>
  <c r="Y179" i="5"/>
  <c r="X179" i="5"/>
  <c r="V179" i="5"/>
  <c r="P179" i="5"/>
  <c r="AA178" i="5"/>
  <c r="Z178" i="5"/>
  <c r="Y178" i="5"/>
  <c r="X178" i="5"/>
  <c r="V178" i="5"/>
  <c r="P178" i="5"/>
  <c r="AA177" i="5"/>
  <c r="Z177" i="5"/>
  <c r="Y177" i="5"/>
  <c r="X177" i="5"/>
  <c r="V177" i="5"/>
  <c r="P177" i="5"/>
  <c r="AA176" i="5"/>
  <c r="Z176" i="5"/>
  <c r="Y176" i="5"/>
  <c r="X176" i="5"/>
  <c r="V176" i="5"/>
  <c r="P176" i="5"/>
  <c r="AA175" i="5"/>
  <c r="Y175" i="5"/>
  <c r="Z175" i="5" s="1"/>
  <c r="X175" i="5"/>
  <c r="V175" i="5"/>
  <c r="P175" i="5"/>
  <c r="AA174" i="5"/>
  <c r="Z174" i="5"/>
  <c r="Y174" i="5"/>
  <c r="X174" i="5"/>
  <c r="V174" i="5"/>
  <c r="P174" i="5"/>
  <c r="AA173" i="5"/>
  <c r="Z173" i="5"/>
  <c r="Y173" i="5"/>
  <c r="X173" i="5"/>
  <c r="V173" i="5"/>
  <c r="P173" i="5"/>
  <c r="AA172" i="5"/>
  <c r="Y172" i="5"/>
  <c r="Z172" i="5" s="1"/>
  <c r="X172" i="5"/>
  <c r="V172" i="5"/>
  <c r="AA171" i="5"/>
  <c r="Z171" i="5"/>
  <c r="Y171" i="5"/>
  <c r="X171" i="5"/>
  <c r="V171" i="5"/>
  <c r="P171" i="5"/>
  <c r="AA170" i="5"/>
  <c r="Z170" i="5"/>
  <c r="Y170" i="5"/>
  <c r="X170" i="5"/>
  <c r="V170" i="5"/>
  <c r="P170" i="5"/>
  <c r="AA169" i="5"/>
  <c r="Y169" i="5"/>
  <c r="Z169" i="5" s="1"/>
  <c r="X169" i="5"/>
  <c r="V169" i="5"/>
  <c r="AA168" i="5"/>
  <c r="Z168" i="5"/>
  <c r="Y168" i="5"/>
  <c r="X168" i="5"/>
  <c r="V168" i="5"/>
  <c r="P168" i="5"/>
  <c r="AA167" i="5"/>
  <c r="Z167" i="5"/>
  <c r="Y167" i="5"/>
  <c r="X167" i="5"/>
  <c r="V167" i="5"/>
  <c r="P167" i="5"/>
  <c r="AA166" i="5"/>
  <c r="Y166" i="5"/>
  <c r="Z166" i="5" s="1"/>
  <c r="X166" i="5"/>
  <c r="V166" i="5"/>
  <c r="P166" i="5"/>
  <c r="AA165" i="5"/>
  <c r="Z165" i="5"/>
  <c r="Y165" i="5"/>
  <c r="X165" i="5"/>
  <c r="V165" i="5"/>
  <c r="AA164" i="5"/>
  <c r="Y164" i="5"/>
  <c r="Z164" i="5" s="1"/>
  <c r="X164" i="5"/>
  <c r="V164" i="5"/>
  <c r="P164" i="5"/>
  <c r="AA163" i="5"/>
  <c r="Y163" i="5"/>
  <c r="Z163" i="5" s="1"/>
  <c r="X163" i="5"/>
  <c r="V163" i="5"/>
  <c r="P163" i="5"/>
  <c r="AA162" i="5"/>
  <c r="Z162" i="5"/>
  <c r="Y162" i="5"/>
  <c r="X162" i="5"/>
  <c r="V162" i="5"/>
  <c r="AA161" i="5"/>
  <c r="Y161" i="5"/>
  <c r="Z161" i="5" s="1"/>
  <c r="X161" i="5"/>
  <c r="V161" i="5"/>
  <c r="AA160" i="5"/>
  <c r="Y160" i="5"/>
  <c r="Z160" i="5" s="1"/>
  <c r="X160" i="5"/>
  <c r="V160" i="5"/>
  <c r="AA159" i="5"/>
  <c r="Z159" i="5"/>
  <c r="Y159" i="5"/>
  <c r="X159" i="5"/>
  <c r="V159" i="5"/>
  <c r="AA158" i="5"/>
  <c r="Y158" i="5"/>
  <c r="Z158" i="5" s="1"/>
  <c r="X158" i="5"/>
  <c r="V158" i="5"/>
  <c r="P158" i="5"/>
  <c r="AA157" i="5"/>
  <c r="Y157" i="5"/>
  <c r="Z157" i="5" s="1"/>
  <c r="X157" i="5"/>
  <c r="V157" i="5"/>
  <c r="P157" i="5"/>
  <c r="AA156" i="5"/>
  <c r="Z156" i="5"/>
  <c r="Y156" i="5"/>
  <c r="X156" i="5"/>
  <c r="V156" i="5"/>
  <c r="P156" i="5"/>
  <c r="AA155" i="5"/>
  <c r="Y155" i="5"/>
  <c r="Z155" i="5" s="1"/>
  <c r="X155" i="5"/>
  <c r="V155" i="5"/>
  <c r="AA154" i="5"/>
  <c r="Y154" i="5"/>
  <c r="Z154" i="5" s="1"/>
  <c r="X154" i="5"/>
  <c r="V154" i="5"/>
  <c r="P154" i="5"/>
  <c r="AA153" i="5"/>
  <c r="Z153" i="5"/>
  <c r="Y153" i="5"/>
  <c r="X153" i="5"/>
  <c r="V153" i="5"/>
  <c r="P153" i="5"/>
  <c r="AA152" i="5"/>
  <c r="Y152" i="5"/>
  <c r="Z152" i="5" s="1"/>
  <c r="X152" i="5"/>
  <c r="V152" i="5"/>
  <c r="P152" i="5"/>
  <c r="AA151" i="5"/>
  <c r="Y151" i="5"/>
  <c r="Z151" i="5" s="1"/>
  <c r="X151" i="5"/>
  <c r="V151" i="5"/>
  <c r="P151" i="5"/>
  <c r="AA150" i="5"/>
  <c r="Z150" i="5"/>
  <c r="Y150" i="5"/>
  <c r="X150" i="5"/>
  <c r="V150" i="5"/>
  <c r="P150" i="5"/>
  <c r="AA149" i="5"/>
  <c r="Y149" i="5"/>
  <c r="Z149" i="5" s="1"/>
  <c r="X149" i="5"/>
  <c r="V149" i="5"/>
  <c r="P149" i="5"/>
  <c r="AA148" i="5"/>
  <c r="Y148" i="5"/>
  <c r="Z148" i="5" s="1"/>
  <c r="X148" i="5"/>
  <c r="V148" i="5"/>
  <c r="P148" i="5"/>
  <c r="AA147" i="5"/>
  <c r="Z147" i="5"/>
  <c r="Y147" i="5"/>
  <c r="X147" i="5"/>
  <c r="V147" i="5"/>
  <c r="P147" i="5"/>
  <c r="AA146" i="5"/>
  <c r="Y146" i="5"/>
  <c r="Z146" i="5" s="1"/>
  <c r="X146" i="5"/>
  <c r="V146" i="5"/>
  <c r="P146" i="5"/>
  <c r="AA145" i="5"/>
  <c r="Y145" i="5"/>
  <c r="Z145" i="5" s="1"/>
  <c r="X145" i="5"/>
  <c r="V145" i="5"/>
  <c r="P145" i="5"/>
  <c r="AA144" i="5"/>
  <c r="Z144" i="5"/>
  <c r="Y144" i="5"/>
  <c r="X144" i="5"/>
  <c r="V144" i="5"/>
  <c r="P144" i="5"/>
  <c r="AA143" i="5"/>
  <c r="Y143" i="5"/>
  <c r="Z143" i="5" s="1"/>
  <c r="X143" i="5"/>
  <c r="V143" i="5"/>
  <c r="P143" i="5"/>
  <c r="AA142" i="5"/>
  <c r="Y142" i="5"/>
  <c r="Z142" i="5" s="1"/>
  <c r="X142" i="5"/>
  <c r="V142" i="5"/>
  <c r="P142" i="5"/>
  <c r="AA141" i="5"/>
  <c r="Z141" i="5"/>
  <c r="Y141" i="5"/>
  <c r="X141" i="5"/>
  <c r="V141" i="5"/>
  <c r="U141" i="5"/>
  <c r="P141" i="5"/>
  <c r="AA140" i="5"/>
  <c r="Y140" i="5"/>
  <c r="Z140" i="5" s="1"/>
  <c r="X140" i="5"/>
  <c r="V140" i="5"/>
  <c r="P140" i="5"/>
  <c r="AA139" i="5"/>
  <c r="Z139" i="5"/>
  <c r="Y139" i="5"/>
  <c r="X139" i="5"/>
  <c r="V139" i="5"/>
  <c r="P139" i="5"/>
  <c r="AA138" i="5"/>
  <c r="Z138" i="5"/>
  <c r="Y138" i="5"/>
  <c r="X138" i="5"/>
  <c r="V138" i="5"/>
  <c r="P138" i="5"/>
  <c r="AA137" i="5"/>
  <c r="Y137" i="5"/>
  <c r="Z137" i="5" s="1"/>
  <c r="X137" i="5"/>
  <c r="V137" i="5"/>
  <c r="P137" i="5"/>
  <c r="AA136" i="5"/>
  <c r="Z136" i="5"/>
  <c r="Y136" i="5"/>
  <c r="X136" i="5"/>
  <c r="V136" i="5"/>
  <c r="P136" i="5"/>
  <c r="AA135" i="5"/>
  <c r="Z135" i="5"/>
  <c r="Y135" i="5"/>
  <c r="X135" i="5"/>
  <c r="V135" i="5"/>
  <c r="P135" i="5"/>
  <c r="AA134" i="5"/>
  <c r="Y134" i="5"/>
  <c r="Z134" i="5" s="1"/>
  <c r="X134" i="5"/>
  <c r="V134" i="5"/>
  <c r="P134" i="5"/>
  <c r="AA133" i="5"/>
  <c r="Z133" i="5"/>
  <c r="Y133" i="5"/>
  <c r="X133" i="5"/>
  <c r="V133" i="5"/>
  <c r="P133" i="5"/>
  <c r="AA132" i="5"/>
  <c r="Z132" i="5"/>
  <c r="Y132" i="5"/>
  <c r="X132" i="5"/>
  <c r="V132" i="5"/>
  <c r="AA131" i="5"/>
  <c r="Y131" i="5"/>
  <c r="Z131" i="5" s="1"/>
  <c r="X131" i="5"/>
  <c r="V131" i="5"/>
  <c r="P131" i="5"/>
  <c r="AA130" i="5"/>
  <c r="Z130" i="5"/>
  <c r="Y130" i="5"/>
  <c r="X130" i="5"/>
  <c r="V130" i="5"/>
  <c r="P130" i="5"/>
  <c r="AA129" i="5"/>
  <c r="Z129" i="5"/>
  <c r="Y129" i="5"/>
  <c r="X129" i="5"/>
  <c r="V129" i="5"/>
  <c r="P129" i="5"/>
  <c r="AA128" i="5"/>
  <c r="Y128" i="5"/>
  <c r="Z128" i="5" s="1"/>
  <c r="X128" i="5"/>
  <c r="V128" i="5"/>
  <c r="AA127" i="5"/>
  <c r="Z127" i="5"/>
  <c r="Y127" i="5"/>
  <c r="X127" i="5"/>
  <c r="V127" i="5"/>
  <c r="P127" i="5"/>
  <c r="AA126" i="5"/>
  <c r="Z126" i="5"/>
  <c r="Y126" i="5"/>
  <c r="X126" i="5"/>
  <c r="V126" i="5"/>
  <c r="AA125" i="5"/>
  <c r="Y125" i="5"/>
  <c r="Z125" i="5" s="1"/>
  <c r="X125" i="5"/>
  <c r="V125" i="5"/>
  <c r="P125" i="5"/>
  <c r="AA124" i="5"/>
  <c r="Z124" i="5"/>
  <c r="Y124" i="5"/>
  <c r="X124" i="5"/>
  <c r="V124" i="5"/>
  <c r="P124" i="5"/>
  <c r="AA123" i="5"/>
  <c r="Z123" i="5"/>
  <c r="Y123" i="5"/>
  <c r="X123" i="5"/>
  <c r="V123" i="5"/>
  <c r="P123" i="5"/>
  <c r="AA122" i="5"/>
  <c r="Y122" i="5"/>
  <c r="Z122" i="5" s="1"/>
  <c r="X122" i="5"/>
  <c r="V122" i="5"/>
  <c r="P122" i="5"/>
  <c r="AA121" i="5"/>
  <c r="Z121" i="5"/>
  <c r="Y121" i="5"/>
  <c r="X121" i="5"/>
  <c r="V121" i="5"/>
  <c r="P121" i="5"/>
  <c r="AA120" i="5"/>
  <c r="Z120" i="5"/>
  <c r="Y120" i="5"/>
  <c r="X120" i="5"/>
  <c r="V120" i="5"/>
  <c r="P120" i="5"/>
  <c r="AA119" i="5"/>
  <c r="Y119" i="5"/>
  <c r="Z119" i="5" s="1"/>
  <c r="X119" i="5"/>
  <c r="V119" i="5"/>
  <c r="AA118" i="5"/>
  <c r="Z118" i="5"/>
  <c r="Y118" i="5"/>
  <c r="X118" i="5"/>
  <c r="V118" i="5"/>
  <c r="AA117" i="5"/>
  <c r="Z117" i="5"/>
  <c r="Y117" i="5"/>
  <c r="X117" i="5"/>
  <c r="V117" i="5"/>
  <c r="P117" i="5"/>
  <c r="AA116" i="5"/>
  <c r="Y116" i="5"/>
  <c r="Z116" i="5" s="1"/>
  <c r="X116" i="5"/>
  <c r="V116" i="5"/>
  <c r="P116" i="5"/>
  <c r="AA115" i="5"/>
  <c r="Z115" i="5"/>
  <c r="Y115" i="5"/>
  <c r="X115" i="5"/>
  <c r="V115" i="5"/>
  <c r="P115" i="5"/>
  <c r="AA114" i="5"/>
  <c r="Z114" i="5"/>
  <c r="Y114" i="5"/>
  <c r="X114" i="5"/>
  <c r="V114" i="5"/>
  <c r="AA113" i="5"/>
  <c r="Y113" i="5"/>
  <c r="Z113" i="5" s="1"/>
  <c r="X113" i="5"/>
  <c r="V113" i="5"/>
  <c r="P113" i="5"/>
  <c r="AA112" i="5"/>
  <c r="Z112" i="5"/>
  <c r="Y112" i="5"/>
  <c r="X112" i="5"/>
  <c r="V112" i="5"/>
  <c r="P112" i="5"/>
  <c r="AA111" i="5"/>
  <c r="Z111" i="5"/>
  <c r="Y111" i="5"/>
  <c r="X111" i="5"/>
  <c r="V111" i="5"/>
  <c r="AA110" i="5"/>
  <c r="Y110" i="5"/>
  <c r="Z110" i="5" s="1"/>
  <c r="X110" i="5"/>
  <c r="V110" i="5"/>
  <c r="P110" i="5"/>
  <c r="AA109" i="5"/>
  <c r="Z109" i="5"/>
  <c r="Y109" i="5"/>
  <c r="X109" i="5"/>
  <c r="V109" i="5"/>
  <c r="P109" i="5"/>
  <c r="AA108" i="5"/>
  <c r="Z108" i="5"/>
  <c r="Y108" i="5"/>
  <c r="X108" i="5"/>
  <c r="V108" i="5"/>
  <c r="U108" i="5"/>
  <c r="P108" i="5"/>
  <c r="AA107" i="5"/>
  <c r="Z107" i="5"/>
  <c r="Y107" i="5"/>
  <c r="X107" i="5"/>
  <c r="V107" i="5"/>
  <c r="P107" i="5"/>
  <c r="AA106" i="5"/>
  <c r="Y106" i="5"/>
  <c r="Z106" i="5" s="1"/>
  <c r="X106" i="5"/>
  <c r="V106" i="5"/>
  <c r="P106" i="5"/>
  <c r="AA105" i="5"/>
  <c r="Z105" i="5"/>
  <c r="Y105" i="5"/>
  <c r="X105" i="5"/>
  <c r="V105" i="5"/>
  <c r="P105" i="5"/>
  <c r="AA104" i="5"/>
  <c r="Z104" i="5"/>
  <c r="Y104" i="5"/>
  <c r="X104" i="5"/>
  <c r="V104" i="5"/>
  <c r="U104" i="5"/>
  <c r="P104" i="5"/>
  <c r="AA103" i="5"/>
  <c r="Z103" i="5"/>
  <c r="Y103" i="5"/>
  <c r="X103" i="5"/>
  <c r="V103" i="5"/>
  <c r="P103" i="5"/>
  <c r="AA102" i="5"/>
  <c r="Y102" i="5"/>
  <c r="Z102" i="5" s="1"/>
  <c r="X102" i="5"/>
  <c r="V102" i="5"/>
  <c r="P102" i="5"/>
  <c r="AA101" i="5"/>
  <c r="Y101" i="5"/>
  <c r="Z101" i="5" s="1"/>
  <c r="X101" i="5"/>
  <c r="V101" i="5"/>
  <c r="P101" i="5"/>
  <c r="AA100" i="5"/>
  <c r="Z100" i="5"/>
  <c r="Y100" i="5"/>
  <c r="X100" i="5"/>
  <c r="V100" i="5"/>
  <c r="P100" i="5"/>
  <c r="AA99" i="5"/>
  <c r="Y99" i="5"/>
  <c r="Z99" i="5" s="1"/>
  <c r="X99" i="5"/>
  <c r="V99" i="5"/>
  <c r="AA98" i="5"/>
  <c r="Y98" i="5"/>
  <c r="Z98" i="5" s="1"/>
  <c r="X98" i="5"/>
  <c r="V98" i="5"/>
  <c r="P98" i="5"/>
  <c r="AA97" i="5"/>
  <c r="Z97" i="5"/>
  <c r="Y97" i="5"/>
  <c r="X97" i="5"/>
  <c r="V97" i="5"/>
  <c r="P97" i="5"/>
  <c r="AA96" i="5"/>
  <c r="Y96" i="5"/>
  <c r="Z96" i="5" s="1"/>
  <c r="X96" i="5"/>
  <c r="V96" i="5"/>
  <c r="P96" i="5"/>
  <c r="AA95" i="5"/>
  <c r="Y95" i="5"/>
  <c r="Z95" i="5" s="1"/>
  <c r="X95" i="5"/>
  <c r="V95" i="5"/>
  <c r="P95" i="5"/>
  <c r="AA94" i="5"/>
  <c r="Z94" i="5"/>
  <c r="Y94" i="5"/>
  <c r="X94" i="5"/>
  <c r="V94" i="5"/>
  <c r="P94" i="5"/>
  <c r="AA93" i="5"/>
  <c r="Y93" i="5"/>
  <c r="Z93" i="5" s="1"/>
  <c r="X93" i="5"/>
  <c r="V93" i="5"/>
  <c r="P93" i="5"/>
  <c r="AA92" i="5"/>
  <c r="Y92" i="5"/>
  <c r="Z92" i="5" s="1"/>
  <c r="X92" i="5"/>
  <c r="V92" i="5"/>
  <c r="P92" i="5"/>
  <c r="AA91" i="5"/>
  <c r="Z91" i="5"/>
  <c r="Y91" i="5"/>
  <c r="X91" i="5"/>
  <c r="V91" i="5"/>
  <c r="P91" i="5"/>
  <c r="AA90" i="5"/>
  <c r="Y90" i="5"/>
  <c r="Z90" i="5" s="1"/>
  <c r="X90" i="5"/>
  <c r="V90" i="5"/>
  <c r="P90" i="5"/>
  <c r="AA89" i="5"/>
  <c r="Y89" i="5"/>
  <c r="Z89" i="5" s="1"/>
  <c r="X89" i="5"/>
  <c r="V89" i="5"/>
  <c r="P89" i="5"/>
  <c r="AA88" i="5"/>
  <c r="Z88" i="5"/>
  <c r="Y88" i="5"/>
  <c r="X88" i="5"/>
  <c r="V88" i="5"/>
  <c r="P88" i="5"/>
  <c r="AA87" i="5"/>
  <c r="Y87" i="5"/>
  <c r="Z87" i="5" s="1"/>
  <c r="X87" i="5"/>
  <c r="V87" i="5"/>
  <c r="P87" i="5"/>
  <c r="AA86" i="5"/>
  <c r="Y86" i="5"/>
  <c r="Z86" i="5" s="1"/>
  <c r="X86" i="5"/>
  <c r="V86" i="5"/>
  <c r="P86" i="5"/>
  <c r="AA85" i="5"/>
  <c r="Z85" i="5"/>
  <c r="Y85" i="5"/>
  <c r="X85" i="5"/>
  <c r="V85" i="5"/>
  <c r="P85" i="5"/>
  <c r="AA84" i="5"/>
  <c r="Y84" i="5"/>
  <c r="Z84" i="5" s="1"/>
  <c r="X84" i="5"/>
  <c r="V84" i="5"/>
  <c r="AA83" i="5"/>
  <c r="Y83" i="5"/>
  <c r="Z83" i="5" s="1"/>
  <c r="X83" i="5"/>
  <c r="V83" i="5"/>
  <c r="P83" i="5"/>
  <c r="AA82" i="5"/>
  <c r="Z82" i="5"/>
  <c r="Y82" i="5"/>
  <c r="X82" i="5"/>
  <c r="V82" i="5"/>
  <c r="AA81" i="5"/>
  <c r="Y81" i="5"/>
  <c r="Z81" i="5" s="1"/>
  <c r="X81" i="5"/>
  <c r="V81" i="5"/>
  <c r="AA80" i="5"/>
  <c r="Y80" i="5"/>
  <c r="Z80" i="5" s="1"/>
  <c r="X80" i="5"/>
  <c r="V80" i="5"/>
  <c r="P80" i="5"/>
  <c r="AA79" i="5"/>
  <c r="Z79" i="5"/>
  <c r="Y79" i="5"/>
  <c r="X79" i="5"/>
  <c r="V79" i="5"/>
  <c r="P79" i="5"/>
  <c r="AA78" i="5"/>
  <c r="Y78" i="5"/>
  <c r="Z78" i="5" s="1"/>
  <c r="X78" i="5"/>
  <c r="V78" i="5"/>
  <c r="P78" i="5"/>
  <c r="AA77" i="5"/>
  <c r="Y77" i="5"/>
  <c r="Z77" i="5" s="1"/>
  <c r="X77" i="5"/>
  <c r="V77" i="5"/>
  <c r="P77" i="5"/>
  <c r="AA76" i="5"/>
  <c r="Z76" i="5"/>
  <c r="Y76" i="5"/>
  <c r="X76" i="5"/>
  <c r="V76" i="5"/>
  <c r="P76" i="5"/>
  <c r="AA75" i="5"/>
  <c r="Y75" i="5"/>
  <c r="Z75" i="5" s="1"/>
  <c r="X75" i="5"/>
  <c r="V75" i="5"/>
  <c r="AA74" i="5"/>
  <c r="Y74" i="5"/>
  <c r="Z74" i="5" s="1"/>
  <c r="X74" i="5"/>
  <c r="V74" i="5"/>
  <c r="P74" i="5"/>
  <c r="AA73" i="5"/>
  <c r="Z73" i="5"/>
  <c r="Y73" i="5"/>
  <c r="X73" i="5"/>
  <c r="V73" i="5"/>
  <c r="AA72" i="5"/>
  <c r="Y72" i="5"/>
  <c r="Z72" i="5" s="1"/>
  <c r="X72" i="5"/>
  <c r="V72" i="5"/>
  <c r="P72" i="5"/>
  <c r="AA71" i="5"/>
  <c r="Y71" i="5"/>
  <c r="Z71" i="5" s="1"/>
  <c r="X71" i="5"/>
  <c r="V71" i="5"/>
  <c r="P71" i="5"/>
  <c r="AA70" i="5"/>
  <c r="Z70" i="5"/>
  <c r="Y70" i="5"/>
  <c r="X70" i="5"/>
  <c r="V70" i="5"/>
  <c r="P70" i="5"/>
  <c r="AA69" i="5"/>
  <c r="Y69" i="5"/>
  <c r="Z69" i="5" s="1"/>
  <c r="X69" i="5"/>
  <c r="V69" i="5"/>
  <c r="P69" i="5"/>
  <c r="AA68" i="5"/>
  <c r="Y68" i="5"/>
  <c r="Z68" i="5" s="1"/>
  <c r="X68" i="5"/>
  <c r="V68" i="5"/>
  <c r="P68" i="5"/>
  <c r="AA67" i="5"/>
  <c r="Z67" i="5"/>
  <c r="Y67" i="5"/>
  <c r="X67" i="5"/>
  <c r="V67" i="5"/>
  <c r="AA66" i="5"/>
  <c r="Y66" i="5"/>
  <c r="Z66" i="5" s="1"/>
  <c r="X66" i="5"/>
  <c r="V66" i="5"/>
  <c r="P66" i="5"/>
  <c r="AA65" i="5"/>
  <c r="Y65" i="5"/>
  <c r="Z65" i="5" s="1"/>
  <c r="X65" i="5"/>
  <c r="V65" i="5"/>
  <c r="U65" i="5"/>
  <c r="AA64" i="5"/>
  <c r="Y64" i="5"/>
  <c r="Z64" i="5" s="1"/>
  <c r="X64" i="5"/>
  <c r="V64" i="5"/>
  <c r="U64" i="5"/>
  <c r="P64" i="5"/>
  <c r="AA63" i="5"/>
  <c r="Z63" i="5"/>
  <c r="Y63" i="5"/>
  <c r="X63" i="5"/>
  <c r="V63" i="5"/>
  <c r="P63" i="5"/>
  <c r="AA62" i="5"/>
  <c r="Z62" i="5"/>
  <c r="Y62" i="5"/>
  <c r="X62" i="5"/>
  <c r="V62" i="5"/>
  <c r="P62" i="5"/>
  <c r="AA61" i="5"/>
  <c r="Y61" i="5"/>
  <c r="Z61" i="5" s="1"/>
  <c r="X61" i="5"/>
  <c r="V61" i="5"/>
  <c r="P61" i="5"/>
  <c r="AA60" i="5"/>
  <c r="Z60" i="5"/>
  <c r="Y60" i="5"/>
  <c r="X60" i="5"/>
  <c r="V60" i="5"/>
  <c r="P60" i="5"/>
  <c r="AA59" i="5"/>
  <c r="Z59" i="5"/>
  <c r="Y59" i="5"/>
  <c r="X59" i="5"/>
  <c r="V59" i="5"/>
  <c r="P59" i="5"/>
  <c r="AA58" i="5"/>
  <c r="Y58" i="5"/>
  <c r="Z58" i="5" s="1"/>
  <c r="X58" i="5"/>
  <c r="V58" i="5"/>
  <c r="P58" i="5"/>
  <c r="AA57" i="5"/>
  <c r="Z57" i="5"/>
  <c r="Y57" i="5"/>
  <c r="X57" i="5"/>
  <c r="V57" i="5"/>
  <c r="P57" i="5"/>
  <c r="AA56" i="5"/>
  <c r="Z56" i="5"/>
  <c r="Y56" i="5"/>
  <c r="X56" i="5"/>
  <c r="V56" i="5"/>
  <c r="AA55" i="5"/>
  <c r="Y55" i="5"/>
  <c r="Z55" i="5" s="1"/>
  <c r="X55" i="5"/>
  <c r="V55" i="5"/>
  <c r="P55" i="5"/>
  <c r="AA54" i="5"/>
  <c r="Z54" i="5"/>
  <c r="Y54" i="5"/>
  <c r="X54" i="5"/>
  <c r="V54" i="5"/>
  <c r="U54" i="5"/>
  <c r="P54" i="5"/>
  <c r="AA53" i="5"/>
  <c r="Z53" i="5"/>
  <c r="Y53" i="5"/>
  <c r="X53" i="5"/>
  <c r="V53" i="5"/>
  <c r="P53" i="5"/>
  <c r="AA52" i="5"/>
  <c r="Z52" i="5"/>
  <c r="Y52" i="5"/>
  <c r="X52" i="5"/>
  <c r="V52" i="5"/>
  <c r="P52" i="5"/>
  <c r="AA51" i="5"/>
  <c r="Y51" i="5"/>
  <c r="Z51" i="5" s="1"/>
  <c r="X51" i="5"/>
  <c r="V51" i="5"/>
  <c r="P51" i="5"/>
  <c r="AA50" i="5"/>
  <c r="Z50" i="5"/>
  <c r="Y50" i="5"/>
  <c r="X50" i="5"/>
  <c r="V50" i="5"/>
  <c r="P50" i="5"/>
  <c r="AA49" i="5"/>
  <c r="Z49" i="5"/>
  <c r="Y49" i="5"/>
  <c r="X49" i="5"/>
  <c r="V49" i="5"/>
  <c r="P49" i="5"/>
  <c r="AA48" i="5"/>
  <c r="Y48" i="5"/>
  <c r="Z48" i="5" s="1"/>
  <c r="X48" i="5"/>
  <c r="V48" i="5"/>
  <c r="P48" i="5"/>
  <c r="AA47" i="5"/>
  <c r="Z47" i="5"/>
  <c r="Y47" i="5"/>
  <c r="X47" i="5"/>
  <c r="V47" i="5"/>
  <c r="P47" i="5"/>
  <c r="AA46" i="5"/>
  <c r="Z46" i="5"/>
  <c r="Y46" i="5"/>
  <c r="X46" i="5"/>
  <c r="V46" i="5"/>
  <c r="P46" i="5"/>
  <c r="AA45" i="5"/>
  <c r="Y45" i="5"/>
  <c r="Z45" i="5" s="1"/>
  <c r="X45" i="5"/>
  <c r="V45" i="5"/>
  <c r="P45" i="5"/>
  <c r="AA44" i="5"/>
  <c r="Z44" i="5"/>
  <c r="Y44" i="5"/>
  <c r="X44" i="5"/>
  <c r="V44" i="5"/>
  <c r="P44" i="5"/>
  <c r="AA43" i="5"/>
  <c r="Z43" i="5"/>
  <c r="Y43" i="5"/>
  <c r="X43" i="5"/>
  <c r="V43" i="5"/>
  <c r="AA42" i="5"/>
  <c r="Y42" i="5"/>
  <c r="Z42" i="5" s="1"/>
  <c r="X42" i="5"/>
  <c r="V42" i="5"/>
  <c r="P42" i="5"/>
  <c r="AA41" i="5"/>
  <c r="Y41" i="5"/>
  <c r="Z41" i="5" s="1"/>
  <c r="X41" i="5"/>
  <c r="V41" i="5"/>
  <c r="P41" i="5"/>
  <c r="AA40" i="5"/>
  <c r="Z40" i="5"/>
  <c r="Y40" i="5"/>
  <c r="X40" i="5"/>
  <c r="V40" i="5"/>
  <c r="AA39" i="5"/>
  <c r="Y39" i="5"/>
  <c r="Z39" i="5" s="1"/>
  <c r="X39" i="5"/>
  <c r="V39" i="5"/>
  <c r="AA38" i="5"/>
  <c r="Y38" i="5"/>
  <c r="Z38" i="5" s="1"/>
  <c r="X38" i="5"/>
  <c r="V38" i="5"/>
  <c r="P38" i="5"/>
  <c r="AA37" i="5"/>
  <c r="Z37" i="5"/>
  <c r="Y37" i="5"/>
  <c r="X37" i="5"/>
  <c r="V37" i="5"/>
  <c r="P37" i="5"/>
  <c r="AA36" i="5"/>
  <c r="Y36" i="5"/>
  <c r="Z36" i="5" s="1"/>
  <c r="X36" i="5"/>
  <c r="V36" i="5"/>
  <c r="P36" i="5"/>
  <c r="AA35" i="5"/>
  <c r="Y35" i="5"/>
  <c r="Z35" i="5" s="1"/>
  <c r="X35" i="5"/>
  <c r="V35" i="5"/>
  <c r="AA34" i="5"/>
  <c r="Z34" i="5"/>
  <c r="Y34" i="5"/>
  <c r="X34" i="5"/>
  <c r="V34" i="5"/>
  <c r="P34" i="5"/>
  <c r="AA33" i="5"/>
  <c r="Y33" i="5"/>
  <c r="Z33" i="5" s="1"/>
  <c r="X33" i="5"/>
  <c r="V33" i="5"/>
  <c r="P33" i="5"/>
  <c r="AA32" i="5"/>
  <c r="Y32" i="5"/>
  <c r="Z32" i="5" s="1"/>
  <c r="X32" i="5"/>
  <c r="V32" i="5"/>
  <c r="P32" i="5"/>
  <c r="AA31" i="5"/>
  <c r="Z31" i="5"/>
  <c r="Y31" i="5"/>
  <c r="X31" i="5"/>
  <c r="V31" i="5"/>
  <c r="U31" i="5"/>
  <c r="P31" i="5"/>
  <c r="AA30" i="5"/>
  <c r="Z30" i="5"/>
  <c r="Y30" i="5"/>
  <c r="X30" i="5"/>
  <c r="V30" i="5"/>
  <c r="AA29" i="5"/>
  <c r="Z29" i="5"/>
  <c r="Y29" i="5"/>
  <c r="X29" i="5"/>
  <c r="V29" i="5"/>
  <c r="AA28" i="5"/>
  <c r="Y28" i="5"/>
  <c r="Z28" i="5" s="1"/>
  <c r="X28" i="5"/>
  <c r="V28" i="5"/>
  <c r="P28" i="5"/>
  <c r="AA27" i="5"/>
  <c r="Z27" i="5"/>
  <c r="Y27" i="5"/>
  <c r="X27" i="5"/>
  <c r="V27" i="5"/>
  <c r="AA26" i="5"/>
  <c r="Z26" i="5"/>
  <c r="Y26" i="5"/>
  <c r="X26" i="5"/>
  <c r="V26" i="5"/>
  <c r="AA25" i="5"/>
  <c r="Y25" i="5"/>
  <c r="Z25" i="5" s="1"/>
  <c r="X25" i="5"/>
  <c r="V25" i="5"/>
  <c r="P25" i="5"/>
  <c r="AA24" i="5"/>
  <c r="Z24" i="5"/>
  <c r="Y24" i="5"/>
  <c r="X24" i="5"/>
  <c r="V24" i="5"/>
  <c r="P24" i="5"/>
  <c r="AA23" i="5"/>
  <c r="Y23" i="5"/>
  <c r="Z23" i="5" s="1"/>
  <c r="X23" i="5"/>
  <c r="V23" i="5"/>
  <c r="P23" i="5"/>
  <c r="AA22" i="5"/>
  <c r="Y22" i="5"/>
  <c r="Z22" i="5" s="1"/>
  <c r="X22" i="5"/>
  <c r="V22" i="5"/>
  <c r="P22" i="5"/>
  <c r="AA21" i="5"/>
  <c r="Z21" i="5"/>
  <c r="Y21" i="5"/>
  <c r="X21" i="5"/>
  <c r="V21" i="5"/>
  <c r="P21" i="5"/>
  <c r="AA20" i="5"/>
  <c r="Y20" i="5"/>
  <c r="Z20" i="5" s="1"/>
  <c r="X20" i="5"/>
  <c r="V20" i="5"/>
  <c r="P20" i="5"/>
  <c r="AA19" i="5"/>
  <c r="Y19" i="5"/>
  <c r="Z19" i="5" s="1"/>
  <c r="X19" i="5"/>
  <c r="V19" i="5"/>
  <c r="P19" i="5"/>
  <c r="AA18" i="5"/>
  <c r="Z18" i="5"/>
  <c r="Y18" i="5"/>
  <c r="X18" i="5"/>
  <c r="V18" i="5"/>
  <c r="P18" i="5"/>
  <c r="AA17" i="5"/>
  <c r="Y17" i="5"/>
  <c r="Z17" i="5" s="1"/>
  <c r="X17" i="5"/>
  <c r="V17" i="5"/>
  <c r="P17" i="5"/>
  <c r="AA16" i="5"/>
  <c r="Y16" i="5"/>
  <c r="Z16" i="5" s="1"/>
  <c r="X16" i="5"/>
  <c r="V16" i="5"/>
  <c r="P16" i="5"/>
  <c r="AA15" i="5"/>
  <c r="Z15" i="5"/>
  <c r="Y15" i="5"/>
  <c r="X15" i="5"/>
  <c r="V15" i="5"/>
  <c r="P15" i="5"/>
  <c r="AA14" i="5"/>
  <c r="Y14" i="5"/>
  <c r="Z14" i="5" s="1"/>
  <c r="X14" i="5"/>
  <c r="V14" i="5"/>
  <c r="U14" i="5"/>
  <c r="AA13" i="5"/>
  <c r="Z13" i="5"/>
  <c r="Y13" i="5"/>
  <c r="X13" i="5"/>
  <c r="V13" i="5"/>
  <c r="U13" i="5"/>
  <c r="P13" i="5"/>
  <c r="AA12" i="5"/>
  <c r="Y12" i="5"/>
  <c r="Z12" i="5" s="1"/>
  <c r="X12" i="5"/>
  <c r="V12" i="5"/>
  <c r="U12" i="5"/>
  <c r="P12" i="5"/>
  <c r="AA11" i="5"/>
  <c r="Y11" i="5"/>
  <c r="Z11" i="5" s="1"/>
  <c r="X11" i="5"/>
  <c r="V11" i="5"/>
  <c r="U11" i="5"/>
  <c r="P11" i="5"/>
  <c r="AA10" i="5"/>
  <c r="Z10" i="5"/>
  <c r="Y10" i="5"/>
  <c r="X10" i="5"/>
  <c r="V10" i="5"/>
  <c r="U10" i="5"/>
  <c r="P10" i="5"/>
  <c r="AA9" i="5"/>
  <c r="Z9" i="5"/>
  <c r="Y9" i="5"/>
  <c r="X9" i="5"/>
  <c r="V9" i="5"/>
  <c r="U9" i="5"/>
  <c r="P9" i="5"/>
  <c r="AA8" i="5"/>
  <c r="Y8" i="5"/>
  <c r="Z8" i="5" s="1"/>
  <c r="X8" i="5"/>
  <c r="V8" i="5"/>
  <c r="U8" i="5"/>
  <c r="P8" i="5"/>
  <c r="AA7" i="5"/>
  <c r="Y7" i="5"/>
  <c r="Z7" i="5" s="1"/>
  <c r="X7" i="5"/>
  <c r="V7" i="5"/>
  <c r="U7" i="5"/>
  <c r="P7" i="5"/>
  <c r="AA6" i="5"/>
  <c r="Z6" i="5"/>
  <c r="Y6" i="5"/>
  <c r="X6" i="5"/>
  <c r="V6" i="5"/>
  <c r="U6" i="5"/>
  <c r="P6" i="5"/>
  <c r="AA5" i="5"/>
  <c r="Z5" i="5"/>
  <c r="Y5" i="5"/>
  <c r="X5" i="5"/>
  <c r="V5" i="5"/>
  <c r="U5" i="5"/>
  <c r="P5" i="5"/>
  <c r="AA4" i="5"/>
  <c r="Y4" i="5"/>
  <c r="Z4" i="5" s="1"/>
  <c r="X4" i="5"/>
  <c r="V4" i="5"/>
  <c r="AA3" i="5"/>
  <c r="Z3" i="5"/>
  <c r="Y3" i="5"/>
  <c r="X3" i="5"/>
  <c r="V3" i="5"/>
  <c r="U3" i="5"/>
  <c r="P3" i="5"/>
  <c r="AA2" i="5"/>
  <c r="Y2" i="5"/>
  <c r="Z2" i="5" s="1"/>
  <c r="X2" i="5"/>
  <c r="V2" i="5"/>
  <c r="U2" i="5"/>
  <c r="S2" i="5"/>
  <c r="P429" i="5" s="1"/>
  <c r="P2" i="5"/>
  <c r="V35" i="1"/>
  <c r="X35" i="1"/>
  <c r="Y35" i="1"/>
  <c r="Z35" i="1"/>
  <c r="AA35" i="1"/>
  <c r="V43" i="1"/>
  <c r="X43" i="1"/>
  <c r="Y43" i="1"/>
  <c r="Z43" i="1" s="1"/>
  <c r="AA43" i="1"/>
  <c r="V44" i="1"/>
  <c r="X44" i="1"/>
  <c r="Y44" i="1"/>
  <c r="Z44" i="1" s="1"/>
  <c r="AA44" i="1"/>
  <c r="V48" i="1"/>
  <c r="X48" i="1"/>
  <c r="Y48" i="1"/>
  <c r="Z48" i="1" s="1"/>
  <c r="AA48" i="1"/>
  <c r="V60" i="1"/>
  <c r="X60" i="1"/>
  <c r="Y60" i="1"/>
  <c r="Z60" i="1" s="1"/>
  <c r="AA60" i="1"/>
  <c r="V62" i="1"/>
  <c r="X62" i="1"/>
  <c r="Y62" i="1"/>
  <c r="Z62" i="1" s="1"/>
  <c r="AA62" i="1"/>
  <c r="V73" i="1"/>
  <c r="X73" i="1"/>
  <c r="Y73" i="1"/>
  <c r="Z73" i="1"/>
  <c r="AA73" i="1"/>
  <c r="V76" i="1"/>
  <c r="X76" i="1"/>
  <c r="Y76" i="1"/>
  <c r="Z76" i="1" s="1"/>
  <c r="AA76" i="1"/>
  <c r="V79" i="1"/>
  <c r="X79" i="1"/>
  <c r="Y79" i="1"/>
  <c r="Z79" i="1"/>
  <c r="AA79" i="1"/>
  <c r="V95" i="1"/>
  <c r="X95" i="1"/>
  <c r="Y95" i="1"/>
  <c r="Z95" i="1" s="1"/>
  <c r="AA95" i="1"/>
  <c r="V97" i="1"/>
  <c r="X97" i="1"/>
  <c r="Y97" i="1"/>
  <c r="Z97" i="1"/>
  <c r="AA97" i="1"/>
  <c r="V100" i="1"/>
  <c r="X100" i="1"/>
  <c r="Y100" i="1"/>
  <c r="Z100" i="1"/>
  <c r="AA100" i="1"/>
  <c r="V105" i="1"/>
  <c r="X105" i="1"/>
  <c r="Y105" i="1"/>
  <c r="Z105" i="1"/>
  <c r="AA105" i="1"/>
  <c r="V109" i="1"/>
  <c r="X109" i="1"/>
  <c r="Y109" i="1"/>
  <c r="Z109" i="1" s="1"/>
  <c r="AA109" i="1"/>
  <c r="V112" i="1"/>
  <c r="X112" i="1"/>
  <c r="Y112" i="1"/>
  <c r="Z112" i="1" s="1"/>
  <c r="AA112" i="1"/>
  <c r="V113" i="1"/>
  <c r="X113" i="1"/>
  <c r="Y113" i="1"/>
  <c r="Z113" i="1" s="1"/>
  <c r="AA113" i="1"/>
  <c r="V116" i="1"/>
  <c r="X116" i="1"/>
  <c r="Y116" i="1"/>
  <c r="Z116" i="1" s="1"/>
  <c r="AA116" i="1"/>
  <c r="V118" i="1"/>
  <c r="X118" i="1"/>
  <c r="Y118" i="1"/>
  <c r="Z118" i="1" s="1"/>
  <c r="AA118" i="1"/>
  <c r="V120" i="1"/>
  <c r="X120" i="1"/>
  <c r="Y120" i="1"/>
  <c r="Z120" i="1"/>
  <c r="AA120" i="1"/>
  <c r="V122" i="1"/>
  <c r="X122" i="1"/>
  <c r="Y122" i="1"/>
  <c r="Z122" i="1" s="1"/>
  <c r="AA122" i="1"/>
  <c r="V125" i="1"/>
  <c r="X125" i="1"/>
  <c r="Y125" i="1"/>
  <c r="Z125" i="1"/>
  <c r="AA125" i="1"/>
  <c r="V126" i="1"/>
  <c r="X126" i="1"/>
  <c r="Y126" i="1"/>
  <c r="Z126" i="1" s="1"/>
  <c r="AA126" i="1"/>
  <c r="V127" i="1"/>
  <c r="X127" i="1"/>
  <c r="Y127" i="1"/>
  <c r="Z127" i="1"/>
  <c r="AA127" i="1"/>
  <c r="V132" i="1"/>
  <c r="X132" i="1"/>
  <c r="Y132" i="1"/>
  <c r="Z132" i="1"/>
  <c r="AA132" i="1"/>
  <c r="V134" i="1"/>
  <c r="X134" i="1"/>
  <c r="Y134" i="1"/>
  <c r="Z134" i="1"/>
  <c r="AA134" i="1"/>
  <c r="V135" i="1"/>
  <c r="X135" i="1"/>
  <c r="Y135" i="1"/>
  <c r="Z135" i="1" s="1"/>
  <c r="AA135" i="1"/>
  <c r="V136" i="1"/>
  <c r="X136" i="1"/>
  <c r="Y136" i="1"/>
  <c r="Z136" i="1" s="1"/>
  <c r="AA136" i="1"/>
  <c r="V139" i="1"/>
  <c r="X139" i="1"/>
  <c r="Y139" i="1"/>
  <c r="Z139" i="1" s="1"/>
  <c r="AA139" i="1"/>
  <c r="V142" i="1"/>
  <c r="X142" i="1"/>
  <c r="Y142" i="1"/>
  <c r="Z142" i="1" s="1"/>
  <c r="AA142" i="1"/>
  <c r="V145" i="1"/>
  <c r="X145" i="1"/>
  <c r="Y145" i="1"/>
  <c r="Z145" i="1" s="1"/>
  <c r="AA145" i="1"/>
  <c r="V147" i="1"/>
  <c r="X147" i="1"/>
  <c r="Y147" i="1"/>
  <c r="Z147" i="1"/>
  <c r="AA147" i="1"/>
  <c r="V148" i="1"/>
  <c r="X148" i="1"/>
  <c r="Y148" i="1"/>
  <c r="Z148" i="1" s="1"/>
  <c r="AA148" i="1"/>
  <c r="V150" i="1"/>
  <c r="X150" i="1"/>
  <c r="Y150" i="1"/>
  <c r="Z150" i="1"/>
  <c r="AA150" i="1"/>
  <c r="V152" i="1"/>
  <c r="X152" i="1"/>
  <c r="Y152" i="1"/>
  <c r="Z152" i="1" s="1"/>
  <c r="AA152" i="1"/>
  <c r="V156" i="1"/>
  <c r="X156" i="1"/>
  <c r="Y156" i="1"/>
  <c r="Z156" i="1"/>
  <c r="AA156" i="1"/>
  <c r="V157" i="1"/>
  <c r="X157" i="1"/>
  <c r="Y157" i="1"/>
  <c r="Z157" i="1"/>
  <c r="AA157" i="1"/>
  <c r="V160" i="1"/>
  <c r="X160" i="1"/>
  <c r="Y160" i="1"/>
  <c r="Z160" i="1"/>
  <c r="AA160" i="1"/>
  <c r="V162" i="1"/>
  <c r="X162" i="1"/>
  <c r="Y162" i="1"/>
  <c r="Z162" i="1" s="1"/>
  <c r="AA162" i="1"/>
  <c r="V164" i="1"/>
  <c r="X164" i="1"/>
  <c r="Y164" i="1"/>
  <c r="Z164" i="1" s="1"/>
  <c r="AA164" i="1"/>
  <c r="V166" i="1"/>
  <c r="X166" i="1"/>
  <c r="Y166" i="1"/>
  <c r="Z166" i="1" s="1"/>
  <c r="AA166" i="1"/>
  <c r="V168" i="1"/>
  <c r="X168" i="1"/>
  <c r="Y168" i="1"/>
  <c r="Z168" i="1" s="1"/>
  <c r="AA168" i="1"/>
  <c r="V169" i="1"/>
  <c r="X169" i="1"/>
  <c r="Y169" i="1"/>
  <c r="Z169" i="1" s="1"/>
  <c r="AA169" i="1"/>
  <c r="V173" i="1"/>
  <c r="X173" i="1"/>
  <c r="Y173" i="1"/>
  <c r="Z173" i="1"/>
  <c r="AA173" i="1"/>
  <c r="V174" i="1"/>
  <c r="X174" i="1"/>
  <c r="Y174" i="1"/>
  <c r="Z174" i="1" s="1"/>
  <c r="AA174" i="1"/>
  <c r="V177" i="1"/>
  <c r="X177" i="1"/>
  <c r="Y177" i="1"/>
  <c r="Z177" i="1"/>
  <c r="AA177" i="1"/>
  <c r="V179" i="1"/>
  <c r="X179" i="1"/>
  <c r="Y179" i="1"/>
  <c r="Z179" i="1" s="1"/>
  <c r="AA179" i="1"/>
  <c r="V185" i="1"/>
  <c r="X185" i="1"/>
  <c r="Y185" i="1"/>
  <c r="Z185" i="1"/>
  <c r="AA185" i="1"/>
  <c r="V188" i="1"/>
  <c r="X188" i="1"/>
  <c r="Y188" i="1"/>
  <c r="Z188" i="1"/>
  <c r="AA188" i="1"/>
  <c r="V189" i="1"/>
  <c r="X189" i="1"/>
  <c r="Y189" i="1"/>
  <c r="Z189" i="1"/>
  <c r="AA189" i="1"/>
  <c r="V190" i="1"/>
  <c r="X190" i="1"/>
  <c r="Y190" i="1"/>
  <c r="Z190" i="1" s="1"/>
  <c r="AA190" i="1"/>
  <c r="V192" i="1"/>
  <c r="X192" i="1"/>
  <c r="Y192" i="1"/>
  <c r="Z192" i="1" s="1"/>
  <c r="AA192" i="1"/>
  <c r="V194" i="1"/>
  <c r="X194" i="1"/>
  <c r="Y194" i="1"/>
  <c r="Z194" i="1" s="1"/>
  <c r="AA194" i="1"/>
  <c r="V195" i="1"/>
  <c r="X195" i="1"/>
  <c r="Y195" i="1"/>
  <c r="Z195" i="1" s="1"/>
  <c r="AA195" i="1"/>
  <c r="V196" i="1"/>
  <c r="X196" i="1"/>
  <c r="Y196" i="1"/>
  <c r="Z196" i="1" s="1"/>
  <c r="AA196" i="1"/>
  <c r="V197" i="1"/>
  <c r="X197" i="1"/>
  <c r="Y197" i="1"/>
  <c r="Z197" i="1"/>
  <c r="AA197" i="1"/>
  <c r="V198" i="1"/>
  <c r="X198" i="1"/>
  <c r="Y198" i="1"/>
  <c r="Z198" i="1" s="1"/>
  <c r="AA198" i="1"/>
  <c r="V199" i="1"/>
  <c r="X199" i="1"/>
  <c r="Y199" i="1"/>
  <c r="Z199" i="1"/>
  <c r="AA199" i="1"/>
  <c r="V200" i="1"/>
  <c r="X200" i="1"/>
  <c r="Y200" i="1"/>
  <c r="Z200" i="1" s="1"/>
  <c r="AA200" i="1"/>
  <c r="V201" i="1"/>
  <c r="X201" i="1"/>
  <c r="Y201" i="1"/>
  <c r="Z201" i="1"/>
  <c r="AA201" i="1"/>
  <c r="V205" i="1"/>
  <c r="X205" i="1"/>
  <c r="Y205" i="1"/>
  <c r="Z205" i="1"/>
  <c r="AA205" i="1"/>
  <c r="V208" i="1"/>
  <c r="X208" i="1"/>
  <c r="Y208" i="1"/>
  <c r="Z208" i="1"/>
  <c r="AA208" i="1"/>
  <c r="V209" i="1"/>
  <c r="X209" i="1"/>
  <c r="Y209" i="1"/>
  <c r="Z209" i="1" s="1"/>
  <c r="AA209" i="1"/>
  <c r="V211" i="1"/>
  <c r="X211" i="1"/>
  <c r="Y211" i="1"/>
  <c r="Z211" i="1" s="1"/>
  <c r="AA211" i="1"/>
  <c r="V212" i="1"/>
  <c r="X212" i="1"/>
  <c r="Y212" i="1"/>
  <c r="Z212" i="1" s="1"/>
  <c r="AA212" i="1"/>
  <c r="V213" i="1"/>
  <c r="X213" i="1"/>
  <c r="Y213" i="1"/>
  <c r="Z213" i="1" s="1"/>
  <c r="AA213" i="1"/>
  <c r="V214" i="1"/>
  <c r="X214" i="1"/>
  <c r="Y214" i="1"/>
  <c r="Z214" i="1" s="1"/>
  <c r="AA214" i="1"/>
  <c r="V218" i="1"/>
  <c r="X218" i="1"/>
  <c r="Y218" i="1"/>
  <c r="Z218" i="1"/>
  <c r="AA218" i="1"/>
  <c r="V219" i="1"/>
  <c r="X219" i="1"/>
  <c r="Y219" i="1"/>
  <c r="Z219" i="1" s="1"/>
  <c r="AA219" i="1"/>
  <c r="V220" i="1"/>
  <c r="X220" i="1"/>
  <c r="Y220" i="1"/>
  <c r="Z220" i="1"/>
  <c r="AA220" i="1"/>
  <c r="V221" i="1"/>
  <c r="X221" i="1"/>
  <c r="Y221" i="1"/>
  <c r="Z221" i="1" s="1"/>
  <c r="AA221" i="1"/>
  <c r="V225" i="1"/>
  <c r="X225" i="1"/>
  <c r="Y225" i="1"/>
  <c r="Z225" i="1"/>
  <c r="AA225" i="1"/>
  <c r="V226" i="1"/>
  <c r="X226" i="1"/>
  <c r="Y226" i="1"/>
  <c r="Z226" i="1"/>
  <c r="AA226" i="1"/>
  <c r="V230" i="1"/>
  <c r="X230" i="1"/>
  <c r="Y230" i="1"/>
  <c r="Z230" i="1"/>
  <c r="AA230" i="1"/>
  <c r="U235" i="1"/>
  <c r="V235" i="1"/>
  <c r="X235" i="1"/>
  <c r="Y235" i="1"/>
  <c r="Z235" i="1"/>
  <c r="AA235" i="1"/>
  <c r="V237" i="1"/>
  <c r="X237" i="1"/>
  <c r="Y237" i="1"/>
  <c r="Z237" i="1" s="1"/>
  <c r="AA237" i="1"/>
  <c r="V240" i="1"/>
  <c r="X240" i="1"/>
  <c r="Y240" i="1"/>
  <c r="Z240" i="1"/>
  <c r="AA240" i="1"/>
  <c r="V243" i="1"/>
  <c r="X243" i="1"/>
  <c r="Y243" i="1"/>
  <c r="Z243" i="1"/>
  <c r="AA243" i="1"/>
  <c r="V244" i="1"/>
  <c r="X244" i="1"/>
  <c r="Y244" i="1"/>
  <c r="Z244" i="1"/>
  <c r="AA244" i="1"/>
  <c r="V250" i="1"/>
  <c r="X250" i="1"/>
  <c r="Y250" i="1"/>
  <c r="Z250" i="1" s="1"/>
  <c r="AA250" i="1"/>
  <c r="V252" i="1"/>
  <c r="X252" i="1"/>
  <c r="Y252" i="1"/>
  <c r="Z252" i="1" s="1"/>
  <c r="AA252" i="1"/>
  <c r="V253" i="1"/>
  <c r="X253" i="1"/>
  <c r="Y253" i="1"/>
  <c r="Z253" i="1" s="1"/>
  <c r="AA253" i="1"/>
  <c r="V254" i="1"/>
  <c r="X254" i="1"/>
  <c r="Y254" i="1"/>
  <c r="Z254" i="1" s="1"/>
  <c r="AA254" i="1"/>
  <c r="V256" i="1"/>
  <c r="X256" i="1"/>
  <c r="Y256" i="1"/>
  <c r="Z256" i="1" s="1"/>
  <c r="AA256" i="1"/>
  <c r="V257" i="1"/>
  <c r="X257" i="1"/>
  <c r="Y257" i="1"/>
  <c r="Z257" i="1"/>
  <c r="AA257" i="1"/>
  <c r="V258" i="1"/>
  <c r="X258" i="1"/>
  <c r="Y258" i="1"/>
  <c r="Z258" i="1" s="1"/>
  <c r="AA258" i="1"/>
  <c r="V261" i="1"/>
  <c r="X261" i="1"/>
  <c r="Y261" i="1"/>
  <c r="Z261" i="1"/>
  <c r="AA261" i="1"/>
  <c r="V262" i="1"/>
  <c r="X262" i="1"/>
  <c r="Y262" i="1"/>
  <c r="Z262" i="1" s="1"/>
  <c r="AA262" i="1"/>
  <c r="V263" i="1"/>
  <c r="X263" i="1"/>
  <c r="Y263" i="1"/>
  <c r="Z263" i="1"/>
  <c r="AA263" i="1"/>
  <c r="V264" i="1"/>
  <c r="X264" i="1"/>
  <c r="Y264" i="1"/>
  <c r="Z264" i="1"/>
  <c r="AA264" i="1"/>
  <c r="V265" i="1"/>
  <c r="X265" i="1"/>
  <c r="Y265" i="1"/>
  <c r="Z265" i="1"/>
  <c r="AA265" i="1"/>
  <c r="V266" i="1"/>
  <c r="X266" i="1"/>
  <c r="Y266" i="1"/>
  <c r="Z266" i="1" s="1"/>
  <c r="AA266" i="1"/>
  <c r="V269" i="1"/>
  <c r="X269" i="1"/>
  <c r="Y269" i="1"/>
  <c r="Z269" i="1" s="1"/>
  <c r="AA269" i="1"/>
  <c r="V270" i="1"/>
  <c r="X270" i="1"/>
  <c r="Y270" i="1"/>
  <c r="Z270" i="1" s="1"/>
  <c r="AA270" i="1"/>
  <c r="V271" i="1"/>
  <c r="X271" i="1"/>
  <c r="Y271" i="1"/>
  <c r="Z271" i="1" s="1"/>
  <c r="AA271" i="1"/>
  <c r="V273" i="1"/>
  <c r="X273" i="1"/>
  <c r="Y273" i="1"/>
  <c r="Z273" i="1" s="1"/>
  <c r="AA273" i="1"/>
  <c r="V276" i="1"/>
  <c r="X276" i="1"/>
  <c r="Y276" i="1"/>
  <c r="Z276" i="1"/>
  <c r="AA276" i="1"/>
  <c r="V277" i="1"/>
  <c r="X277" i="1"/>
  <c r="Y277" i="1"/>
  <c r="Z277" i="1" s="1"/>
  <c r="AA277" i="1"/>
  <c r="V279" i="1"/>
  <c r="X279" i="1"/>
  <c r="Y279" i="1"/>
  <c r="Z279" i="1"/>
  <c r="AA279" i="1"/>
  <c r="V281" i="1"/>
  <c r="X281" i="1"/>
  <c r="Y281" i="1"/>
  <c r="Z281" i="1" s="1"/>
  <c r="AA281" i="1"/>
  <c r="V282" i="1"/>
  <c r="X282" i="1"/>
  <c r="Y282" i="1"/>
  <c r="Z282" i="1"/>
  <c r="AA282" i="1"/>
  <c r="V283" i="1"/>
  <c r="X283" i="1"/>
  <c r="Y283" i="1"/>
  <c r="Z283" i="1"/>
  <c r="AA283" i="1"/>
  <c r="V284" i="1"/>
  <c r="X284" i="1"/>
  <c r="Y284" i="1"/>
  <c r="Z284" i="1"/>
  <c r="AA284" i="1"/>
  <c r="V285" i="1"/>
  <c r="X285" i="1"/>
  <c r="Y285" i="1"/>
  <c r="Z285" i="1" s="1"/>
  <c r="AA285" i="1"/>
  <c r="V286" i="1"/>
  <c r="X286" i="1"/>
  <c r="Y286" i="1"/>
  <c r="Z286" i="1" s="1"/>
  <c r="AA286" i="1"/>
  <c r="V287" i="1"/>
  <c r="X287" i="1"/>
  <c r="Y287" i="1"/>
  <c r="Z287" i="1" s="1"/>
  <c r="AA287" i="1"/>
  <c r="V291" i="1"/>
  <c r="X291" i="1"/>
  <c r="Y291" i="1"/>
  <c r="Z291" i="1" s="1"/>
  <c r="AA291" i="1"/>
  <c r="V293" i="1"/>
  <c r="X293" i="1"/>
  <c r="Y293" i="1"/>
  <c r="Z293" i="1" s="1"/>
  <c r="AA293" i="1"/>
  <c r="V294" i="1"/>
  <c r="X294" i="1"/>
  <c r="Y294" i="1"/>
  <c r="Z294" i="1"/>
  <c r="AA294" i="1"/>
  <c r="V295" i="1"/>
  <c r="X295" i="1"/>
  <c r="Y295" i="1"/>
  <c r="Z295" i="1" s="1"/>
  <c r="AA295" i="1"/>
  <c r="V296" i="1"/>
  <c r="X296" i="1"/>
  <c r="Y296" i="1"/>
  <c r="Z296" i="1"/>
  <c r="AA296" i="1"/>
  <c r="V297" i="1"/>
  <c r="X297" i="1"/>
  <c r="Y297" i="1"/>
  <c r="Z297" i="1" s="1"/>
  <c r="AA297" i="1"/>
  <c r="V299" i="1"/>
  <c r="X299" i="1"/>
  <c r="Y299" i="1"/>
  <c r="Z299" i="1"/>
  <c r="AA299" i="1"/>
  <c r="V300" i="1"/>
  <c r="X300" i="1"/>
  <c r="Y300" i="1"/>
  <c r="Z300" i="1"/>
  <c r="AA300" i="1"/>
  <c r="V301" i="1"/>
  <c r="X301" i="1"/>
  <c r="Y301" i="1"/>
  <c r="Z301" i="1"/>
  <c r="AA301" i="1"/>
  <c r="V302" i="1"/>
  <c r="X302" i="1"/>
  <c r="Y302" i="1"/>
  <c r="Z302" i="1" s="1"/>
  <c r="AA302" i="1"/>
  <c r="V304" i="1"/>
  <c r="X304" i="1"/>
  <c r="Y304" i="1"/>
  <c r="Z304" i="1" s="1"/>
  <c r="AA304" i="1"/>
  <c r="V306" i="1"/>
  <c r="X306" i="1"/>
  <c r="Y306" i="1"/>
  <c r="Z306" i="1" s="1"/>
  <c r="AA306" i="1"/>
  <c r="V309" i="1"/>
  <c r="X309" i="1"/>
  <c r="Y309" i="1"/>
  <c r="Z309" i="1" s="1"/>
  <c r="AA309" i="1"/>
  <c r="V312" i="1"/>
  <c r="X312" i="1"/>
  <c r="Y312" i="1"/>
  <c r="Z312" i="1" s="1"/>
  <c r="AA312" i="1"/>
  <c r="V313" i="1"/>
  <c r="X313" i="1"/>
  <c r="Y313" i="1"/>
  <c r="Z313" i="1"/>
  <c r="AA313" i="1"/>
  <c r="V314" i="1"/>
  <c r="X314" i="1"/>
  <c r="Y314" i="1"/>
  <c r="Z314" i="1" s="1"/>
  <c r="AA314" i="1"/>
  <c r="V316" i="1"/>
  <c r="X316" i="1"/>
  <c r="Y316" i="1"/>
  <c r="Z316" i="1"/>
  <c r="AA316" i="1"/>
  <c r="V318" i="1"/>
  <c r="X318" i="1"/>
  <c r="Y318" i="1"/>
  <c r="Z318" i="1" s="1"/>
  <c r="AA318" i="1"/>
  <c r="V321" i="1"/>
  <c r="X321" i="1"/>
  <c r="Y321" i="1"/>
  <c r="Z321" i="1"/>
  <c r="AA321" i="1"/>
  <c r="V322" i="1"/>
  <c r="X322" i="1"/>
  <c r="Y322" i="1"/>
  <c r="Z322" i="1"/>
  <c r="AA322" i="1"/>
  <c r="V323" i="1"/>
  <c r="X323" i="1"/>
  <c r="Y323" i="1"/>
  <c r="Z323" i="1"/>
  <c r="AA323" i="1"/>
  <c r="V325" i="1"/>
  <c r="X325" i="1"/>
  <c r="Y325" i="1"/>
  <c r="Z325" i="1" s="1"/>
  <c r="AA325" i="1"/>
  <c r="V327" i="1"/>
  <c r="X327" i="1"/>
  <c r="Y327" i="1"/>
  <c r="Z327" i="1" s="1"/>
  <c r="AA327" i="1"/>
  <c r="V328" i="1"/>
  <c r="X328" i="1"/>
  <c r="Y328" i="1"/>
  <c r="Z328" i="1" s="1"/>
  <c r="AA328" i="1"/>
  <c r="V329" i="1"/>
  <c r="X329" i="1"/>
  <c r="Y329" i="1"/>
  <c r="Z329" i="1" s="1"/>
  <c r="AA329" i="1"/>
  <c r="V330" i="1"/>
  <c r="X330" i="1"/>
  <c r="Y330" i="1"/>
  <c r="Z330" i="1" s="1"/>
  <c r="AA330" i="1"/>
  <c r="V331" i="1"/>
  <c r="X331" i="1"/>
  <c r="Y331" i="1"/>
  <c r="Z331" i="1"/>
  <c r="AA331" i="1"/>
  <c r="V332" i="1"/>
  <c r="X332" i="1"/>
  <c r="Y332" i="1"/>
  <c r="Z332" i="1" s="1"/>
  <c r="AA332" i="1"/>
  <c r="V333" i="1"/>
  <c r="X333" i="1"/>
  <c r="Y333" i="1"/>
  <c r="Z333" i="1"/>
  <c r="AA333" i="1"/>
  <c r="V334" i="1"/>
  <c r="X334" i="1"/>
  <c r="Y334" i="1"/>
  <c r="Z334" i="1" s="1"/>
  <c r="AA334" i="1"/>
  <c r="V336" i="1"/>
  <c r="X336" i="1"/>
  <c r="Y336" i="1"/>
  <c r="Z336" i="1"/>
  <c r="AA336" i="1"/>
  <c r="V337" i="1"/>
  <c r="X337" i="1"/>
  <c r="Y337" i="1"/>
  <c r="Z337" i="1"/>
  <c r="AA337" i="1"/>
  <c r="V338" i="1"/>
  <c r="X338" i="1"/>
  <c r="Y338" i="1"/>
  <c r="Z338" i="1"/>
  <c r="AA338" i="1"/>
  <c r="V341" i="1"/>
  <c r="X341" i="1"/>
  <c r="Y341" i="1"/>
  <c r="Z341" i="1" s="1"/>
  <c r="AA341" i="1"/>
  <c r="V342" i="1"/>
  <c r="X342" i="1"/>
  <c r="Y342" i="1"/>
  <c r="Z342" i="1" s="1"/>
  <c r="AA342" i="1"/>
  <c r="V345" i="1"/>
  <c r="X345" i="1"/>
  <c r="Y345" i="1"/>
  <c r="Z345" i="1" s="1"/>
  <c r="AA345" i="1"/>
  <c r="V346" i="1"/>
  <c r="X346" i="1"/>
  <c r="Y346" i="1"/>
  <c r="Z346" i="1" s="1"/>
  <c r="AA346" i="1"/>
  <c r="V347" i="1"/>
  <c r="X347" i="1"/>
  <c r="Y347" i="1"/>
  <c r="Z347" i="1" s="1"/>
  <c r="AA347" i="1"/>
  <c r="V348" i="1"/>
  <c r="X348" i="1"/>
  <c r="Y348" i="1"/>
  <c r="Z348" i="1"/>
  <c r="AA348" i="1"/>
  <c r="V349" i="1"/>
  <c r="X349" i="1"/>
  <c r="Y349" i="1"/>
  <c r="Z349" i="1" s="1"/>
  <c r="AA349" i="1"/>
  <c r="V350" i="1"/>
  <c r="X350" i="1"/>
  <c r="Y350" i="1"/>
  <c r="Z350" i="1"/>
  <c r="AA350" i="1"/>
  <c r="V351" i="1"/>
  <c r="X351" i="1"/>
  <c r="Y351" i="1"/>
  <c r="Z351" i="1" s="1"/>
  <c r="AA351" i="1"/>
  <c r="V353" i="1"/>
  <c r="X353" i="1"/>
  <c r="Y353" i="1"/>
  <c r="Z353" i="1"/>
  <c r="AA353" i="1"/>
  <c r="V356" i="1"/>
  <c r="X356" i="1"/>
  <c r="Y356" i="1"/>
  <c r="Z356" i="1"/>
  <c r="AA356" i="1"/>
  <c r="V357" i="1"/>
  <c r="X357" i="1"/>
  <c r="Y357" i="1"/>
  <c r="Z357" i="1"/>
  <c r="AA357" i="1"/>
  <c r="V358" i="1"/>
  <c r="X358" i="1"/>
  <c r="Y358" i="1"/>
  <c r="Z358" i="1" s="1"/>
  <c r="AA358" i="1"/>
  <c r="V360" i="1"/>
  <c r="X360" i="1"/>
  <c r="Y360" i="1"/>
  <c r="Z360" i="1" s="1"/>
  <c r="AA360" i="1"/>
  <c r="V361" i="1"/>
  <c r="X361" i="1"/>
  <c r="Y361" i="1"/>
  <c r="Z361" i="1" s="1"/>
  <c r="AA361" i="1"/>
  <c r="V362" i="1"/>
  <c r="X362" i="1"/>
  <c r="Y362" i="1"/>
  <c r="Z362" i="1" s="1"/>
  <c r="AA362" i="1"/>
  <c r="V363" i="1"/>
  <c r="X363" i="1"/>
  <c r="Y363" i="1"/>
  <c r="Z363" i="1" s="1"/>
  <c r="AA363" i="1"/>
  <c r="V366" i="1"/>
  <c r="X366" i="1"/>
  <c r="Y366" i="1"/>
  <c r="Z366" i="1"/>
  <c r="AA366" i="1"/>
  <c r="V367" i="1"/>
  <c r="X367" i="1"/>
  <c r="Y367" i="1"/>
  <c r="Z367" i="1" s="1"/>
  <c r="AA367" i="1"/>
  <c r="V369" i="1"/>
  <c r="X369" i="1"/>
  <c r="Y369" i="1"/>
  <c r="Z369" i="1"/>
  <c r="AA369" i="1"/>
  <c r="V370" i="1"/>
  <c r="X370" i="1"/>
  <c r="Y370" i="1"/>
  <c r="Z370" i="1" s="1"/>
  <c r="AA370" i="1"/>
  <c r="V371" i="1"/>
  <c r="X371" i="1"/>
  <c r="Y371" i="1"/>
  <c r="Z371" i="1"/>
  <c r="AA371" i="1"/>
  <c r="V372" i="1"/>
  <c r="X372" i="1"/>
  <c r="Y372" i="1"/>
  <c r="Z372" i="1"/>
  <c r="AA372" i="1"/>
  <c r="V373" i="1"/>
  <c r="X373" i="1"/>
  <c r="Y373" i="1"/>
  <c r="Z373" i="1"/>
  <c r="AA373" i="1"/>
  <c r="V374" i="1"/>
  <c r="X374" i="1"/>
  <c r="Y374" i="1"/>
  <c r="Z374" i="1" s="1"/>
  <c r="AA374" i="1"/>
  <c r="V375" i="1"/>
  <c r="X375" i="1"/>
  <c r="Y375" i="1"/>
  <c r="Z375" i="1" s="1"/>
  <c r="AA375" i="1"/>
  <c r="V376" i="1"/>
  <c r="X376" i="1"/>
  <c r="Y376" i="1"/>
  <c r="Z376" i="1" s="1"/>
  <c r="AA376" i="1"/>
  <c r="V377" i="1"/>
  <c r="X377" i="1"/>
  <c r="Y377" i="1"/>
  <c r="Z377" i="1" s="1"/>
  <c r="AA377" i="1"/>
  <c r="V378" i="1"/>
  <c r="X378" i="1"/>
  <c r="Y378" i="1"/>
  <c r="Z378" i="1" s="1"/>
  <c r="AA378" i="1"/>
  <c r="V379" i="1"/>
  <c r="X379" i="1"/>
  <c r="Y379" i="1"/>
  <c r="Z379" i="1"/>
  <c r="AA379" i="1"/>
  <c r="V380" i="1"/>
  <c r="X380" i="1"/>
  <c r="Y380" i="1"/>
  <c r="Z380" i="1" s="1"/>
  <c r="AA380" i="1"/>
  <c r="V381" i="1"/>
  <c r="X381" i="1"/>
  <c r="Y381" i="1"/>
  <c r="Z381" i="1"/>
  <c r="AA381" i="1"/>
  <c r="V382" i="1"/>
  <c r="X382" i="1"/>
  <c r="Y382" i="1"/>
  <c r="Z382" i="1" s="1"/>
  <c r="AA382" i="1"/>
  <c r="V383" i="1"/>
  <c r="X383" i="1"/>
  <c r="Y383" i="1"/>
  <c r="Z383" i="1"/>
  <c r="AA383" i="1"/>
  <c r="V384" i="1"/>
  <c r="X384" i="1"/>
  <c r="Y384" i="1"/>
  <c r="Z384" i="1"/>
  <c r="AA384" i="1"/>
  <c r="V385" i="1"/>
  <c r="X385" i="1"/>
  <c r="Y385" i="1"/>
  <c r="Z385" i="1"/>
  <c r="AA385" i="1"/>
  <c r="V386" i="1"/>
  <c r="X386" i="1"/>
  <c r="Y386" i="1"/>
  <c r="Z386" i="1" s="1"/>
  <c r="AA386" i="1"/>
  <c r="V389" i="1"/>
  <c r="X389" i="1"/>
  <c r="Y389" i="1"/>
  <c r="Z389" i="1" s="1"/>
  <c r="AA389" i="1"/>
  <c r="V390" i="1"/>
  <c r="X390" i="1"/>
  <c r="Y390" i="1"/>
  <c r="Z390" i="1" s="1"/>
  <c r="AA390" i="1"/>
  <c r="V391" i="1"/>
  <c r="X391" i="1"/>
  <c r="Y391" i="1"/>
  <c r="Z391" i="1" s="1"/>
  <c r="AA391" i="1"/>
  <c r="V393" i="1"/>
  <c r="X393" i="1"/>
  <c r="Y393" i="1"/>
  <c r="Z393" i="1" s="1"/>
  <c r="AA393" i="1"/>
  <c r="V394" i="1"/>
  <c r="X394" i="1"/>
  <c r="Y394" i="1"/>
  <c r="Z394" i="1"/>
  <c r="AA394" i="1"/>
  <c r="V397" i="1"/>
  <c r="X397" i="1"/>
  <c r="Y397" i="1"/>
  <c r="Z397" i="1" s="1"/>
  <c r="AA397" i="1"/>
  <c r="V398" i="1"/>
  <c r="X398" i="1"/>
  <c r="Y398" i="1"/>
  <c r="Z398" i="1"/>
  <c r="AA398" i="1"/>
  <c r="V399" i="1"/>
  <c r="X399" i="1"/>
  <c r="Y399" i="1"/>
  <c r="Z399" i="1" s="1"/>
  <c r="AA399" i="1"/>
  <c r="V402" i="1"/>
  <c r="X402" i="1"/>
  <c r="Y402" i="1"/>
  <c r="Z402" i="1"/>
  <c r="AA402" i="1"/>
  <c r="V403" i="1"/>
  <c r="X403" i="1"/>
  <c r="Y403" i="1"/>
  <c r="Z403" i="1"/>
  <c r="AA403" i="1"/>
  <c r="V404" i="1"/>
  <c r="X404" i="1"/>
  <c r="Y404" i="1"/>
  <c r="Z404" i="1"/>
  <c r="AA404" i="1"/>
  <c r="V405" i="1"/>
  <c r="X405" i="1"/>
  <c r="Y405" i="1"/>
  <c r="Z405" i="1" s="1"/>
  <c r="AA405" i="1"/>
  <c r="V406" i="1"/>
  <c r="X406" i="1"/>
  <c r="Y406" i="1"/>
  <c r="Z406" i="1" s="1"/>
  <c r="AA406" i="1"/>
  <c r="U407" i="1"/>
  <c r="V407" i="1"/>
  <c r="X407" i="1"/>
  <c r="Y407" i="1"/>
  <c r="Z407" i="1"/>
  <c r="AA407" i="1"/>
  <c r="V408" i="1"/>
  <c r="X408" i="1"/>
  <c r="Y408" i="1"/>
  <c r="Z408" i="1"/>
  <c r="AA408" i="1"/>
  <c r="V409" i="1"/>
  <c r="X409" i="1"/>
  <c r="Y409" i="1"/>
  <c r="Z409" i="1"/>
  <c r="AA409" i="1"/>
  <c r="V413" i="1"/>
  <c r="X413" i="1"/>
  <c r="Y413" i="1"/>
  <c r="Z413" i="1" s="1"/>
  <c r="AA413" i="1"/>
  <c r="V414" i="1"/>
  <c r="X414" i="1"/>
  <c r="Y414" i="1"/>
  <c r="Z414" i="1" s="1"/>
  <c r="AA414" i="1"/>
  <c r="V415" i="1"/>
  <c r="X415" i="1"/>
  <c r="Y415" i="1"/>
  <c r="Z415" i="1" s="1"/>
  <c r="AA415" i="1"/>
  <c r="V416" i="1"/>
  <c r="X416" i="1"/>
  <c r="Y416" i="1"/>
  <c r="Z416" i="1"/>
  <c r="AA416" i="1"/>
  <c r="V417" i="1"/>
  <c r="X417" i="1"/>
  <c r="Y417" i="1"/>
  <c r="Z417" i="1" s="1"/>
  <c r="AA417" i="1"/>
  <c r="V418" i="1"/>
  <c r="X418" i="1"/>
  <c r="Y418" i="1"/>
  <c r="Z418" i="1"/>
  <c r="AA418" i="1"/>
  <c r="V420" i="1"/>
  <c r="X420" i="1"/>
  <c r="Y420" i="1"/>
  <c r="Z420" i="1" s="1"/>
  <c r="AA420" i="1"/>
  <c r="V421" i="1"/>
  <c r="X421" i="1"/>
  <c r="Y421" i="1"/>
  <c r="Z421" i="1"/>
  <c r="AA421" i="1"/>
  <c r="U423" i="1"/>
  <c r="V423" i="1"/>
  <c r="X423" i="1"/>
  <c r="Y423" i="1"/>
  <c r="Z423" i="1"/>
  <c r="AA423" i="1"/>
  <c r="V425" i="1"/>
  <c r="X425" i="1"/>
  <c r="Y425" i="1"/>
  <c r="Z425" i="1" s="1"/>
  <c r="AA425" i="1"/>
  <c r="V430" i="1"/>
  <c r="X430" i="1"/>
  <c r="Y430" i="1"/>
  <c r="Z430" i="1"/>
  <c r="AA430" i="1"/>
  <c r="V431" i="1"/>
  <c r="X431" i="1"/>
  <c r="Y431" i="1"/>
  <c r="Z431" i="1" s="1"/>
  <c r="AA431" i="1"/>
  <c r="V432" i="1"/>
  <c r="X432" i="1"/>
  <c r="Y432" i="1"/>
  <c r="Z432" i="1"/>
  <c r="AA432" i="1"/>
  <c r="V433" i="1"/>
  <c r="X433" i="1"/>
  <c r="Y433" i="1"/>
  <c r="Z433" i="1" s="1"/>
  <c r="AA433" i="1"/>
  <c r="V436" i="1"/>
  <c r="X436" i="1"/>
  <c r="Y436" i="1"/>
  <c r="Z436" i="1"/>
  <c r="AA436" i="1"/>
  <c r="V437" i="1"/>
  <c r="X437" i="1"/>
  <c r="Y437" i="1"/>
  <c r="Z437" i="1"/>
  <c r="AA437" i="1"/>
  <c r="V438" i="1"/>
  <c r="X438" i="1"/>
  <c r="Y438" i="1"/>
  <c r="Z438" i="1"/>
  <c r="AA438" i="1"/>
  <c r="V439" i="1"/>
  <c r="X439" i="1"/>
  <c r="Y439" i="1"/>
  <c r="Z439" i="1" s="1"/>
  <c r="AA439" i="1"/>
  <c r="V442" i="1"/>
  <c r="X442" i="1"/>
  <c r="Y442" i="1"/>
  <c r="Z442" i="1" s="1"/>
  <c r="AA442" i="1"/>
  <c r="V443" i="1"/>
  <c r="X443" i="1"/>
  <c r="Y443" i="1"/>
  <c r="Z443" i="1" s="1"/>
  <c r="AA443" i="1"/>
  <c r="V445" i="1"/>
  <c r="X445" i="1"/>
  <c r="Y445" i="1"/>
  <c r="Z445" i="1"/>
  <c r="AA445" i="1"/>
  <c r="V446" i="1"/>
  <c r="X446" i="1"/>
  <c r="Y446" i="1"/>
  <c r="Z446" i="1" s="1"/>
  <c r="AA446" i="1"/>
  <c r="V447" i="1"/>
  <c r="X447" i="1"/>
  <c r="Y447" i="1"/>
  <c r="Z447" i="1"/>
  <c r="AA447" i="1"/>
  <c r="V448" i="1"/>
  <c r="X448" i="1"/>
  <c r="Y448" i="1"/>
  <c r="Z448" i="1" s="1"/>
  <c r="AA448" i="1"/>
  <c r="V449" i="1"/>
  <c r="X449" i="1"/>
  <c r="Y449" i="1"/>
  <c r="Z449" i="1"/>
  <c r="AA449" i="1"/>
  <c r="V450" i="1"/>
  <c r="X450" i="1"/>
  <c r="Y450" i="1"/>
  <c r="Z450" i="1" s="1"/>
  <c r="AA450" i="1"/>
  <c r="V454" i="1"/>
  <c r="X454" i="1"/>
  <c r="Y454" i="1"/>
  <c r="Z454" i="1"/>
  <c r="AA454" i="1"/>
  <c r="V455" i="1"/>
  <c r="X455" i="1"/>
  <c r="Y455" i="1"/>
  <c r="Z455" i="1"/>
  <c r="AA455" i="1"/>
  <c r="V456" i="1"/>
  <c r="X456" i="1"/>
  <c r="Y456" i="1"/>
  <c r="Z456" i="1"/>
  <c r="AA456" i="1"/>
  <c r="V457" i="1"/>
  <c r="X457" i="1"/>
  <c r="Y457" i="1"/>
  <c r="Z457" i="1" s="1"/>
  <c r="AA457" i="1"/>
  <c r="V458" i="1"/>
  <c r="X458" i="1"/>
  <c r="Y458" i="1"/>
  <c r="Z458" i="1" s="1"/>
  <c r="AA458" i="1"/>
  <c r="V459" i="1"/>
  <c r="X459" i="1"/>
  <c r="Y459" i="1"/>
  <c r="Z459" i="1" s="1"/>
  <c r="AA459" i="1"/>
  <c r="V460" i="1"/>
  <c r="X460" i="1"/>
  <c r="Y460" i="1"/>
  <c r="Z460" i="1"/>
  <c r="AA460" i="1"/>
  <c r="V467" i="1"/>
  <c r="X467" i="1"/>
  <c r="Y467" i="1"/>
  <c r="Z467" i="1" s="1"/>
  <c r="AA467" i="1"/>
  <c r="V470" i="1"/>
  <c r="X470" i="1"/>
  <c r="Y470" i="1"/>
  <c r="Z470" i="1"/>
  <c r="AA470" i="1"/>
  <c r="V474" i="1"/>
  <c r="X474" i="1"/>
  <c r="Y474" i="1"/>
  <c r="Z474" i="1" s="1"/>
  <c r="AA474" i="1"/>
  <c r="V475" i="1"/>
  <c r="X475" i="1"/>
  <c r="Y475" i="1"/>
  <c r="Z475" i="1"/>
  <c r="AA475" i="1"/>
  <c r="V476" i="1"/>
  <c r="X476" i="1"/>
  <c r="Y476" i="1"/>
  <c r="Z476" i="1" s="1"/>
  <c r="AA476" i="1"/>
  <c r="V477" i="1"/>
  <c r="X477" i="1"/>
  <c r="Y477" i="1"/>
  <c r="Z477" i="1"/>
  <c r="AA477" i="1"/>
  <c r="V480" i="1"/>
  <c r="X480" i="1"/>
  <c r="Y480" i="1"/>
  <c r="Z480" i="1"/>
  <c r="AA480" i="1"/>
  <c r="V481" i="1"/>
  <c r="X481" i="1"/>
  <c r="Y481" i="1"/>
  <c r="Z481" i="1"/>
  <c r="AA481" i="1"/>
  <c r="V482" i="1"/>
  <c r="X482" i="1"/>
  <c r="Y482" i="1"/>
  <c r="Z482" i="1" s="1"/>
  <c r="AA482" i="1"/>
  <c r="V483" i="1"/>
  <c r="X483" i="1"/>
  <c r="Y483" i="1"/>
  <c r="Z483" i="1" s="1"/>
  <c r="AA483" i="1"/>
  <c r="V484" i="1"/>
  <c r="X484" i="1"/>
  <c r="Y484" i="1"/>
  <c r="Z484" i="1" s="1"/>
  <c r="AA484" i="1"/>
  <c r="V485" i="1"/>
  <c r="X485" i="1"/>
  <c r="Y485" i="1"/>
  <c r="Z485" i="1"/>
  <c r="AA485" i="1"/>
  <c r="V486" i="1"/>
  <c r="X486" i="1"/>
  <c r="Y486" i="1"/>
  <c r="Z486" i="1" s="1"/>
  <c r="AA486" i="1"/>
  <c r="V487" i="1"/>
  <c r="X487" i="1"/>
  <c r="Y487" i="1"/>
  <c r="Z487" i="1"/>
  <c r="AA487" i="1"/>
  <c r="V488" i="1"/>
  <c r="X488" i="1"/>
  <c r="Y488" i="1"/>
  <c r="Z488" i="1" s="1"/>
  <c r="AA488" i="1"/>
  <c r="V489" i="1"/>
  <c r="X489" i="1"/>
  <c r="Y489" i="1"/>
  <c r="Z489" i="1"/>
  <c r="AA489" i="1"/>
  <c r="V490" i="1"/>
  <c r="X490" i="1"/>
  <c r="Y490" i="1"/>
  <c r="Z490" i="1" s="1"/>
  <c r="AA490" i="1"/>
  <c r="V491" i="1"/>
  <c r="X491" i="1"/>
  <c r="Y491" i="1"/>
  <c r="Z491" i="1"/>
  <c r="AA491" i="1"/>
  <c r="V492" i="1"/>
  <c r="X492" i="1"/>
  <c r="Y492" i="1"/>
  <c r="Z492" i="1"/>
  <c r="AA492" i="1"/>
  <c r="V494" i="1"/>
  <c r="X494" i="1"/>
  <c r="Y494" i="1"/>
  <c r="Z494" i="1"/>
  <c r="AA494" i="1"/>
  <c r="V496" i="1"/>
  <c r="X496" i="1"/>
  <c r="Y496" i="1"/>
  <c r="Z496" i="1" s="1"/>
  <c r="AA496" i="1"/>
  <c r="V497" i="1"/>
  <c r="X497" i="1"/>
  <c r="Y497" i="1"/>
  <c r="Z497" i="1" s="1"/>
  <c r="AA497" i="1"/>
  <c r="V498" i="1"/>
  <c r="X498" i="1"/>
  <c r="Y498" i="1"/>
  <c r="Z498" i="1" s="1"/>
  <c r="AA498" i="1"/>
  <c r="V500" i="1"/>
  <c r="X500" i="1"/>
  <c r="Y500" i="1"/>
  <c r="Z500" i="1"/>
  <c r="AA500" i="1"/>
  <c r="B11" i="4"/>
  <c r="B10" i="4"/>
  <c r="B9" i="4"/>
  <c r="F3" i="4"/>
  <c r="F4" i="4"/>
  <c r="F5" i="4"/>
  <c r="F6" i="4"/>
  <c r="F2" i="4"/>
  <c r="E3" i="4"/>
  <c r="E4" i="4"/>
  <c r="E5" i="4"/>
  <c r="E6" i="4"/>
  <c r="D3" i="4"/>
  <c r="D4" i="4"/>
  <c r="D5" i="4"/>
  <c r="D6" i="4"/>
  <c r="C3" i="4"/>
  <c r="C4" i="4"/>
  <c r="C5" i="4"/>
  <c r="C6" i="4"/>
  <c r="E2" i="4"/>
  <c r="D2" i="4"/>
  <c r="C2" i="4"/>
  <c r="B3" i="4"/>
  <c r="B4" i="4"/>
  <c r="B5" i="4"/>
  <c r="B6" i="4"/>
  <c r="B2" i="4"/>
  <c r="P40" i="5" l="1"/>
  <c r="P43" i="5"/>
  <c r="P426" i="5"/>
  <c r="P438" i="5"/>
  <c r="P4" i="5"/>
  <c r="P119" i="5"/>
  <c r="P128" i="5"/>
  <c r="P204" i="5"/>
  <c r="P359" i="5"/>
  <c r="P444" i="5"/>
  <c r="P155" i="5"/>
  <c r="P161" i="5"/>
  <c r="P186" i="5"/>
  <c r="P225" i="5"/>
  <c r="P350" i="5"/>
  <c r="P27" i="5"/>
  <c r="P30" i="5"/>
  <c r="P67" i="5"/>
  <c r="P73" i="5"/>
  <c r="P82" i="5"/>
  <c r="P213" i="5"/>
  <c r="P252" i="5"/>
  <c r="P286" i="5"/>
  <c r="P39" i="5"/>
  <c r="P181" i="5"/>
  <c r="P365" i="5"/>
  <c r="P118" i="5"/>
  <c r="P261" i="5"/>
  <c r="P292" i="5"/>
  <c r="P337" i="5"/>
  <c r="P14" i="5"/>
  <c r="P160" i="5"/>
  <c r="P169" i="5"/>
  <c r="P172" i="5"/>
  <c r="P256" i="5"/>
  <c r="P277" i="5"/>
  <c r="P325" i="5"/>
  <c r="P326" i="5"/>
  <c r="P323" i="5"/>
  <c r="P232" i="5"/>
  <c r="P208" i="5"/>
  <c r="P199" i="5"/>
  <c r="P193" i="5"/>
  <c r="P184" i="5"/>
  <c r="P460" i="5"/>
  <c r="P454" i="5"/>
  <c r="P381" i="5"/>
  <c r="P369" i="5"/>
  <c r="P366" i="5"/>
  <c r="P451" i="5"/>
  <c r="P442" i="5"/>
  <c r="P363" i="5"/>
  <c r="P351" i="5"/>
  <c r="P345" i="5"/>
  <c r="P293" i="5"/>
  <c r="P260" i="5"/>
  <c r="P251" i="5"/>
  <c r="P485" i="5"/>
  <c r="P227" i="5"/>
  <c r="P221" i="5"/>
  <c r="P200" i="5"/>
  <c r="P197" i="5"/>
  <c r="P188" i="5"/>
  <c r="P182" i="5"/>
  <c r="P467" i="5"/>
  <c r="P464" i="5"/>
  <c r="P397" i="5"/>
  <c r="P382" i="5"/>
  <c r="P379" i="5"/>
  <c r="P452" i="5"/>
  <c r="P437" i="5"/>
  <c r="P349" i="5"/>
  <c r="P501" i="5"/>
  <c r="P498" i="5"/>
  <c r="P422" i="5"/>
  <c r="P495" i="5"/>
  <c r="P492" i="5"/>
  <c r="P486" i="5"/>
  <c r="P462" i="5"/>
  <c r="P26" i="5"/>
  <c r="P29" i="5"/>
  <c r="P75" i="5"/>
  <c r="P81" i="5"/>
  <c r="P84" i="5"/>
  <c r="P99" i="5"/>
  <c r="P241" i="5"/>
  <c r="P319" i="5"/>
  <c r="P35" i="5"/>
  <c r="P246" i="5"/>
  <c r="P265" i="5"/>
  <c r="P56" i="5"/>
  <c r="P111" i="5"/>
  <c r="P114" i="5"/>
  <c r="P126" i="5"/>
  <c r="P132" i="5"/>
  <c r="P65" i="5"/>
  <c r="P159" i="5"/>
  <c r="P162" i="5"/>
  <c r="P165" i="5"/>
  <c r="P207" i="5"/>
  <c r="P243" i="5"/>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6" i="1"/>
  <c r="AA37" i="1"/>
  <c r="AA38" i="1"/>
  <c r="AA39" i="1"/>
  <c r="AA40" i="1"/>
  <c r="AA41" i="1"/>
  <c r="AA42" i="1"/>
  <c r="AA45" i="1"/>
  <c r="AA46" i="1"/>
  <c r="AA47" i="1"/>
  <c r="AA49" i="1"/>
  <c r="AA50" i="1"/>
  <c r="AA51" i="1"/>
  <c r="AA52" i="1"/>
  <c r="AA53" i="1"/>
  <c r="AA54" i="1"/>
  <c r="AA55" i="1"/>
  <c r="AA56" i="1"/>
  <c r="AA57" i="1"/>
  <c r="AA58" i="1"/>
  <c r="AA59" i="1"/>
  <c r="AA61" i="1"/>
  <c r="AA63" i="1"/>
  <c r="AA64" i="1"/>
  <c r="AA65" i="1"/>
  <c r="AA66" i="1"/>
  <c r="AA67" i="1"/>
  <c r="AA68" i="1"/>
  <c r="AA69" i="1"/>
  <c r="AA70" i="1"/>
  <c r="AA71" i="1"/>
  <c r="AA72" i="1"/>
  <c r="AA74" i="1"/>
  <c r="AA75" i="1"/>
  <c r="AA77" i="1"/>
  <c r="AA78" i="1"/>
  <c r="AA80" i="1"/>
  <c r="AA81" i="1"/>
  <c r="AA82" i="1"/>
  <c r="AA83" i="1"/>
  <c r="AA84" i="1"/>
  <c r="AA85" i="1"/>
  <c r="AA86" i="1"/>
  <c r="AA87" i="1"/>
  <c r="AA88" i="1"/>
  <c r="AA89" i="1"/>
  <c r="AA90" i="1"/>
  <c r="AA91" i="1"/>
  <c r="AA92" i="1"/>
  <c r="AA93" i="1"/>
  <c r="AA94" i="1"/>
  <c r="AA96" i="1"/>
  <c r="AA98" i="1"/>
  <c r="AA99" i="1"/>
  <c r="AA101" i="1"/>
  <c r="AA102" i="1"/>
  <c r="AA103" i="1"/>
  <c r="AA104" i="1"/>
  <c r="AA106" i="1"/>
  <c r="AA107" i="1"/>
  <c r="AA108" i="1"/>
  <c r="AA110" i="1"/>
  <c r="AA111" i="1"/>
  <c r="AA114" i="1"/>
  <c r="AA115" i="1"/>
  <c r="AA117" i="1"/>
  <c r="AA119" i="1"/>
  <c r="AA121" i="1"/>
  <c r="AA123" i="1"/>
  <c r="AA124" i="1"/>
  <c r="AA128" i="1"/>
  <c r="AA129" i="1"/>
  <c r="AA130" i="1"/>
  <c r="AA131" i="1"/>
  <c r="AA133" i="1"/>
  <c r="AA137" i="1"/>
  <c r="AA138" i="1"/>
  <c r="AA140" i="1"/>
  <c r="AA141" i="1"/>
  <c r="AA143" i="1"/>
  <c r="AA144" i="1"/>
  <c r="AA146" i="1"/>
  <c r="AA149" i="1"/>
  <c r="AA151" i="1"/>
  <c r="AA153" i="1"/>
  <c r="AA154" i="1"/>
  <c r="AA155" i="1"/>
  <c r="AA158" i="1"/>
  <c r="AA159" i="1"/>
  <c r="AA161" i="1"/>
  <c r="AA163" i="1"/>
  <c r="AA165" i="1"/>
  <c r="AA167" i="1"/>
  <c r="AA170" i="1"/>
  <c r="AA171" i="1"/>
  <c r="AA172" i="1"/>
  <c r="AA175" i="1"/>
  <c r="AA176" i="1"/>
  <c r="AA178" i="1"/>
  <c r="AA180" i="1"/>
  <c r="AA181" i="1"/>
  <c r="AA182" i="1"/>
  <c r="AA183" i="1"/>
  <c r="AA184" i="1"/>
  <c r="AA186" i="1"/>
  <c r="AA187" i="1"/>
  <c r="AA191" i="1"/>
  <c r="AA193" i="1"/>
  <c r="AA202" i="1"/>
  <c r="AA203" i="1"/>
  <c r="AA204" i="1"/>
  <c r="AA206" i="1"/>
  <c r="AA207" i="1"/>
  <c r="AA210" i="1"/>
  <c r="AA215" i="1"/>
  <c r="AA216" i="1"/>
  <c r="AA217" i="1"/>
  <c r="AA222" i="1"/>
  <c r="AA223" i="1"/>
  <c r="AA224" i="1"/>
  <c r="AA227" i="1"/>
  <c r="AA228" i="1"/>
  <c r="AA229" i="1"/>
  <c r="AA231" i="1"/>
  <c r="AA232" i="1"/>
  <c r="AA233" i="1"/>
  <c r="AA234" i="1"/>
  <c r="AA236" i="1"/>
  <c r="AA238" i="1"/>
  <c r="AA239" i="1"/>
  <c r="AA241" i="1"/>
  <c r="AA242" i="1"/>
  <c r="AA245" i="1"/>
  <c r="AA246" i="1"/>
  <c r="AA247" i="1"/>
  <c r="AA248" i="1"/>
  <c r="AA249" i="1"/>
  <c r="AA251" i="1"/>
  <c r="AA255" i="1"/>
  <c r="AA259" i="1"/>
  <c r="AA260" i="1"/>
  <c r="AA267" i="1"/>
  <c r="AA268" i="1"/>
  <c r="AA272" i="1"/>
  <c r="AA274" i="1"/>
  <c r="AA275" i="1"/>
  <c r="AA278" i="1"/>
  <c r="AA280" i="1"/>
  <c r="AA288" i="1"/>
  <c r="AA289" i="1"/>
  <c r="AA290" i="1"/>
  <c r="AA292" i="1"/>
  <c r="AA298" i="1"/>
  <c r="AA303" i="1"/>
  <c r="AA305" i="1"/>
  <c r="AA307" i="1"/>
  <c r="AA308" i="1"/>
  <c r="AA310" i="1"/>
  <c r="AA311" i="1"/>
  <c r="AA315" i="1"/>
  <c r="AA317" i="1"/>
  <c r="AA319" i="1"/>
  <c r="AA320" i="1"/>
  <c r="AA324" i="1"/>
  <c r="AA326" i="1"/>
  <c r="AA335" i="1"/>
  <c r="AA339" i="1"/>
  <c r="AA340" i="1"/>
  <c r="AA343" i="1"/>
  <c r="AA344" i="1"/>
  <c r="AA352" i="1"/>
  <c r="AA354" i="1"/>
  <c r="AA355" i="1"/>
  <c r="AA359" i="1"/>
  <c r="AA364" i="1"/>
  <c r="AA365" i="1"/>
  <c r="AA368" i="1"/>
  <c r="AA387" i="1"/>
  <c r="AA388" i="1"/>
  <c r="AA392" i="1"/>
  <c r="AA395" i="1"/>
  <c r="AA396" i="1"/>
  <c r="AA400" i="1"/>
  <c r="AA401" i="1"/>
  <c r="AA410" i="1"/>
  <c r="AA411" i="1"/>
  <c r="AA412" i="1"/>
  <c r="AA419" i="1"/>
  <c r="AA422" i="1"/>
  <c r="AA424" i="1"/>
  <c r="AA426" i="1"/>
  <c r="AA427" i="1"/>
  <c r="AA428" i="1"/>
  <c r="AA429" i="1"/>
  <c r="AA434" i="1"/>
  <c r="AA435" i="1"/>
  <c r="AA440" i="1"/>
  <c r="AA441" i="1"/>
  <c r="AA444" i="1"/>
  <c r="AA451" i="1"/>
  <c r="AA452" i="1"/>
  <c r="AA453" i="1"/>
  <c r="AA461" i="1"/>
  <c r="AA462" i="1"/>
  <c r="AA463" i="1"/>
  <c r="AA464" i="1"/>
  <c r="AA465" i="1"/>
  <c r="AA466" i="1"/>
  <c r="AA468" i="1"/>
  <c r="AA469" i="1"/>
  <c r="AA471" i="1"/>
  <c r="AA472" i="1"/>
  <c r="AA473" i="1"/>
  <c r="AA478" i="1"/>
  <c r="AA479" i="1"/>
  <c r="AA493" i="1"/>
  <c r="AA495" i="1"/>
  <c r="AA499" i="1"/>
  <c r="AA501" i="1"/>
  <c r="AA2" i="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6" i="1"/>
  <c r="Z36" i="1" s="1"/>
  <c r="Y37" i="1"/>
  <c r="Z37" i="1" s="1"/>
  <c r="Y38" i="1"/>
  <c r="Z38" i="1" s="1"/>
  <c r="Y39" i="1"/>
  <c r="Z39" i="1" s="1"/>
  <c r="Y40" i="1"/>
  <c r="Z40" i="1" s="1"/>
  <c r="Y41" i="1"/>
  <c r="Z41" i="1" s="1"/>
  <c r="Y42" i="1"/>
  <c r="Z42" i="1" s="1"/>
  <c r="Y45" i="1"/>
  <c r="Z45" i="1" s="1"/>
  <c r="Y46" i="1"/>
  <c r="Z46" i="1" s="1"/>
  <c r="Y47" i="1"/>
  <c r="Z47" i="1" s="1"/>
  <c r="Y49" i="1"/>
  <c r="Z49" i="1" s="1"/>
  <c r="Y50" i="1"/>
  <c r="Z50" i="1" s="1"/>
  <c r="Y51" i="1"/>
  <c r="Z51" i="1" s="1"/>
  <c r="Y52" i="1"/>
  <c r="Z52" i="1" s="1"/>
  <c r="Y53" i="1"/>
  <c r="Z53" i="1" s="1"/>
  <c r="Y54" i="1"/>
  <c r="Z54" i="1" s="1"/>
  <c r="Y55" i="1"/>
  <c r="Z55" i="1" s="1"/>
  <c r="Y56" i="1"/>
  <c r="Z56" i="1" s="1"/>
  <c r="Y57" i="1"/>
  <c r="Z57" i="1" s="1"/>
  <c r="Y58" i="1"/>
  <c r="Z58" i="1" s="1"/>
  <c r="Y59" i="1"/>
  <c r="Z59" i="1" s="1"/>
  <c r="Y61" i="1"/>
  <c r="Z61" i="1" s="1"/>
  <c r="Y63" i="1"/>
  <c r="Z63" i="1" s="1"/>
  <c r="Y64" i="1"/>
  <c r="Z64" i="1" s="1"/>
  <c r="Y65" i="1"/>
  <c r="Z65" i="1" s="1"/>
  <c r="Y66" i="1"/>
  <c r="Z66" i="1" s="1"/>
  <c r="Y67" i="1"/>
  <c r="Z67" i="1" s="1"/>
  <c r="Y68" i="1"/>
  <c r="Z68" i="1" s="1"/>
  <c r="Y69" i="1"/>
  <c r="Z69" i="1" s="1"/>
  <c r="Y70" i="1"/>
  <c r="Z70" i="1" s="1"/>
  <c r="Y71" i="1"/>
  <c r="Z71" i="1" s="1"/>
  <c r="Y72" i="1"/>
  <c r="Z72" i="1" s="1"/>
  <c r="Y74" i="1"/>
  <c r="Z74" i="1" s="1"/>
  <c r="Y75" i="1"/>
  <c r="Z75" i="1" s="1"/>
  <c r="Y77" i="1"/>
  <c r="Z77" i="1" s="1"/>
  <c r="Y78" i="1"/>
  <c r="Z78"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6" i="1"/>
  <c r="Z96" i="1" s="1"/>
  <c r="Y98" i="1"/>
  <c r="Z98" i="1" s="1"/>
  <c r="Y99" i="1"/>
  <c r="Z99" i="1" s="1"/>
  <c r="Y101" i="1"/>
  <c r="Z101" i="1" s="1"/>
  <c r="Y102" i="1"/>
  <c r="Z102" i="1" s="1"/>
  <c r="Y103" i="1"/>
  <c r="Z103" i="1" s="1"/>
  <c r="Y104" i="1"/>
  <c r="Z104" i="1" s="1"/>
  <c r="Y106" i="1"/>
  <c r="Z106" i="1" s="1"/>
  <c r="Y107" i="1"/>
  <c r="Z107" i="1" s="1"/>
  <c r="Y108" i="1"/>
  <c r="Z108" i="1" s="1"/>
  <c r="Y110" i="1"/>
  <c r="Z110" i="1" s="1"/>
  <c r="Y111" i="1"/>
  <c r="Z111" i="1" s="1"/>
  <c r="Y114" i="1"/>
  <c r="Z114" i="1" s="1"/>
  <c r="Y115" i="1"/>
  <c r="Z115" i="1" s="1"/>
  <c r="Y117" i="1"/>
  <c r="Z117" i="1" s="1"/>
  <c r="Y119" i="1"/>
  <c r="Z119" i="1" s="1"/>
  <c r="Y121" i="1"/>
  <c r="Z121" i="1" s="1"/>
  <c r="Y123" i="1"/>
  <c r="Z123" i="1" s="1"/>
  <c r="Y124" i="1"/>
  <c r="Z124" i="1" s="1"/>
  <c r="Y128" i="1"/>
  <c r="Z128" i="1" s="1"/>
  <c r="Y129" i="1"/>
  <c r="Z129" i="1" s="1"/>
  <c r="Y130" i="1"/>
  <c r="Z130" i="1" s="1"/>
  <c r="Y131" i="1"/>
  <c r="Z131" i="1" s="1"/>
  <c r="Y133" i="1"/>
  <c r="Z133" i="1" s="1"/>
  <c r="Y137" i="1"/>
  <c r="Z137" i="1" s="1"/>
  <c r="Y138" i="1"/>
  <c r="Z138" i="1" s="1"/>
  <c r="Y140" i="1"/>
  <c r="Z140" i="1" s="1"/>
  <c r="Y141" i="1"/>
  <c r="Z141" i="1" s="1"/>
  <c r="Y143" i="1"/>
  <c r="Z143" i="1" s="1"/>
  <c r="Y144" i="1"/>
  <c r="Z144" i="1" s="1"/>
  <c r="Y146" i="1"/>
  <c r="Z146" i="1" s="1"/>
  <c r="Y149" i="1"/>
  <c r="Z149" i="1" s="1"/>
  <c r="Y151" i="1"/>
  <c r="Z151" i="1" s="1"/>
  <c r="Y153" i="1"/>
  <c r="Z153" i="1" s="1"/>
  <c r="Y154" i="1"/>
  <c r="Z154" i="1" s="1"/>
  <c r="Y155" i="1"/>
  <c r="Z155" i="1" s="1"/>
  <c r="Y158" i="1"/>
  <c r="Z158" i="1" s="1"/>
  <c r="Y159" i="1"/>
  <c r="Z159" i="1" s="1"/>
  <c r="Y161" i="1"/>
  <c r="Z161" i="1" s="1"/>
  <c r="Y163" i="1"/>
  <c r="Z163" i="1" s="1"/>
  <c r="Y165" i="1"/>
  <c r="Z165" i="1" s="1"/>
  <c r="Y167" i="1"/>
  <c r="Z167" i="1" s="1"/>
  <c r="Y170" i="1"/>
  <c r="Z170" i="1" s="1"/>
  <c r="Y171" i="1"/>
  <c r="Z171" i="1" s="1"/>
  <c r="Y172" i="1"/>
  <c r="Z172" i="1" s="1"/>
  <c r="Y175" i="1"/>
  <c r="Z175" i="1" s="1"/>
  <c r="Y176" i="1"/>
  <c r="Z176" i="1" s="1"/>
  <c r="Y178" i="1"/>
  <c r="Z178" i="1" s="1"/>
  <c r="Y180" i="1"/>
  <c r="Z180" i="1" s="1"/>
  <c r="Y181" i="1"/>
  <c r="Z181" i="1" s="1"/>
  <c r="Y182" i="1"/>
  <c r="Z182" i="1" s="1"/>
  <c r="Y183" i="1"/>
  <c r="Z183" i="1" s="1"/>
  <c r="Y184" i="1"/>
  <c r="Z184" i="1" s="1"/>
  <c r="Y186" i="1"/>
  <c r="Z186" i="1" s="1"/>
  <c r="Y187" i="1"/>
  <c r="Z187" i="1" s="1"/>
  <c r="Y191" i="1"/>
  <c r="Z191" i="1" s="1"/>
  <c r="Y193" i="1"/>
  <c r="Z193" i="1" s="1"/>
  <c r="Y202" i="1"/>
  <c r="Z202" i="1" s="1"/>
  <c r="Y203" i="1"/>
  <c r="Z203" i="1" s="1"/>
  <c r="Y204" i="1"/>
  <c r="Z204" i="1" s="1"/>
  <c r="Y206" i="1"/>
  <c r="Z206" i="1" s="1"/>
  <c r="Y207" i="1"/>
  <c r="Z207" i="1" s="1"/>
  <c r="Y210" i="1"/>
  <c r="Z210" i="1" s="1"/>
  <c r="Y215" i="1"/>
  <c r="Z215" i="1" s="1"/>
  <c r="Y216" i="1"/>
  <c r="Z216" i="1" s="1"/>
  <c r="Y217" i="1"/>
  <c r="Z217" i="1" s="1"/>
  <c r="Y222" i="1"/>
  <c r="Z222" i="1" s="1"/>
  <c r="Y223" i="1"/>
  <c r="Z223" i="1" s="1"/>
  <c r="Y224" i="1"/>
  <c r="Z224" i="1" s="1"/>
  <c r="Y227" i="1"/>
  <c r="Z227" i="1" s="1"/>
  <c r="Y228" i="1"/>
  <c r="Z228" i="1" s="1"/>
  <c r="Y229" i="1"/>
  <c r="Z229" i="1" s="1"/>
  <c r="Y231" i="1"/>
  <c r="Z231" i="1" s="1"/>
  <c r="Y232" i="1"/>
  <c r="Z232" i="1" s="1"/>
  <c r="Y233" i="1"/>
  <c r="Z233" i="1" s="1"/>
  <c r="Y234" i="1"/>
  <c r="Z234" i="1" s="1"/>
  <c r="Y236" i="1"/>
  <c r="Z236" i="1" s="1"/>
  <c r="Y238" i="1"/>
  <c r="Z238" i="1" s="1"/>
  <c r="Y239" i="1"/>
  <c r="Z239" i="1" s="1"/>
  <c r="Y241" i="1"/>
  <c r="Z241" i="1" s="1"/>
  <c r="Y242" i="1"/>
  <c r="Z242" i="1" s="1"/>
  <c r="Y245" i="1"/>
  <c r="Z245" i="1" s="1"/>
  <c r="Y246" i="1"/>
  <c r="Z246" i="1" s="1"/>
  <c r="Y247" i="1"/>
  <c r="Z247" i="1" s="1"/>
  <c r="Y248" i="1"/>
  <c r="Z248" i="1" s="1"/>
  <c r="Y249" i="1"/>
  <c r="Z249" i="1" s="1"/>
  <c r="Y251" i="1"/>
  <c r="Z251" i="1" s="1"/>
  <c r="Y255" i="1"/>
  <c r="Z255" i="1" s="1"/>
  <c r="Y259" i="1"/>
  <c r="Z259" i="1" s="1"/>
  <c r="Y260" i="1"/>
  <c r="Z260" i="1" s="1"/>
  <c r="Y267" i="1"/>
  <c r="Z267" i="1" s="1"/>
  <c r="Y268" i="1"/>
  <c r="Z268" i="1" s="1"/>
  <c r="Y272" i="1"/>
  <c r="Z272" i="1" s="1"/>
  <c r="Y274" i="1"/>
  <c r="Z274" i="1" s="1"/>
  <c r="Y275" i="1"/>
  <c r="Z275" i="1" s="1"/>
  <c r="Y278" i="1"/>
  <c r="Z278" i="1" s="1"/>
  <c r="Y280" i="1"/>
  <c r="Z280" i="1" s="1"/>
  <c r="Y288" i="1"/>
  <c r="Z288" i="1" s="1"/>
  <c r="Y289" i="1"/>
  <c r="Z289" i="1" s="1"/>
  <c r="Y290" i="1"/>
  <c r="Z290" i="1" s="1"/>
  <c r="Y292" i="1"/>
  <c r="Z292" i="1" s="1"/>
  <c r="Y298" i="1"/>
  <c r="Z298" i="1" s="1"/>
  <c r="Y303" i="1"/>
  <c r="Z303" i="1" s="1"/>
  <c r="Y305" i="1"/>
  <c r="Z305" i="1" s="1"/>
  <c r="Y307" i="1"/>
  <c r="Z307" i="1" s="1"/>
  <c r="Y308" i="1"/>
  <c r="Z308" i="1" s="1"/>
  <c r="Y310" i="1"/>
  <c r="Z310" i="1" s="1"/>
  <c r="Y311" i="1"/>
  <c r="Z311" i="1" s="1"/>
  <c r="Y315" i="1"/>
  <c r="Z315" i="1" s="1"/>
  <c r="Y317" i="1"/>
  <c r="Z317" i="1" s="1"/>
  <c r="Y319" i="1"/>
  <c r="Z319" i="1" s="1"/>
  <c r="Y320" i="1"/>
  <c r="Z320" i="1" s="1"/>
  <c r="Y324" i="1"/>
  <c r="Z324" i="1" s="1"/>
  <c r="Y326" i="1"/>
  <c r="Z326" i="1" s="1"/>
  <c r="Y335" i="1"/>
  <c r="Z335" i="1" s="1"/>
  <c r="Y339" i="1"/>
  <c r="Z339" i="1" s="1"/>
  <c r="Y340" i="1"/>
  <c r="Z340" i="1" s="1"/>
  <c r="Y343" i="1"/>
  <c r="Z343" i="1" s="1"/>
  <c r="Y344" i="1"/>
  <c r="Z344" i="1" s="1"/>
  <c r="Y352" i="1"/>
  <c r="Z352" i="1" s="1"/>
  <c r="Y354" i="1"/>
  <c r="Z354" i="1" s="1"/>
  <c r="Y355" i="1"/>
  <c r="Z355" i="1" s="1"/>
  <c r="Y359" i="1"/>
  <c r="Z359" i="1" s="1"/>
  <c r="Y364" i="1"/>
  <c r="Z364" i="1" s="1"/>
  <c r="Y365" i="1"/>
  <c r="Z365" i="1" s="1"/>
  <c r="Y368" i="1"/>
  <c r="Z368" i="1" s="1"/>
  <c r="Y387" i="1"/>
  <c r="Z387" i="1" s="1"/>
  <c r="Y388" i="1"/>
  <c r="Z388" i="1" s="1"/>
  <c r="Y392" i="1"/>
  <c r="Z392" i="1" s="1"/>
  <c r="Y395" i="1"/>
  <c r="Z395" i="1" s="1"/>
  <c r="Y396" i="1"/>
  <c r="Z396" i="1" s="1"/>
  <c r="Y400" i="1"/>
  <c r="Z400" i="1" s="1"/>
  <c r="Y401" i="1"/>
  <c r="Z401" i="1" s="1"/>
  <c r="Y410" i="1"/>
  <c r="Z410" i="1" s="1"/>
  <c r="Y411" i="1"/>
  <c r="Z411" i="1" s="1"/>
  <c r="Y412" i="1"/>
  <c r="Z412" i="1" s="1"/>
  <c r="Y419" i="1"/>
  <c r="Z419" i="1" s="1"/>
  <c r="Y422" i="1"/>
  <c r="Z422" i="1" s="1"/>
  <c r="Y424" i="1"/>
  <c r="Z424" i="1" s="1"/>
  <c r="Y426" i="1"/>
  <c r="Z426" i="1" s="1"/>
  <c r="Y427" i="1"/>
  <c r="Z427" i="1" s="1"/>
  <c r="Y428" i="1"/>
  <c r="Z428" i="1" s="1"/>
  <c r="Y429" i="1"/>
  <c r="Z429" i="1" s="1"/>
  <c r="Y434" i="1"/>
  <c r="Z434" i="1" s="1"/>
  <c r="Y435" i="1"/>
  <c r="Z435" i="1" s="1"/>
  <c r="Y440" i="1"/>
  <c r="Z440" i="1" s="1"/>
  <c r="Y441" i="1"/>
  <c r="Z441" i="1" s="1"/>
  <c r="Y444" i="1"/>
  <c r="Z444" i="1" s="1"/>
  <c r="Y451" i="1"/>
  <c r="Z451" i="1" s="1"/>
  <c r="Y452" i="1"/>
  <c r="Z452" i="1" s="1"/>
  <c r="Y453" i="1"/>
  <c r="Z453" i="1" s="1"/>
  <c r="Y461" i="1"/>
  <c r="Z461" i="1" s="1"/>
  <c r="Y462" i="1"/>
  <c r="Z462" i="1" s="1"/>
  <c r="Y463" i="1"/>
  <c r="Z463" i="1" s="1"/>
  <c r="Y464" i="1"/>
  <c r="Z464" i="1" s="1"/>
  <c r="Y465" i="1"/>
  <c r="Z465" i="1" s="1"/>
  <c r="Y466" i="1"/>
  <c r="Z466" i="1" s="1"/>
  <c r="Y468" i="1"/>
  <c r="Z468" i="1" s="1"/>
  <c r="Y469" i="1"/>
  <c r="Z469" i="1" s="1"/>
  <c r="Y471" i="1"/>
  <c r="Z471" i="1" s="1"/>
  <c r="Y472" i="1"/>
  <c r="Z472" i="1" s="1"/>
  <c r="Y473" i="1"/>
  <c r="Z473" i="1" s="1"/>
  <c r="Y478" i="1"/>
  <c r="Z478" i="1" s="1"/>
  <c r="Y479" i="1"/>
  <c r="Z479" i="1" s="1"/>
  <c r="Y493" i="1"/>
  <c r="Z493" i="1" s="1"/>
  <c r="Y495" i="1"/>
  <c r="Z495" i="1" s="1"/>
  <c r="Y499" i="1"/>
  <c r="Z499" i="1" s="1"/>
  <c r="Y501" i="1"/>
  <c r="Z501" i="1" s="1"/>
  <c r="Y2" i="1"/>
  <c r="Z2" i="1" s="1"/>
  <c r="X501" i="1" l="1"/>
  <c r="X499" i="1"/>
  <c r="X495" i="1"/>
  <c r="X493" i="1"/>
  <c r="X479" i="1"/>
  <c r="X478" i="1"/>
  <c r="X473" i="1"/>
  <c r="X472" i="1"/>
  <c r="X471" i="1"/>
  <c r="X469" i="1"/>
  <c r="X468" i="1"/>
  <c r="X466" i="1"/>
  <c r="X465" i="1"/>
  <c r="X464" i="1"/>
  <c r="X463" i="1"/>
  <c r="X462" i="1"/>
  <c r="X461" i="1"/>
  <c r="X453" i="1"/>
  <c r="X452" i="1"/>
  <c r="X451" i="1"/>
  <c r="X444" i="1"/>
  <c r="X441" i="1"/>
  <c r="X440" i="1"/>
  <c r="X435" i="1"/>
  <c r="X434" i="1"/>
  <c r="X429" i="1"/>
  <c r="X428" i="1"/>
  <c r="X427" i="1"/>
  <c r="X426" i="1"/>
  <c r="X424" i="1"/>
  <c r="X422" i="1"/>
  <c r="X419" i="1"/>
  <c r="X412" i="1"/>
  <c r="X411" i="1"/>
  <c r="X410" i="1"/>
  <c r="X401" i="1"/>
  <c r="X400" i="1"/>
  <c r="X396" i="1"/>
  <c r="X395" i="1"/>
  <c r="X392" i="1"/>
  <c r="X388" i="1"/>
  <c r="X387" i="1"/>
  <c r="X368" i="1"/>
  <c r="X365" i="1"/>
  <c r="X364" i="1"/>
  <c r="X359" i="1"/>
  <c r="X355" i="1"/>
  <c r="X354" i="1"/>
  <c r="X352" i="1"/>
  <c r="X344" i="1"/>
  <c r="X343" i="1"/>
  <c r="X340" i="1"/>
  <c r="X339" i="1"/>
  <c r="X335" i="1"/>
  <c r="X326" i="1"/>
  <c r="X324" i="1"/>
  <c r="X320" i="1"/>
  <c r="X319" i="1"/>
  <c r="X317" i="1"/>
  <c r="X315" i="1"/>
  <c r="X311" i="1"/>
  <c r="X310" i="1"/>
  <c r="X308" i="1"/>
  <c r="X307" i="1"/>
  <c r="X305" i="1"/>
  <c r="X303" i="1"/>
  <c r="X298" i="1"/>
  <c r="X292" i="1"/>
  <c r="X290" i="1"/>
  <c r="X289" i="1"/>
  <c r="X288" i="1"/>
  <c r="X280" i="1"/>
  <c r="X278" i="1"/>
  <c r="X275" i="1"/>
  <c r="X274" i="1"/>
  <c r="X272" i="1"/>
  <c r="X268" i="1"/>
  <c r="X267" i="1"/>
  <c r="X260" i="1"/>
  <c r="X259" i="1"/>
  <c r="X255" i="1"/>
  <c r="X251" i="1"/>
  <c r="X249" i="1"/>
  <c r="X248" i="1"/>
  <c r="X247" i="1"/>
  <c r="X246" i="1"/>
  <c r="X245" i="1"/>
  <c r="X242" i="1"/>
  <c r="X241" i="1"/>
  <c r="X239" i="1"/>
  <c r="X238" i="1"/>
  <c r="X236" i="1"/>
  <c r="X234" i="1"/>
  <c r="X233" i="1"/>
  <c r="X232" i="1"/>
  <c r="X231" i="1"/>
  <c r="X229" i="1"/>
  <c r="X228" i="1"/>
  <c r="X227" i="1"/>
  <c r="X224" i="1"/>
  <c r="X223" i="1"/>
  <c r="X222" i="1"/>
  <c r="X217" i="1"/>
  <c r="X216" i="1"/>
  <c r="X215" i="1"/>
  <c r="X210" i="1"/>
  <c r="X207" i="1"/>
  <c r="X206" i="1"/>
  <c r="X204" i="1"/>
  <c r="X203" i="1"/>
  <c r="X202" i="1"/>
  <c r="X193" i="1"/>
  <c r="X191" i="1"/>
  <c r="X187" i="1"/>
  <c r="X186" i="1"/>
  <c r="X184" i="1"/>
  <c r="X183" i="1"/>
  <c r="X182" i="1"/>
  <c r="X181" i="1"/>
  <c r="X180" i="1"/>
  <c r="X178" i="1"/>
  <c r="X176" i="1"/>
  <c r="X175" i="1"/>
  <c r="X172" i="1"/>
  <c r="X171" i="1"/>
  <c r="X170" i="1"/>
  <c r="X167" i="1"/>
  <c r="X165" i="1"/>
  <c r="X163" i="1"/>
  <c r="X161" i="1"/>
  <c r="X159" i="1"/>
  <c r="X158" i="1"/>
  <c r="X155" i="1"/>
  <c r="X154" i="1"/>
  <c r="X153" i="1"/>
  <c r="X151" i="1"/>
  <c r="X149" i="1"/>
  <c r="X146" i="1"/>
  <c r="X144" i="1"/>
  <c r="X143" i="1"/>
  <c r="X141" i="1"/>
  <c r="X140" i="1"/>
  <c r="X138" i="1"/>
  <c r="X137" i="1"/>
  <c r="X133" i="1"/>
  <c r="X131" i="1"/>
  <c r="X130" i="1"/>
  <c r="X129" i="1"/>
  <c r="X128" i="1"/>
  <c r="X124" i="1"/>
  <c r="X123" i="1"/>
  <c r="X121" i="1"/>
  <c r="X119" i="1"/>
  <c r="X117" i="1"/>
  <c r="X115" i="1"/>
  <c r="X114" i="1"/>
  <c r="X111" i="1"/>
  <c r="X110" i="1"/>
  <c r="X108" i="1"/>
  <c r="X107" i="1"/>
  <c r="X106" i="1"/>
  <c r="X104" i="1"/>
  <c r="X103" i="1"/>
  <c r="X102" i="1"/>
  <c r="X101" i="1"/>
  <c r="X99" i="1"/>
  <c r="X98" i="1"/>
  <c r="X96" i="1"/>
  <c r="X94" i="1"/>
  <c r="X93" i="1"/>
  <c r="X92" i="1"/>
  <c r="X91" i="1"/>
  <c r="X90" i="1"/>
  <c r="X89" i="1"/>
  <c r="X88" i="1"/>
  <c r="X87" i="1"/>
  <c r="X86" i="1"/>
  <c r="X85" i="1"/>
  <c r="X84" i="1"/>
  <c r="X83" i="1"/>
  <c r="X82" i="1"/>
  <c r="X81" i="1"/>
  <c r="X80" i="1"/>
  <c r="X78" i="1"/>
  <c r="X77" i="1"/>
  <c r="X75" i="1"/>
  <c r="X74" i="1"/>
  <c r="X72" i="1"/>
  <c r="X71" i="1"/>
  <c r="X70" i="1"/>
  <c r="X69" i="1"/>
  <c r="X68" i="1"/>
  <c r="X67" i="1"/>
  <c r="X66" i="1"/>
  <c r="X65" i="1"/>
  <c r="X64" i="1"/>
  <c r="X63" i="1"/>
  <c r="X61" i="1"/>
  <c r="X59" i="1"/>
  <c r="X58" i="1"/>
  <c r="X57" i="1"/>
  <c r="X56" i="1"/>
  <c r="X55" i="1"/>
  <c r="X54" i="1"/>
  <c r="X53" i="1"/>
  <c r="X52" i="1"/>
  <c r="X51" i="1"/>
  <c r="X50" i="1"/>
  <c r="X49" i="1"/>
  <c r="X47" i="1"/>
  <c r="X46" i="1"/>
  <c r="X45" i="1"/>
  <c r="X42" i="1"/>
  <c r="X41" i="1"/>
  <c r="X40" i="1"/>
  <c r="X39" i="1"/>
  <c r="X38" i="1"/>
  <c r="X37" i="1"/>
  <c r="X36"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3" i="1" a="1"/>
  <c r="W3" i="1"/>
  <c r="W4" i="1" a="1"/>
  <c r="W4" i="1"/>
  <c r="W5" i="1" a="1"/>
  <c r="W5" i="1"/>
  <c r="W6" i="1" a="1"/>
  <c r="W6" i="1"/>
  <c r="W7" i="1" a="1"/>
  <c r="W7" i="1"/>
  <c r="W8" i="1" a="1"/>
  <c r="W8" i="1"/>
  <c r="W9" i="1" a="1"/>
  <c r="W9" i="1"/>
  <c r="W10" i="1" a="1"/>
  <c r="W10" i="1"/>
  <c r="W11" i="1" a="1"/>
  <c r="W11" i="1"/>
  <c r="W12" i="1" a="1"/>
  <c r="W12" i="1"/>
  <c r="W13" i="1" a="1"/>
  <c r="W13" i="1"/>
  <c r="W14" i="1" a="1"/>
  <c r="W14" i="1"/>
  <c r="W15" i="1" a="1"/>
  <c r="W15" i="1"/>
  <c r="W16" i="1" a="1"/>
  <c r="W16" i="1"/>
  <c r="W17" i="1" a="1"/>
  <c r="W17" i="1"/>
  <c r="W18" i="1" a="1"/>
  <c r="W18" i="1"/>
  <c r="W19" i="1" a="1"/>
  <c r="W19" i="1"/>
  <c r="W20" i="1" a="1"/>
  <c r="W20" i="1"/>
  <c r="W21" i="1" a="1"/>
  <c r="W21" i="1"/>
  <c r="W22" i="1" a="1"/>
  <c r="W22" i="1"/>
  <c r="W23" i="1" a="1"/>
  <c r="W23" i="1"/>
  <c r="W24" i="1" a="1"/>
  <c r="W24" i="1"/>
  <c r="W25" i="1" a="1"/>
  <c r="W25" i="1"/>
  <c r="W26" i="1" a="1"/>
  <c r="W26" i="1"/>
  <c r="W27" i="1" a="1"/>
  <c r="W27" i="1"/>
  <c r="W28" i="1" a="1"/>
  <c r="W28" i="1"/>
  <c r="W29" i="1" a="1"/>
  <c r="W29" i="1"/>
  <c r="W30" i="1" a="1"/>
  <c r="W30" i="1"/>
  <c r="W31" i="1" a="1"/>
  <c r="W31" i="1"/>
  <c r="W32" i="1" a="1"/>
  <c r="W32" i="1"/>
  <c r="W33" i="1" a="1"/>
  <c r="W33" i="1"/>
  <c r="W34" i="1" a="1"/>
  <c r="W34" i="1"/>
  <c r="W2" i="1" a="1"/>
  <c r="W2" i="1"/>
  <c r="V501" i="1"/>
  <c r="V499" i="1"/>
  <c r="V495" i="1"/>
  <c r="V493" i="1"/>
  <c r="V479" i="1"/>
  <c r="V478" i="1"/>
  <c r="V473" i="1"/>
  <c r="V472" i="1"/>
  <c r="V471" i="1"/>
  <c r="V469" i="1"/>
  <c r="V468" i="1"/>
  <c r="V466" i="1"/>
  <c r="V465" i="1"/>
  <c r="V464" i="1"/>
  <c r="V463" i="1"/>
  <c r="V462" i="1"/>
  <c r="V461" i="1"/>
  <c r="V453" i="1"/>
  <c r="V452" i="1"/>
  <c r="V451" i="1"/>
  <c r="V444" i="1"/>
  <c r="V441" i="1"/>
  <c r="V440" i="1"/>
  <c r="V435" i="1"/>
  <c r="V434" i="1"/>
  <c r="V429" i="1"/>
  <c r="V428" i="1"/>
  <c r="V427" i="1"/>
  <c r="V426" i="1"/>
  <c r="V424" i="1"/>
  <c r="V422" i="1"/>
  <c r="V419" i="1"/>
  <c r="V412" i="1"/>
  <c r="V411" i="1"/>
  <c r="V410" i="1"/>
  <c r="V401" i="1"/>
  <c r="V400" i="1"/>
  <c r="V396" i="1"/>
  <c r="V395" i="1"/>
  <c r="V392" i="1"/>
  <c r="V388" i="1"/>
  <c r="V387" i="1"/>
  <c r="V368" i="1"/>
  <c r="V365" i="1"/>
  <c r="V364" i="1"/>
  <c r="V359" i="1"/>
  <c r="V355" i="1"/>
  <c r="V354" i="1"/>
  <c r="V352" i="1"/>
  <c r="V344" i="1"/>
  <c r="V343" i="1"/>
  <c r="V340" i="1"/>
  <c r="V339" i="1"/>
  <c r="V335" i="1"/>
  <c r="V326" i="1"/>
  <c r="V324" i="1"/>
  <c r="V320" i="1"/>
  <c r="V319" i="1"/>
  <c r="V317" i="1"/>
  <c r="V315" i="1"/>
  <c r="V311" i="1"/>
  <c r="V310" i="1"/>
  <c r="V308" i="1"/>
  <c r="V307" i="1"/>
  <c r="V305" i="1"/>
  <c r="V303" i="1"/>
  <c r="V298" i="1"/>
  <c r="V292" i="1"/>
  <c r="V290" i="1"/>
  <c r="V289" i="1"/>
  <c r="V288" i="1"/>
  <c r="V280" i="1"/>
  <c r="V278" i="1"/>
  <c r="V275" i="1"/>
  <c r="V274" i="1"/>
  <c r="V272" i="1"/>
  <c r="V268" i="1"/>
  <c r="V267" i="1"/>
  <c r="V260" i="1"/>
  <c r="V259" i="1"/>
  <c r="V255" i="1"/>
  <c r="V251" i="1"/>
  <c r="V249" i="1"/>
  <c r="V248" i="1"/>
  <c r="V247" i="1"/>
  <c r="V246" i="1"/>
  <c r="V245" i="1"/>
  <c r="V242" i="1"/>
  <c r="V241" i="1"/>
  <c r="V239" i="1"/>
  <c r="V238" i="1"/>
  <c r="V236" i="1"/>
  <c r="V234" i="1"/>
  <c r="V233" i="1"/>
  <c r="V232" i="1"/>
  <c r="V231" i="1"/>
  <c r="V229" i="1"/>
  <c r="V228" i="1"/>
  <c r="V227" i="1"/>
  <c r="V224" i="1"/>
  <c r="V223" i="1"/>
  <c r="V222" i="1"/>
  <c r="V217" i="1"/>
  <c r="V216" i="1"/>
  <c r="V215" i="1"/>
  <c r="V210" i="1"/>
  <c r="V207" i="1"/>
  <c r="V206" i="1"/>
  <c r="V204" i="1"/>
  <c r="V203" i="1"/>
  <c r="V202" i="1"/>
  <c r="V193" i="1"/>
  <c r="V191" i="1"/>
  <c r="V187" i="1"/>
  <c r="V186" i="1"/>
  <c r="V184" i="1"/>
  <c r="V183" i="1"/>
  <c r="V182" i="1"/>
  <c r="V181" i="1"/>
  <c r="V180" i="1"/>
  <c r="V178" i="1"/>
  <c r="V176" i="1"/>
  <c r="V175" i="1"/>
  <c r="V172" i="1"/>
  <c r="V171" i="1"/>
  <c r="V170" i="1"/>
  <c r="V167" i="1"/>
  <c r="V165" i="1"/>
  <c r="V163" i="1"/>
  <c r="V161" i="1"/>
  <c r="V159" i="1"/>
  <c r="V158" i="1"/>
  <c r="V155" i="1"/>
  <c r="V154" i="1"/>
  <c r="V153" i="1"/>
  <c r="V151" i="1"/>
  <c r="V149" i="1"/>
  <c r="V146" i="1"/>
  <c r="V144" i="1"/>
  <c r="V143" i="1"/>
  <c r="V141" i="1"/>
  <c r="V140" i="1"/>
  <c r="V138" i="1"/>
  <c r="V137" i="1"/>
  <c r="V133" i="1"/>
  <c r="V131" i="1"/>
  <c r="V130" i="1"/>
  <c r="V129" i="1"/>
  <c r="V128" i="1"/>
  <c r="V124" i="1"/>
  <c r="V123" i="1"/>
  <c r="V121" i="1"/>
  <c r="V119" i="1"/>
  <c r="V117" i="1"/>
  <c r="V115" i="1"/>
  <c r="V114" i="1"/>
  <c r="V111" i="1"/>
  <c r="V110" i="1"/>
  <c r="V108" i="1"/>
  <c r="V107" i="1"/>
  <c r="V106" i="1"/>
  <c r="V104" i="1"/>
  <c r="V103" i="1"/>
  <c r="V102" i="1"/>
  <c r="V101" i="1"/>
  <c r="V99" i="1"/>
  <c r="V98" i="1"/>
  <c r="V96" i="1"/>
  <c r="V94" i="1"/>
  <c r="V93" i="1"/>
  <c r="V92" i="1"/>
  <c r="V91" i="1"/>
  <c r="V90" i="1"/>
  <c r="V89" i="1"/>
  <c r="V88" i="1"/>
  <c r="V87" i="1"/>
  <c r="V86" i="1"/>
  <c r="V85" i="1"/>
  <c r="V84" i="1"/>
  <c r="V83" i="1"/>
  <c r="V82" i="1"/>
  <c r="V81" i="1"/>
  <c r="V80" i="1"/>
  <c r="V78" i="1"/>
  <c r="V77" i="1"/>
  <c r="V75" i="1"/>
  <c r="V74" i="1"/>
  <c r="V72" i="1"/>
  <c r="V71" i="1"/>
  <c r="V70" i="1"/>
  <c r="V69" i="1"/>
  <c r="V68" i="1"/>
  <c r="V67" i="1"/>
  <c r="V66" i="1"/>
  <c r="V65" i="1"/>
  <c r="V64" i="1"/>
  <c r="V63" i="1"/>
  <c r="V61" i="1"/>
  <c r="V59" i="1"/>
  <c r="V58" i="1"/>
  <c r="V57" i="1"/>
  <c r="V56" i="1"/>
  <c r="V55" i="1"/>
  <c r="V54" i="1"/>
  <c r="V53" i="1"/>
  <c r="V52" i="1"/>
  <c r="V51" i="1"/>
  <c r="V50" i="1"/>
  <c r="V49" i="1"/>
  <c r="V47" i="1"/>
  <c r="V46" i="1"/>
  <c r="V45" i="1"/>
  <c r="V42" i="1"/>
  <c r="V41" i="1"/>
  <c r="V40" i="1"/>
  <c r="V39" i="1"/>
  <c r="V38" i="1"/>
  <c r="V37" i="1"/>
  <c r="V36"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 r="B2" i="2"/>
  <c r="P500" i="1"/>
  <c r="P499" i="1"/>
  <c r="P497" i="1"/>
  <c r="P496" i="1"/>
  <c r="U495" i="1"/>
  <c r="P494" i="1"/>
  <c r="P493" i="1"/>
  <c r="P491" i="1"/>
  <c r="P490" i="1"/>
  <c r="P489" i="1"/>
  <c r="P488" i="1"/>
  <c r="P487" i="1"/>
  <c r="P484" i="1"/>
  <c r="P483" i="1"/>
  <c r="P482" i="1"/>
  <c r="P481" i="1"/>
  <c r="P480" i="1"/>
  <c r="U479" i="1"/>
  <c r="P479" i="1"/>
  <c r="P478" i="1"/>
  <c r="P477" i="1"/>
  <c r="P476" i="1"/>
  <c r="P475" i="1"/>
  <c r="P474" i="1"/>
  <c r="P473" i="1"/>
  <c r="P472" i="1"/>
  <c r="P471" i="1"/>
  <c r="P470" i="1"/>
  <c r="P469" i="1"/>
  <c r="P468" i="1"/>
  <c r="P466" i="1"/>
  <c r="P465" i="1"/>
  <c r="P463" i="1"/>
  <c r="P461" i="1"/>
  <c r="P459" i="1"/>
  <c r="P458" i="1"/>
  <c r="P457" i="1"/>
  <c r="P456" i="1"/>
  <c r="P455" i="1"/>
  <c r="P453" i="1"/>
  <c r="U452" i="1"/>
  <c r="P450" i="1"/>
  <c r="P449" i="1"/>
  <c r="P448" i="1"/>
  <c r="P447" i="1"/>
  <c r="P446" i="1"/>
  <c r="P445" i="1"/>
  <c r="P443" i="1"/>
  <c r="P441" i="1"/>
  <c r="P440" i="1"/>
  <c r="P439" i="1"/>
  <c r="P436" i="1"/>
  <c r="P435" i="1"/>
  <c r="P434" i="1"/>
  <c r="P433" i="1"/>
  <c r="P432" i="1"/>
  <c r="P431" i="1"/>
  <c r="P430" i="1"/>
  <c r="P428" i="1"/>
  <c r="P427" i="1"/>
  <c r="P425" i="1"/>
  <c r="P424" i="1"/>
  <c r="P423" i="1"/>
  <c r="P421" i="1"/>
  <c r="P420" i="1"/>
  <c r="P419" i="1"/>
  <c r="P418" i="1"/>
  <c r="P417" i="1"/>
  <c r="P416" i="1"/>
  <c r="P415" i="1"/>
  <c r="P414" i="1"/>
  <c r="P413" i="1"/>
  <c r="P412" i="1"/>
  <c r="U411" i="1"/>
  <c r="P411" i="1"/>
  <c r="P410" i="1"/>
  <c r="P409" i="1"/>
  <c r="P408" i="1"/>
  <c r="P407" i="1"/>
  <c r="P406" i="1"/>
  <c r="P405" i="1"/>
  <c r="P404" i="1"/>
  <c r="P403" i="1"/>
  <c r="P402" i="1"/>
  <c r="P401" i="1"/>
  <c r="P400" i="1"/>
  <c r="P399" i="1"/>
  <c r="P398" i="1"/>
  <c r="P396" i="1"/>
  <c r="P395" i="1"/>
  <c r="P394" i="1"/>
  <c r="P393" i="1"/>
  <c r="P392" i="1"/>
  <c r="P391" i="1"/>
  <c r="P390" i="1"/>
  <c r="P389" i="1"/>
  <c r="P388" i="1"/>
  <c r="P387" i="1"/>
  <c r="P386" i="1"/>
  <c r="P385" i="1"/>
  <c r="P384" i="1"/>
  <c r="P383" i="1"/>
  <c r="P380" i="1"/>
  <c r="P378" i="1"/>
  <c r="P377" i="1"/>
  <c r="P376" i="1"/>
  <c r="P375" i="1"/>
  <c r="P374" i="1"/>
  <c r="P373" i="1"/>
  <c r="P372" i="1"/>
  <c r="P371" i="1"/>
  <c r="P370" i="1"/>
  <c r="P368" i="1"/>
  <c r="P367" i="1"/>
  <c r="U365" i="1"/>
  <c r="P364" i="1"/>
  <c r="P362" i="1"/>
  <c r="P361" i="1"/>
  <c r="P360" i="1"/>
  <c r="P358" i="1"/>
  <c r="P357" i="1"/>
  <c r="P356" i="1"/>
  <c r="P355" i="1"/>
  <c r="P354" i="1"/>
  <c r="P353" i="1"/>
  <c r="P352" i="1"/>
  <c r="P348" i="1"/>
  <c r="P347" i="1"/>
  <c r="P346" i="1"/>
  <c r="U344" i="1"/>
  <c r="P344" i="1"/>
  <c r="U343" i="1"/>
  <c r="P343" i="1"/>
  <c r="P342" i="1"/>
  <c r="P341" i="1"/>
  <c r="P340" i="1"/>
  <c r="P339" i="1"/>
  <c r="P338" i="1"/>
  <c r="P336" i="1"/>
  <c r="P335" i="1"/>
  <c r="P334" i="1"/>
  <c r="P333" i="1"/>
  <c r="P332" i="1"/>
  <c r="P331" i="1"/>
  <c r="P330" i="1"/>
  <c r="P329" i="1"/>
  <c r="P327" i="1"/>
  <c r="P324" i="1"/>
  <c r="P322" i="1"/>
  <c r="P321" i="1"/>
  <c r="P320" i="1"/>
  <c r="P318" i="1"/>
  <c r="U317" i="1"/>
  <c r="P317" i="1"/>
  <c r="P316" i="1"/>
  <c r="P315" i="1"/>
  <c r="P314" i="1"/>
  <c r="P313" i="1"/>
  <c r="P312" i="1"/>
  <c r="P311" i="1"/>
  <c r="P310" i="1"/>
  <c r="P309" i="1"/>
  <c r="P308" i="1"/>
  <c r="P307" i="1"/>
  <c r="P306" i="1"/>
  <c r="P305" i="1"/>
  <c r="P304" i="1"/>
  <c r="U303" i="1"/>
  <c r="P303" i="1"/>
  <c r="P302" i="1"/>
  <c r="P301" i="1"/>
  <c r="P300" i="1"/>
  <c r="P299" i="1"/>
  <c r="P298" i="1"/>
  <c r="P297" i="1"/>
  <c r="P296" i="1"/>
  <c r="P295" i="1"/>
  <c r="P294" i="1"/>
  <c r="P291" i="1"/>
  <c r="P290" i="1"/>
  <c r="P289" i="1"/>
  <c r="P288" i="1"/>
  <c r="P287" i="1"/>
  <c r="P285" i="1"/>
  <c r="P284" i="1"/>
  <c r="P283" i="1"/>
  <c r="P282" i="1"/>
  <c r="P281" i="1"/>
  <c r="P280" i="1"/>
  <c r="P279" i="1"/>
  <c r="P278" i="1"/>
  <c r="P276" i="1"/>
  <c r="P275" i="1"/>
  <c r="P274" i="1"/>
  <c r="P273" i="1"/>
  <c r="U272" i="1"/>
  <c r="P272" i="1"/>
  <c r="P271" i="1"/>
  <c r="P270" i="1"/>
  <c r="P269" i="1"/>
  <c r="P268" i="1"/>
  <c r="P267" i="1"/>
  <c r="P266" i="1"/>
  <c r="P264" i="1"/>
  <c r="P263" i="1"/>
  <c r="P262" i="1"/>
  <c r="P259" i="1"/>
  <c r="P258" i="1"/>
  <c r="P257" i="1"/>
  <c r="P255" i="1"/>
  <c r="P254" i="1"/>
  <c r="P253" i="1"/>
  <c r="P250" i="1"/>
  <c r="P249" i="1"/>
  <c r="P248" i="1"/>
  <c r="P247" i="1"/>
  <c r="P245" i="1"/>
  <c r="P244" i="1"/>
  <c r="P242" i="1"/>
  <c r="P240" i="1"/>
  <c r="P239" i="1"/>
  <c r="P238" i="1"/>
  <c r="P237" i="1"/>
  <c r="P236" i="1"/>
  <c r="P235" i="1"/>
  <c r="P234" i="1"/>
  <c r="P233" i="1"/>
  <c r="P231" i="1"/>
  <c r="P230" i="1"/>
  <c r="P229" i="1"/>
  <c r="P228" i="1"/>
  <c r="P226" i="1"/>
  <c r="P224" i="1"/>
  <c r="P223" i="1"/>
  <c r="P222" i="1"/>
  <c r="P220" i="1"/>
  <c r="P219" i="1"/>
  <c r="P218" i="1"/>
  <c r="P217" i="1"/>
  <c r="P216" i="1"/>
  <c r="P215" i="1"/>
  <c r="P214" i="1"/>
  <c r="P212" i="1"/>
  <c r="P211" i="1"/>
  <c r="P210" i="1"/>
  <c r="P209" i="1"/>
  <c r="P206" i="1"/>
  <c r="P205" i="1"/>
  <c r="P203" i="1"/>
  <c r="P202" i="1"/>
  <c r="P201" i="1"/>
  <c r="P198" i="1"/>
  <c r="P196" i="1"/>
  <c r="P195" i="1"/>
  <c r="P194" i="1"/>
  <c r="P192" i="1"/>
  <c r="P191" i="1"/>
  <c r="P190" i="1"/>
  <c r="P189" i="1"/>
  <c r="P187" i="1"/>
  <c r="P185" i="1"/>
  <c r="P183" i="1"/>
  <c r="U181" i="1"/>
  <c r="P180" i="1"/>
  <c r="P179" i="1"/>
  <c r="P178" i="1"/>
  <c r="P177" i="1"/>
  <c r="P176" i="1"/>
  <c r="P175" i="1"/>
  <c r="P174" i="1"/>
  <c r="P173" i="1"/>
  <c r="P171" i="1"/>
  <c r="P170" i="1"/>
  <c r="P168" i="1"/>
  <c r="P167" i="1"/>
  <c r="P166" i="1"/>
  <c r="P164" i="1"/>
  <c r="P163" i="1"/>
  <c r="P158" i="1"/>
  <c r="P157" i="1"/>
  <c r="P156" i="1"/>
  <c r="P154" i="1"/>
  <c r="P153" i="1"/>
  <c r="P152" i="1"/>
  <c r="P151" i="1"/>
  <c r="P150" i="1"/>
  <c r="P149" i="1"/>
  <c r="P148" i="1"/>
  <c r="P147" i="1"/>
  <c r="P146" i="1"/>
  <c r="P145" i="1"/>
  <c r="P144" i="1"/>
  <c r="P143" i="1"/>
  <c r="P142" i="1"/>
  <c r="U141" i="1"/>
  <c r="P141" i="1"/>
  <c r="P140" i="1"/>
  <c r="P139" i="1"/>
  <c r="P138" i="1"/>
  <c r="P137" i="1"/>
  <c r="P136" i="1"/>
  <c r="P135" i="1"/>
  <c r="P134" i="1"/>
  <c r="P133" i="1"/>
  <c r="P131" i="1"/>
  <c r="P130" i="1"/>
  <c r="P129" i="1"/>
  <c r="P127" i="1"/>
  <c r="P125" i="1"/>
  <c r="P124" i="1"/>
  <c r="P123" i="1"/>
  <c r="P122" i="1"/>
  <c r="P121" i="1"/>
  <c r="P120" i="1"/>
  <c r="P117" i="1"/>
  <c r="P116" i="1"/>
  <c r="P115" i="1"/>
  <c r="P113" i="1"/>
  <c r="P112" i="1"/>
  <c r="P110" i="1"/>
  <c r="P109" i="1"/>
  <c r="U108" i="1"/>
  <c r="P108" i="1"/>
  <c r="P107" i="1"/>
  <c r="P106" i="1"/>
  <c r="P105" i="1"/>
  <c r="U104" i="1"/>
  <c r="P104" i="1"/>
  <c r="P103" i="1"/>
  <c r="P102" i="1"/>
  <c r="P101" i="1"/>
  <c r="P100" i="1"/>
  <c r="P98" i="1"/>
  <c r="P97" i="1"/>
  <c r="P96" i="1"/>
  <c r="P95" i="1"/>
  <c r="P94" i="1"/>
  <c r="P93" i="1"/>
  <c r="P92" i="1"/>
  <c r="P91" i="1"/>
  <c r="P90" i="1"/>
  <c r="P88" i="1"/>
  <c r="P87" i="1"/>
  <c r="P86" i="1"/>
  <c r="P85" i="1"/>
  <c r="P79" i="1"/>
  <c r="P78" i="1"/>
  <c r="P77" i="1"/>
  <c r="P76" i="1"/>
  <c r="P74" i="1"/>
  <c r="P72" i="1"/>
  <c r="P70" i="1"/>
  <c r="P69" i="1"/>
  <c r="P68" i="1"/>
  <c r="P66" i="1"/>
  <c r="U65" i="1"/>
  <c r="U64" i="1"/>
  <c r="P64" i="1"/>
  <c r="P63" i="1"/>
  <c r="P62" i="1"/>
  <c r="P61" i="1"/>
  <c r="P60" i="1"/>
  <c r="P59" i="1"/>
  <c r="P58" i="1"/>
  <c r="P57" i="1"/>
  <c r="P55" i="1"/>
  <c r="U54" i="1"/>
  <c r="P54" i="1"/>
  <c r="P53" i="1"/>
  <c r="P52" i="1"/>
  <c r="P51" i="1"/>
  <c r="P50" i="1"/>
  <c r="P49" i="1"/>
  <c r="P48" i="1"/>
  <c r="P47" i="1"/>
  <c r="P46" i="1"/>
  <c r="P45" i="1"/>
  <c r="P44" i="1"/>
  <c r="P42" i="1"/>
  <c r="P41" i="1"/>
  <c r="P38" i="1"/>
  <c r="P37" i="1"/>
  <c r="P36" i="1"/>
  <c r="P34" i="1"/>
  <c r="P33" i="1"/>
  <c r="P32" i="1"/>
  <c r="U31" i="1"/>
  <c r="P31" i="1"/>
  <c r="P28" i="1"/>
  <c r="P25" i="1"/>
  <c r="P24" i="1"/>
  <c r="P23" i="1"/>
  <c r="P22" i="1"/>
  <c r="P21" i="1"/>
  <c r="P20" i="1"/>
  <c r="P19" i="1"/>
  <c r="P18" i="1"/>
  <c r="P17" i="1"/>
  <c r="P16" i="1"/>
  <c r="P15" i="1"/>
  <c r="U14" i="1"/>
  <c r="U13" i="1"/>
  <c r="P13" i="1"/>
  <c r="U12" i="1"/>
  <c r="P12" i="1"/>
  <c r="U11" i="1"/>
  <c r="P11" i="1"/>
  <c r="U10" i="1"/>
  <c r="P10" i="1"/>
  <c r="U9" i="1"/>
  <c r="P9" i="1"/>
  <c r="U8" i="1"/>
  <c r="P8" i="1"/>
  <c r="U7" i="1"/>
  <c r="P7" i="1"/>
  <c r="U6" i="1"/>
  <c r="P6" i="1"/>
  <c r="U5" i="1"/>
  <c r="P5" i="1"/>
  <c r="U3" i="1"/>
  <c r="P3" i="1"/>
  <c r="U2" i="1"/>
  <c r="S2" i="1"/>
  <c r="P2" i="1"/>
  <c r="P501" i="1" l="1"/>
  <c r="P498" i="1"/>
  <c r="P495" i="1"/>
  <c r="P492" i="1"/>
  <c r="P486" i="1"/>
  <c r="P485" i="1"/>
  <c r="P467" i="1"/>
  <c r="P464" i="1"/>
  <c r="P462" i="1"/>
  <c r="P460" i="1"/>
  <c r="P454" i="1"/>
  <c r="P452" i="1"/>
  <c r="P451" i="1"/>
  <c r="P444" i="1"/>
  <c r="P442" i="1"/>
  <c r="P438" i="1"/>
  <c r="P437" i="1"/>
  <c r="P429" i="1"/>
  <c r="P426" i="1"/>
  <c r="P422" i="1"/>
  <c r="P397" i="1"/>
  <c r="P382" i="1"/>
  <c r="P381" i="1"/>
  <c r="P379" i="1"/>
  <c r="P369" i="1"/>
  <c r="P366" i="1"/>
  <c r="P365" i="1"/>
  <c r="P363" i="1"/>
  <c r="P359" i="1"/>
  <c r="P351" i="1"/>
  <c r="P350" i="1"/>
  <c r="P349" i="1"/>
  <c r="P345" i="1"/>
  <c r="P337" i="1"/>
  <c r="P328" i="1"/>
  <c r="P326" i="1"/>
  <c r="P325" i="1"/>
  <c r="P323" i="1"/>
  <c r="P319" i="1"/>
  <c r="P293" i="1"/>
  <c r="P292" i="1"/>
  <c r="P286" i="1"/>
  <c r="P277" i="1"/>
  <c r="P265" i="1"/>
  <c r="P261" i="1"/>
  <c r="P260" i="1"/>
  <c r="P256" i="1"/>
  <c r="P252" i="1"/>
  <c r="P251" i="1"/>
  <c r="P246" i="1"/>
  <c r="P243" i="1"/>
  <c r="P241" i="1"/>
  <c r="P232" i="1"/>
  <c r="P227" i="1"/>
  <c r="P225" i="1"/>
  <c r="P221" i="1"/>
  <c r="P213" i="1"/>
  <c r="P208" i="1"/>
  <c r="P207" i="1"/>
  <c r="P204" i="1"/>
  <c r="P200" i="1"/>
  <c r="P199" i="1"/>
  <c r="P197" i="1"/>
  <c r="P193" i="1"/>
  <c r="P188" i="1"/>
  <c r="P186" i="1"/>
  <c r="P184" i="1"/>
  <c r="P182" i="1"/>
  <c r="P181" i="1"/>
  <c r="P172" i="1"/>
  <c r="P169" i="1"/>
  <c r="P165" i="1"/>
  <c r="P162" i="1"/>
  <c r="P161" i="1"/>
  <c r="P160" i="1"/>
  <c r="P159" i="1"/>
  <c r="P155" i="1"/>
  <c r="P132" i="1"/>
  <c r="P128" i="1"/>
  <c r="P126" i="1"/>
  <c r="P119" i="1"/>
  <c r="P118" i="1"/>
  <c r="P114" i="1"/>
  <c r="P111" i="1"/>
  <c r="P99" i="1"/>
  <c r="P89" i="1"/>
  <c r="P84" i="1"/>
  <c r="P83" i="1"/>
  <c r="P82" i="1"/>
  <c r="P81" i="1"/>
  <c r="P80" i="1"/>
  <c r="P75" i="1"/>
  <c r="P73" i="1"/>
  <c r="P71" i="1"/>
  <c r="P67" i="1"/>
  <c r="P65" i="1"/>
  <c r="P56" i="1"/>
  <c r="P43" i="1"/>
  <c r="P40" i="1"/>
  <c r="P39" i="1"/>
  <c r="P35" i="1"/>
  <c r="P30" i="1"/>
  <c r="P29" i="1"/>
  <c r="P27" i="1"/>
  <c r="P26" i="1"/>
  <c r="P14" i="1"/>
  <c r="P4" i="1"/>
  <c r="W186" i="5" a="1"/>
  <c r="W383" i="5" a="1"/>
  <c r="W252" i="1" a="1"/>
  <c r="W397" i="5" a="1"/>
  <c r="W241" i="5" a="1"/>
  <c r="W336" i="1" a="1"/>
  <c r="W318" i="1" a="1"/>
  <c r="W219" i="5" a="1"/>
  <c r="W185" i="5" a="1"/>
  <c r="W386" i="1" a="1"/>
  <c r="W459" i="1" a="1"/>
  <c r="W443" i="1" a="1"/>
  <c r="W389" i="1" a="1"/>
  <c r="W147" i="5" a="1"/>
  <c r="W345" i="5" a="1"/>
  <c r="W195" i="1" a="1"/>
  <c r="W497" i="1" a="1"/>
  <c r="W486" i="5" a="1"/>
  <c r="W360" i="5" a="1"/>
  <c r="W369" i="1" a="1"/>
  <c r="W162" i="1" a="1"/>
  <c r="W405" i="1" a="1"/>
  <c r="W405" i="5" a="1"/>
  <c r="W406" i="1" a="1"/>
  <c r="W48" i="5" a="1"/>
  <c r="W440" i="5" a="1"/>
  <c r="W266" i="5" a="1"/>
  <c r="W30" i="5" a="1"/>
  <c r="W267" i="5" a="1"/>
  <c r="W238" i="5" a="1"/>
  <c r="W291" i="5" a="1"/>
  <c r="W394" i="5" a="1"/>
  <c r="W221" i="5" a="1"/>
  <c r="W132" i="1" a="1"/>
  <c r="W35" i="1" a="1"/>
  <c r="W24" i="5" a="1"/>
  <c r="W307" i="5" a="1"/>
  <c r="W183" i="5" a="1"/>
  <c r="W303" i="5" a="1"/>
  <c r="W121" i="5" a="1"/>
  <c r="W404" i="1" a="1"/>
  <c r="W100" i="1" a="1"/>
  <c r="W396" i="5" a="1"/>
  <c r="W499" i="5" a="1"/>
  <c r="W273" i="5" a="1"/>
  <c r="W419" i="5" a="1"/>
  <c r="W438" i="1" a="1"/>
  <c r="W32" i="5" a="1"/>
  <c r="W362" i="1" a="1"/>
  <c r="W323" i="5" a="1"/>
  <c r="W420" i="5" a="1"/>
  <c r="W287" i="5" a="1"/>
  <c r="W265" i="5" a="1"/>
  <c r="W167" i="5" a="1"/>
  <c r="W243" i="5" a="1"/>
  <c r="W210" i="5" a="1"/>
  <c r="W329" i="5" a="1"/>
  <c r="W64" i="5" a="1"/>
  <c r="W51" i="5" a="1"/>
  <c r="W292" i="5" a="1"/>
  <c r="W339" i="5" a="1"/>
  <c r="W335" i="5" a="1"/>
  <c r="W197" i="5" a="1"/>
  <c r="W151" i="1" a="1"/>
  <c r="W89" i="1" a="1"/>
  <c r="W99" i="1" a="1"/>
  <c r="W167" i="1" a="1"/>
  <c r="W206" i="1" a="1"/>
  <c r="W131" i="1" a="1"/>
  <c r="W94" i="1" a="1"/>
  <c r="W104" i="1" a="1"/>
  <c r="W307" i="1" a="1"/>
  <c r="W461" i="1" a="1"/>
  <c r="W466" i="1" a="1"/>
  <c r="W74" i="1" a="1"/>
  <c r="W82" i="1" a="1"/>
  <c r="W138" i="1" a="1"/>
  <c r="W178" i="1" a="1"/>
  <c r="W54" i="1" a="1"/>
  <c r="W428" i="1" a="1"/>
  <c r="W424" i="1" a="1"/>
  <c r="W223" i="1" a="1"/>
  <c r="W429" i="1" a="1"/>
  <c r="W110" i="1" a="1"/>
  <c r="W204" i="1" a="1"/>
  <c r="W215" i="1" a="1"/>
  <c r="W83" i="1" a="1"/>
  <c r="W46" i="1" a="1"/>
  <c r="W204" i="5" a="1"/>
  <c r="W401" i="1" a="1"/>
  <c r="W103" i="1" a="1"/>
  <c r="W172" i="1" a="1"/>
  <c r="W155" i="1" a="1"/>
  <c r="W176" i="1" a="1"/>
  <c r="W115" i="1" a="1"/>
  <c r="W158" i="1" a="1"/>
  <c r="W191" i="1" a="1"/>
  <c r="W187" i="1" a="1"/>
  <c r="W259" i="1" a="1"/>
  <c r="W303" i="1" a="1"/>
  <c r="W468" i="1" a="1"/>
  <c r="W452" i="1" a="1"/>
  <c r="W144" i="1" a="1"/>
  <c r="W354" i="1" a="1"/>
  <c r="W201" i="1" a="1"/>
  <c r="W379" i="5" a="1"/>
  <c r="W200" i="5" a="1"/>
  <c r="W374" i="1" a="1"/>
  <c r="W3" i="5" a="1"/>
  <c r="W34" i="5" a="1"/>
  <c r="W132" i="5" a="1"/>
  <c r="W212" i="5" a="1"/>
  <c r="W43" i="5" a="1"/>
  <c r="W244" i="5" a="1"/>
  <c r="W18" i="5" a="1"/>
  <c r="W417" i="5" a="1"/>
  <c r="W198" i="1" a="1"/>
  <c r="W146" i="5" a="1"/>
  <c r="W312" i="5" a="1"/>
  <c r="W407" i="5" a="1"/>
  <c r="W76" i="5" a="1"/>
  <c r="W133" i="5" a="1"/>
  <c r="W96" i="5" a="1"/>
  <c r="W220" i="1" a="1"/>
  <c r="W143" i="1" a="1"/>
  <c r="W453" i="1" a="1"/>
  <c r="W247" i="1" a="1"/>
  <c r="W426" i="5" a="1"/>
  <c r="W299" i="5" a="1"/>
  <c r="W428" i="5" a="1"/>
  <c r="W286" i="1" a="1"/>
  <c r="W344" i="5" a="1"/>
  <c r="W476" i="5" a="1"/>
  <c r="W383" i="1" a="1"/>
  <c r="W366" i="5" a="1"/>
  <c r="W161" i="5" a="1"/>
  <c r="W247" i="5" a="1"/>
  <c r="W101" i="5" a="1"/>
  <c r="W150" i="1" a="1"/>
  <c r="W360" i="1" a="1"/>
  <c r="W421" i="1" a="1"/>
  <c r="W257" i="5" a="1"/>
  <c r="W361" i="5" a="1"/>
  <c r="W331" i="5" a="1"/>
  <c r="W153" i="5" a="1"/>
  <c r="W194" i="5" a="1"/>
  <c r="W498" i="5" a="1"/>
  <c r="W380" i="1" a="1"/>
  <c r="W483" i="1" a="1"/>
  <c r="W117" i="5" a="1"/>
  <c r="W243" i="1" a="1"/>
  <c r="W445" i="1" a="1"/>
  <c r="W199" i="1" a="1"/>
  <c r="W299" i="1" a="1"/>
  <c r="W309" i="1" a="1"/>
  <c r="W20" i="5" a="1"/>
  <c r="W174" i="5" a="1"/>
  <c r="W37" i="5" a="1"/>
  <c r="W278" i="5" a="1"/>
  <c r="W456" i="5" a="1"/>
  <c r="W450" i="1" a="1"/>
  <c r="W333" i="5" a="1"/>
  <c r="W271" i="5" a="1"/>
  <c r="W480" i="5" a="1"/>
  <c r="W470" i="1" a="1"/>
  <c r="W163" i="5" a="1"/>
  <c r="W252" i="5" a="1"/>
  <c r="W359" i="5" a="1"/>
  <c r="W497" i="5" a="1"/>
  <c r="W362" i="5" a="1"/>
  <c r="W197" i="1" a="1"/>
  <c r="W185" i="1" a="1"/>
  <c r="W283" i="5" a="1"/>
  <c r="W41" i="5" a="1"/>
  <c r="W44" i="5" a="1"/>
  <c r="W286" i="5" a="1"/>
  <c r="W52" i="5" a="1"/>
  <c r="W366" i="1" a="1"/>
  <c r="W470" i="5" a="1"/>
  <c r="W184" i="5" a="1"/>
  <c r="W482" i="1" a="1"/>
  <c r="W283" i="1" a="1"/>
  <c r="W308" i="5" a="1"/>
  <c r="W432" i="1" a="1"/>
  <c r="W327" i="5" a="1"/>
  <c r="W358" i="5" a="1"/>
  <c r="W120" i="1" a="1"/>
  <c r="W262" i="1" a="1"/>
  <c r="W36" i="5" a="1"/>
  <c r="W393" i="1" a="1"/>
  <c r="W77" i="1" a="1"/>
  <c r="W53" i="1" a="1"/>
  <c r="W101" i="1" a="1"/>
  <c r="W130" i="1" a="1"/>
  <c r="W71" i="1" a="1"/>
  <c r="W183" i="1" a="1"/>
  <c r="W37" i="1" a="1"/>
  <c r="W63" i="1" a="1"/>
  <c r="W51" i="1" a="1"/>
  <c r="W80" i="1" a="1"/>
  <c r="W473" i="1" a="1"/>
  <c r="W106" i="5" a="1"/>
  <c r="W396" i="1" a="1"/>
  <c r="W308" i="1" a="1"/>
  <c r="W81" i="1" a="1"/>
  <c r="W149" i="1" a="1"/>
  <c r="W280" i="1" a="1"/>
  <c r="W465" i="1" a="1"/>
  <c r="W180" i="1" a="1"/>
  <c r="W87" i="1" a="1"/>
  <c r="W58" i="1" a="1"/>
  <c r="W186" i="1" a="1"/>
  <c r="W311" i="1" a="1"/>
  <c r="W306" i="5" a="1"/>
  <c r="W341" i="5" a="1"/>
  <c r="W328" i="1" a="1"/>
  <c r="W349" i="1" a="1"/>
  <c r="W124" i="5" a="1"/>
  <c r="W467" i="5" a="1"/>
  <c r="W320" i="5" a="1"/>
  <c r="W314" i="1" a="1"/>
  <c r="W218" i="1" a="1"/>
  <c r="W133" i="1" a="1"/>
  <c r="W217" i="1" a="1"/>
  <c r="W454" i="1" a="1"/>
  <c r="W100" i="5" a="1"/>
  <c r="W338" i="5" a="1"/>
  <c r="W195" i="5" a="1"/>
  <c r="W332" i="5" a="1"/>
  <c r="W142" i="1" a="1"/>
  <c r="W232" i="5" a="1"/>
  <c r="W33" i="5" a="1"/>
  <c r="W265" i="1" a="1"/>
  <c r="W337" i="1" a="1"/>
  <c r="W358" i="1" a="1"/>
  <c r="W177" i="1" a="1"/>
  <c r="W474" i="5" a="1"/>
  <c r="W105" i="5" a="1"/>
  <c r="W494" i="5" a="1"/>
  <c r="W489" i="5" a="1"/>
  <c r="W180" i="5" a="1"/>
  <c r="W62" i="1" a="1"/>
  <c r="W379" i="1" a="1"/>
  <c r="W98" i="5" a="1"/>
  <c r="W447" i="1" a="1"/>
  <c r="W173" i="1" a="1"/>
  <c r="W371" i="1" a="1"/>
  <c r="W404" i="5" a="1"/>
  <c r="W443" i="5" a="1"/>
  <c r="W305" i="5" a="1"/>
  <c r="W112" i="5" a="1"/>
  <c r="W487" i="1" a="1"/>
  <c r="W157" i="5" a="1"/>
  <c r="W415" i="5" a="1"/>
  <c r="W135" i="1" a="1"/>
  <c r="W480" i="1" a="1"/>
  <c r="W269" i="1" a="1"/>
  <c r="W188" i="1" a="1"/>
  <c r="W87" i="5" a="1"/>
  <c r="W136" i="1" a="1"/>
  <c r="W326" i="5" a="1"/>
  <c r="W14" i="5" a="1"/>
  <c r="W4" i="5" a="1"/>
  <c r="W13" i="5" a="1"/>
  <c r="W104" i="5" a="1"/>
  <c r="W35" i="5" a="1"/>
  <c r="W473" i="5" a="1"/>
  <c r="W212" i="1" a="1"/>
  <c r="W352" i="5" a="1"/>
  <c r="W191" i="5" a="1"/>
  <c r="W381" i="5" a="1"/>
  <c r="W289" i="5" a="1"/>
  <c r="W448" i="5" a="1"/>
  <c r="W442" i="1" a="1"/>
  <c r="W441" i="5" a="1"/>
  <c r="W254" i="5" a="1"/>
  <c r="W6" i="5" a="1"/>
  <c r="W348" i="1" a="1"/>
  <c r="W234" i="5" a="1"/>
  <c r="W154" i="5" a="1"/>
  <c r="W65" i="5" a="1"/>
  <c r="W188" i="5" a="1"/>
  <c r="W263" i="5" a="1"/>
  <c r="W79" i="1" a="1"/>
  <c r="W250" i="5" a="1"/>
  <c r="W75" i="1" a="1"/>
  <c r="W246" i="1" a="1"/>
  <c r="W231" i="1" a="1"/>
  <c r="W49" i="1" a="1"/>
  <c r="W70" i="1" a="1"/>
  <c r="W47" i="1" a="1"/>
  <c r="W441" i="1" a="1"/>
  <c r="W290" i="1" a="1"/>
  <c r="W248" i="1" a="1"/>
  <c r="W141" i="1" a="1"/>
  <c r="W463" i="1" a="1"/>
  <c r="W370" i="1" a="1"/>
  <c r="W348" i="5" a="1"/>
  <c r="W263" i="1" a="1"/>
  <c r="W262" i="5" a="1"/>
  <c r="W382" i="1" a="1"/>
  <c r="W48" i="1" a="1"/>
  <c r="W331" i="1" a="1"/>
  <c r="W433" i="1" a="1"/>
  <c r="W322" i="1" a="1"/>
  <c r="W373" i="5" a="1"/>
  <c r="W282" i="5" a="1"/>
  <c r="W365" i="1" a="1"/>
  <c r="W319" i="1" a="1"/>
  <c r="W154" i="1" a="1"/>
  <c r="W370" i="5" a="1"/>
  <c r="W179" i="1" a="1"/>
  <c r="W226" i="5" a="1"/>
  <c r="W351" i="1" a="1"/>
  <c r="W350" i="1" a="1"/>
  <c r="W403" i="5" a="1"/>
  <c r="W407" i="1" a="1"/>
  <c r="W411" i="5" a="1"/>
  <c r="W284" i="5" a="1"/>
  <c r="W294" i="5" a="1"/>
  <c r="W137" i="5" a="1"/>
  <c r="W127" i="1" a="1"/>
  <c r="W439" i="5" a="1"/>
  <c r="W190" i="1" a="1"/>
  <c r="W446" i="5" a="1"/>
  <c r="W28" i="5" a="1"/>
  <c r="W168" i="5" a="1"/>
  <c r="W102" i="5" a="1"/>
  <c r="W126" i="5" a="1"/>
  <c r="W108" i="5" a="1"/>
  <c r="W330" i="5" a="1"/>
  <c r="W291" i="1" a="1"/>
  <c r="W381" i="1" a="1"/>
  <c r="W142" i="5" a="1"/>
  <c r="W162" i="5" a="1"/>
  <c r="W408" i="5" a="1"/>
  <c r="W313" i="5" a="1"/>
  <c r="W276" i="5" a="1"/>
  <c r="W202" i="5" a="1"/>
  <c r="W206" i="5" a="1"/>
  <c r="W466" i="5" a="1"/>
  <c r="W439" i="1" a="1"/>
  <c r="W492" i="1" a="1"/>
  <c r="W457" i="1" a="1"/>
  <c r="W205" i="1" a="1"/>
  <c r="W176" i="5" a="1"/>
  <c r="W128" i="5" a="1"/>
  <c r="W450" i="5" a="1"/>
  <c r="W116" i="5" a="1"/>
  <c r="W325" i="5" a="1"/>
  <c r="W177" i="5" a="1"/>
  <c r="W31" i="5" a="1"/>
  <c r="W67" i="5" a="1"/>
  <c r="W372" i="1" a="1"/>
  <c r="W371" i="5" a="1"/>
  <c r="W437" i="5" a="1"/>
  <c r="W2" i="5" a="1"/>
  <c r="W21" i="5" a="1"/>
  <c r="W221" i="1" a="1"/>
  <c r="W432" i="5" a="1"/>
  <c r="W54" i="5" a="1"/>
  <c r="W237" i="1" a="1"/>
  <c r="W353" i="5" a="1"/>
  <c r="W107" i="5" a="1"/>
  <c r="W460" i="1" a="1"/>
  <c r="W472" i="5" a="1"/>
  <c r="W166" i="1" a="1"/>
  <c r="W7" i="5" a="1"/>
  <c r="W330" i="1" a="1"/>
  <c r="W461" i="5" a="1"/>
  <c r="W97" i="1" a="1"/>
  <c r="W214" i="5" a="1"/>
  <c r="W238" i="1" a="1"/>
  <c r="W427" i="1" a="1"/>
  <c r="W239" i="1" a="1"/>
  <c r="W90" i="1" a="1"/>
  <c r="W216" i="1" a="1"/>
  <c r="W61" i="1" a="1"/>
  <c r="W288" i="1" a="1"/>
  <c r="W224" i="1" a="1"/>
  <c r="W78" i="1" a="1"/>
  <c r="W259" i="5" a="1"/>
  <c r="W143" i="5" a="1"/>
  <c r="W367" i="5" a="1"/>
  <c r="W166" i="5" a="1"/>
  <c r="W297" i="5" a="1"/>
  <c r="W26" i="5" a="1"/>
  <c r="W264" i="5" a="1"/>
  <c r="W433" i="5" a="1"/>
  <c r="W174" i="1" a="1"/>
  <c r="W77" i="5" a="1"/>
  <c r="W278" i="1" a="1"/>
  <c r="W153" i="1" a="1"/>
  <c r="W56" i="5" a="1"/>
  <c r="W237" i="5" a="1"/>
  <c r="W170" i="5" a="1"/>
  <c r="W40" i="5" a="1"/>
  <c r="W436" i="5" a="1"/>
  <c r="W22" i="5" a="1"/>
  <c r="W384" i="5" a="1"/>
  <c r="W363" i="5" a="1"/>
  <c r="W400" i="5" a="1"/>
  <c r="W293" i="1" a="1"/>
  <c r="W115" i="5" a="1"/>
  <c r="W388" i="5" a="1"/>
  <c r="W71" i="5" a="1"/>
  <c r="W368" i="5" a="1"/>
  <c r="W73" i="5" a="1"/>
  <c r="W81" i="5" a="1"/>
  <c r="W392" i="5" a="1"/>
  <c r="W119" i="5" a="1"/>
  <c r="W469" i="5" a="1"/>
  <c r="W367" i="1" a="1"/>
  <c r="W225" i="5" a="1"/>
  <c r="W302" i="1" a="1"/>
  <c r="W275" i="5" a="1"/>
  <c r="W172" i="5" a="1"/>
  <c r="W139" i="1" a="1"/>
  <c r="W395" i="5" a="1"/>
  <c r="W118" i="5" a="1"/>
  <c r="W332" i="1" a="1"/>
  <c r="W452" i="5" a="1"/>
  <c r="W500" i="5" a="1"/>
  <c r="W145" i="1" a="1"/>
  <c r="W323" i="1" a="1"/>
  <c r="W458" i="1" a="1"/>
  <c r="W88" i="5" a="1"/>
  <c r="W218" i="5" a="1"/>
  <c r="W73" i="1" a="1"/>
  <c r="W250" i="1" a="1"/>
  <c r="W408" i="1" a="1"/>
  <c r="W389" i="5" a="1"/>
  <c r="W11" i="5" a="1"/>
  <c r="W113" i="5" a="1"/>
  <c r="W208" i="5" a="1"/>
  <c r="W398" i="1" a="1"/>
  <c r="W258" i="1" a="1"/>
  <c r="W478" i="5" a="1"/>
  <c r="W89" i="5" a="1"/>
  <c r="W240" i="5" a="1"/>
  <c r="W287" i="1" a="1"/>
  <c r="W168" i="1" a="1"/>
  <c r="W460" i="5" a="1"/>
  <c r="W416" i="1" a="1"/>
  <c r="W416" i="5" a="1"/>
  <c r="W151" i="5" a="1"/>
  <c r="W92" i="5" a="1"/>
  <c r="W199" i="5" a="1"/>
  <c r="W209" i="1" a="1"/>
  <c r="W193" i="5" a="1"/>
  <c r="W481" i="5" a="1"/>
  <c r="W316" i="1" a="1"/>
  <c r="W227" i="5" a="1"/>
  <c r="W279" i="5" a="1"/>
  <c r="W337" i="5" a="1"/>
  <c r="W42" i="1" a="1"/>
  <c r="W57" i="1" a="1"/>
  <c r="W320" i="1" a="1"/>
  <c r="W451" i="1" a="1"/>
  <c r="W493" i="1" a="1"/>
  <c r="W66" i="1" a="1"/>
  <c r="W236" i="1" a="1"/>
  <c r="W39" i="1" a="1"/>
  <c r="W249" i="1" a="1"/>
  <c r="W434" i="1" a="1"/>
  <c r="W351" i="5" a="1"/>
  <c r="W355" i="5" a="1"/>
  <c r="W311" i="5" a="1"/>
  <c r="W302" i="5" a="1"/>
  <c r="W123" i="5" a="1"/>
  <c r="W46" i="5" a="1"/>
  <c r="W141" i="5" a="1"/>
  <c r="W235" i="5" a="1"/>
  <c r="W363" i="1" a="1"/>
  <c r="W233" i="5" a="1"/>
  <c r="W258" i="5" a="1"/>
  <c r="W146" i="1" a="1"/>
  <c r="W499" i="1" a="1"/>
  <c r="W117" i="1" a="1"/>
  <c r="W479" i="5" a="1"/>
  <c r="W492" i="5" a="1"/>
  <c r="W328" i="5" a="1"/>
  <c r="W356" i="5" a="1"/>
  <c r="W485" i="5" a="1"/>
  <c r="W66" i="5" a="1"/>
  <c r="W257" i="1" a="1"/>
  <c r="W464" i="5" a="1"/>
  <c r="W369" i="5" a="1"/>
  <c r="W10" i="5" a="1"/>
  <c r="W313" i="1" a="1"/>
  <c r="W484" i="1" a="1"/>
  <c r="W211" i="1" a="1"/>
  <c r="W148" i="5" a="1"/>
  <c r="W63" i="5" a="1"/>
  <c r="W269" i="5" a="1"/>
  <c r="W253" i="1" a="1"/>
  <c r="W385" i="1" a="1"/>
  <c r="W39" i="5" a="1"/>
  <c r="W209" i="5" a="1"/>
  <c r="W391" i="1" a="1"/>
  <c r="W200" i="1" a="1"/>
  <c r="W140" i="5" a="1"/>
  <c r="W240" i="1" a="1"/>
  <c r="W203" i="5" a="1"/>
  <c r="W95" i="5" a="1"/>
  <c r="W261" i="1" a="1"/>
  <c r="W304" i="5" a="1"/>
  <c r="W109" i="5" a="1"/>
  <c r="W394" i="1" a="1"/>
  <c r="W342" i="1" a="1"/>
  <c r="W9" i="5" a="1"/>
  <c r="W294" i="1" a="1"/>
  <c r="W274" i="5" a="1"/>
  <c r="W377" i="5" a="1"/>
  <c r="W414" i="1" a="1"/>
  <c r="W192" i="1" a="1"/>
  <c r="W501" i="5" a="1"/>
  <c r="W434" i="5" a="1"/>
  <c r="W340" i="5" a="1"/>
  <c r="W312" i="1" a="1"/>
  <c r="W372" i="5" a="1"/>
  <c r="W325" i="1" a="1"/>
  <c r="W449" i="5" a="1"/>
  <c r="W449" i="1" a="1"/>
  <c r="W442" i="5" a="1"/>
  <c r="W285" i="5" a="1"/>
  <c r="W277" i="5" a="1"/>
  <c r="W453" i="5" a="1"/>
  <c r="W273" i="1" a="1"/>
  <c r="W196" i="5" a="1"/>
  <c r="W198" i="5" a="1"/>
  <c r="W44" i="1" a="1"/>
  <c r="W59" i="5" a="1"/>
  <c r="W159" i="5" a="1"/>
  <c r="W482" i="5" a="1"/>
  <c r="W329" i="1" a="1"/>
  <c r="W266" i="1" a="1"/>
  <c r="W189" i="5" a="1"/>
  <c r="W445" i="5" a="1"/>
  <c r="W418" i="1" a="1"/>
  <c r="W79" i="5" a="1"/>
  <c r="W271" i="1" a="1"/>
  <c r="W255" i="1" a="1"/>
  <c r="W400" i="1" a="1"/>
  <c r="W444" i="1" a="1"/>
  <c r="W137" i="1" a="1"/>
  <c r="W343" i="1" a="1"/>
  <c r="W232" i="1" a="1"/>
  <c r="W326" i="1" a="1"/>
  <c r="W121" i="1" a="1"/>
  <c r="W233" i="1" a="1"/>
  <c r="W64" i="1" a="1"/>
  <c r="W478" i="1" a="1"/>
  <c r="W69" i="1" a="1"/>
  <c r="W85" i="1" a="1"/>
  <c r="W228" i="1" a="1"/>
  <c r="W119" i="1" a="1"/>
  <c r="W114" i="1" a="1"/>
  <c r="W159" i="1" a="1"/>
  <c r="W91" i="1" a="1"/>
  <c r="W375" i="5" a="1"/>
  <c r="W231" i="5" a="1"/>
  <c r="W354" i="5" a="1"/>
  <c r="W284" i="1" a="1"/>
  <c r="W163" i="1" a="1"/>
  <c r="W210" i="1" a="1"/>
  <c r="W156" i="5" a="1"/>
  <c r="W126" i="1" a="1"/>
  <c r="W378" i="5" a="1"/>
  <c r="W463" i="5" a="1"/>
  <c r="W334" i="5" a="1"/>
  <c r="W318" i="5" a="1"/>
  <c r="W327" i="1" a="1"/>
  <c r="W418" i="5" a="1"/>
  <c r="W415" i="1" a="1"/>
  <c r="W343" i="5" a="1"/>
  <c r="W75" i="5" a="1"/>
  <c r="W131" i="5" a="1"/>
  <c r="W382" i="5" a="1"/>
  <c r="W95" i="1" a="1"/>
  <c r="W413" i="5" a="1"/>
  <c r="W430" i="1" a="1"/>
  <c r="W158" i="5" a="1"/>
  <c r="W228" i="5" a="1"/>
  <c r="W301" i="5" a="1"/>
  <c r="W403" i="1" a="1"/>
  <c r="W72" i="5" a="1"/>
  <c r="W182" i="5" a="1"/>
  <c r="W190" i="5" a="1"/>
  <c r="W169" i="5" a="1"/>
  <c r="W282" i="1" a="1"/>
  <c r="W459" i="5" a="1"/>
  <c r="W481" i="1" a="1"/>
  <c r="W357" i="1" a="1"/>
  <c r="W387" i="5" a="1"/>
  <c r="W192" i="5" a="1"/>
  <c r="W300" i="5" a="1"/>
  <c r="W118" i="1" a="1"/>
  <c r="W114" i="5" a="1"/>
  <c r="W175" i="5" a="1"/>
  <c r="W364" i="5" a="1"/>
  <c r="W296" i="5" a="1"/>
  <c r="W225" i="1" a="1"/>
  <c r="W122" i="5" a="1"/>
  <c r="W285" i="1" a="1"/>
  <c r="W53" i="5" a="1"/>
  <c r="W376" i="1" a="1"/>
  <c r="W255" i="5" a="1"/>
  <c r="W205" i="5" a="1"/>
  <c r="W435" i="5" a="1"/>
  <c r="W171" i="5" a="1"/>
  <c r="W125" i="5" a="1"/>
  <c r="W246" i="5" a="1"/>
  <c r="W130" i="5" a="1"/>
  <c r="W361" i="1" a="1"/>
  <c r="W8" i="5" a="1"/>
  <c r="W409" i="5" a="1"/>
  <c r="W97" i="5" a="1"/>
  <c r="W500" i="1" a="1"/>
  <c r="W315" i="5" a="1"/>
  <c r="W384" i="1" a="1"/>
  <c r="W150" i="5" a="1"/>
  <c r="W43" i="1" a="1"/>
  <c r="W245" i="5" a="1"/>
  <c r="W317" i="5" a="1"/>
  <c r="W336" i="5" a="1"/>
  <c r="W19" i="5" a="1"/>
  <c r="W68" i="5" a="1"/>
  <c r="W359" i="1" a="1"/>
  <c r="W364" i="1" a="1"/>
  <c r="W128" i="1" a="1"/>
  <c r="W65" i="1" a="1"/>
  <c r="W171" i="1" a="1"/>
  <c r="W464" i="1" a="1"/>
  <c r="W129" i="1" a="1"/>
  <c r="W59" i="1" a="1"/>
  <c r="W175" i="1" a="1"/>
  <c r="W84" i="1" a="1"/>
  <c r="W86" i="1" a="1"/>
  <c r="W426" i="1" a="1"/>
  <c r="W50" i="1" a="1"/>
  <c r="W68" i="1" a="1"/>
  <c r="W268" i="1" a="1"/>
  <c r="W352" i="1" a="1"/>
  <c r="W165" i="1" a="1"/>
  <c r="W339" i="1" a="1"/>
  <c r="W111" i="1" a="1"/>
  <c r="W92" i="1" a="1"/>
  <c r="W229" i="1" a="1"/>
  <c r="W275" i="1" a="1"/>
  <c r="W310" i="1" a="1"/>
  <c r="W107" i="1" a="1"/>
  <c r="W411" i="1" a="1"/>
  <c r="W45" i="1" a="1"/>
  <c r="W281" i="5" a="1"/>
  <c r="W76" i="1" a="1"/>
  <c r="W179" i="5" a="1"/>
  <c r="W488" i="1" a="1"/>
  <c r="W468" i="5" a="1"/>
  <c r="W230" i="5" a="1"/>
  <c r="W268" i="5" a="1"/>
  <c r="W5" i="5" a="1"/>
  <c r="W414" i="5" a="1"/>
  <c r="W421" i="5" a="1"/>
  <c r="W45" i="5" a="1"/>
  <c r="W491" i="5" a="1"/>
  <c r="W319" i="5" a="1"/>
  <c r="W306" i="1" a="1"/>
  <c r="W446" i="1" a="1"/>
  <c r="W467" i="1" a="1"/>
  <c r="W417" i="1" a="1"/>
  <c r="W402" i="1" a="1"/>
  <c r="W314" i="5" a="1"/>
  <c r="W164" i="1" a="1"/>
  <c r="W47" i="5" a="1"/>
  <c r="W448" i="1" a="1"/>
  <c r="W477" i="5" a="1"/>
  <c r="W483" i="5" a="1"/>
  <c r="W134" i="1" a="1"/>
  <c r="W98" i="1" a="1"/>
  <c r="W38" i="1" a="1"/>
  <c r="W260" i="1" a="1"/>
  <c r="W501" i="1" a="1"/>
  <c r="W317" i="1" a="1"/>
  <c r="W187" i="5" a="1"/>
  <c r="W420" i="1" a="1"/>
  <c r="W490" i="5" a="1"/>
  <c r="W475" i="1" a="1"/>
  <c r="W148" i="1" a="1"/>
  <c r="W261" i="5" a="1"/>
  <c r="W425" i="1" a="1"/>
  <c r="W220" i="5" a="1"/>
  <c r="W350" i="5" a="1"/>
  <c r="W169" i="1" a="1"/>
  <c r="W213" i="5" a="1"/>
  <c r="W149" i="5" a="1"/>
  <c r="W110" i="5" a="1"/>
  <c r="W334" i="1" a="1"/>
  <c r="W427" i="5" a="1"/>
  <c r="W38" i="5" a="1"/>
  <c r="W375" i="1" a="1"/>
  <c r="W309" i="5" a="1"/>
  <c r="W458" i="5" a="1"/>
  <c r="W61" i="5" a="1"/>
  <c r="W280" i="5" a="1"/>
  <c r="W217" i="5" a="1"/>
  <c r="W244" i="1" a="1"/>
  <c r="W85" i="5" a="1"/>
  <c r="W295" i="1" a="1"/>
  <c r="W125" i="1" a="1"/>
  <c r="W82" i="5" a="1"/>
  <c r="W152" i="1" a="1"/>
  <c r="W321" i="1" a="1"/>
  <c r="W136" i="5" a="1"/>
  <c r="W455" i="1" a="1"/>
  <c r="W498" i="1" a="1"/>
  <c r="W16" i="5" a="1"/>
  <c r="W215" i="5" a="1"/>
  <c r="W475" i="5" a="1"/>
  <c r="W91" i="5" a="1"/>
  <c r="W451" i="5" a="1"/>
  <c r="W447" i="5" a="1"/>
  <c r="W29" i="5" a="1"/>
  <c r="W490" i="1" a="1"/>
  <c r="W129" i="5" a="1"/>
  <c r="W17" i="5" a="1"/>
  <c r="W374" i="5" a="1"/>
  <c r="W25" i="5" a="1"/>
  <c r="W213" i="1" a="1"/>
  <c r="W378" i="1" a="1"/>
  <c r="W390" i="5" a="1"/>
  <c r="W272" i="5" a="1"/>
  <c r="W50" i="5" a="1"/>
  <c r="W248" i="5" a="1"/>
  <c r="W491" i="1" a="1"/>
  <c r="W157" i="1" a="1"/>
  <c r="W270" i="1" a="1"/>
  <c r="W249" i="5" a="1"/>
  <c r="W211" i="5" a="1"/>
  <c r="W160" i="5" a="1"/>
  <c r="W293" i="5" a="1"/>
  <c r="W423" i="1" a="1"/>
  <c r="W465" i="5" a="1"/>
  <c r="W230" i="1" a="1"/>
  <c r="W103" i="5" a="1"/>
  <c r="W189" i="1" a="1"/>
  <c r="W72" i="1" a="1"/>
  <c r="W102" i="1" a="1"/>
  <c r="W315" i="1" a="1"/>
  <c r="W289" i="1" a="1"/>
  <c r="W55" i="1" a="1"/>
  <c r="W412" i="1" a="1"/>
  <c r="W234" i="1" a="1"/>
  <c r="W305" i="1" a="1"/>
  <c r="W419" i="1" a="1"/>
  <c r="W241" i="1" a="1"/>
  <c r="W387" i="1" a="1"/>
  <c r="W479" i="1" a="1"/>
  <c r="W108" i="1" a="1"/>
  <c r="W422" i="1" a="1"/>
  <c r="W340" i="1" a="1"/>
  <c r="W202" i="1" a="1"/>
  <c r="W67" i="1" a="1"/>
  <c r="W161" i="1" a="1"/>
  <c r="W272" i="1" a="1"/>
  <c r="W140" i="1" a="1"/>
  <c r="W324" i="1" a="1"/>
  <c r="W472" i="1" a="1"/>
  <c r="W56" i="1" a="1"/>
  <c r="W52" i="1" a="1"/>
  <c r="W435" i="1" a="1"/>
  <c r="W182" i="1" a="1"/>
  <c r="W74" i="5" a="1"/>
  <c r="W239" i="5" a="1"/>
  <c r="W390" i="1" a="1"/>
  <c r="W160" i="1" a="1"/>
  <c r="W116" i="1" a="1"/>
  <c r="W251" i="5" a="1"/>
  <c r="W438" i="5" a="1"/>
  <c r="W485" i="1" a="1"/>
  <c r="W49" i="5" a="1"/>
  <c r="W429" i="5" a="1"/>
  <c r="W62" i="5" a="1"/>
  <c r="W164" i="5" a="1"/>
  <c r="W236" i="5" a="1"/>
  <c r="W353" i="1" a="1"/>
  <c r="W333" i="1" a="1"/>
  <c r="W219" i="1" a="1"/>
  <c r="W80" i="5" a="1"/>
  <c r="W471" i="5" a="1"/>
  <c r="W300" i="1" a="1"/>
  <c r="W147" i="1" a="1"/>
  <c r="W15" i="5" a="1"/>
  <c r="W277" i="1" a="1"/>
  <c r="W254" i="1" a="1"/>
  <c r="W355" i="1" a="1"/>
  <c r="W298" i="1" a="1"/>
  <c r="W96" i="1" a="1"/>
  <c r="W106" i="1" a="1"/>
  <c r="W120" i="5" a="1"/>
  <c r="W321" i="5" a="1"/>
  <c r="W155" i="5" a="1"/>
  <c r="W111" i="5" a="1"/>
  <c r="W397" i="1" a="1"/>
  <c r="W216" i="5" a="1"/>
  <c r="W178" i="5" a="1"/>
  <c r="W316" i="5" a="1"/>
  <c r="W454" i="5" a="1"/>
  <c r="W484" i="5" a="1"/>
  <c r="W346" i="5" a="1"/>
  <c r="W55" i="5" a="1"/>
  <c r="W264" i="1" a="1"/>
  <c r="W399" i="1" a="1"/>
  <c r="W222" i="5" a="1"/>
  <c r="W430" i="5" a="1"/>
  <c r="W409" i="1" a="1"/>
  <c r="W93" i="5" a="1"/>
  <c r="W455" i="5" a="1"/>
  <c r="W436" i="1" a="1"/>
  <c r="W58" i="5" a="1"/>
  <c r="W201" i="5" a="1"/>
  <c r="W134" i="5" a="1"/>
  <c r="W494" i="1" a="1"/>
  <c r="W347" i="5" a="1"/>
  <c r="W194" i="1" a="1"/>
  <c r="W229" i="5" a="1"/>
  <c r="W431" i="5" a="1"/>
  <c r="W156" i="1" a="1"/>
  <c r="W349" i="5" a="1"/>
  <c r="W496" i="5" a="1"/>
  <c r="W256" i="1" a="1"/>
  <c r="W127" i="5" a="1"/>
  <c r="W295" i="5" a="1"/>
  <c r="W196" i="1" a="1"/>
  <c r="W69" i="5" a="1"/>
  <c r="W493" i="5" a="1"/>
  <c r="W226" i="1" a="1"/>
  <c r="W376" i="5" a="1"/>
  <c r="W412" i="5" a="1"/>
  <c r="W279" i="1" a="1"/>
  <c r="W377" i="1" a="1"/>
  <c r="W139" i="5" a="1"/>
  <c r="W181" i="5" a="1"/>
  <c r="W207" i="5" a="1"/>
  <c r="W235" i="1" a="1"/>
  <c r="W406" i="5" a="1"/>
  <c r="W393" i="5" a="1"/>
  <c r="W324" i="5" a="1"/>
  <c r="W486" i="1" a="1"/>
  <c r="W253" i="5" a="1"/>
  <c r="W342" i="5" a="1"/>
  <c r="W301" i="1" a="1"/>
  <c r="W60" i="1" a="1"/>
  <c r="W424" i="5" a="1"/>
  <c r="W208" i="1" a="1"/>
  <c r="W347" i="1" a="1"/>
  <c r="W474" i="1" a="1"/>
  <c r="W423" i="5" a="1"/>
  <c r="W105" i="1" a="1"/>
  <c r="W496" i="1" a="1"/>
  <c r="W60" i="5" a="1"/>
  <c r="W184" i="1" a="1"/>
  <c r="W227" i="1" a="1"/>
  <c r="W495" i="1" a="1"/>
  <c r="W469" i="1" a="1"/>
  <c r="W274" i="1" a="1"/>
  <c r="W267" i="1" a="1"/>
  <c r="W410" i="1" a="1"/>
  <c r="W368" i="1" a="1"/>
  <c r="W335" i="1" a="1"/>
  <c r="W36" i="1" a="1"/>
  <c r="W203" i="1" a="1"/>
  <c r="W242" i="1" a="1"/>
  <c r="W170" i="1" a="1"/>
  <c r="W113" i="1" a="1"/>
  <c r="W398" i="5" a="1"/>
  <c r="W145" i="5" a="1"/>
  <c r="W288" i="5" a="1"/>
  <c r="W242" i="5" a="1"/>
  <c r="W123" i="1" a="1"/>
  <c r="W245" i="1" a="1"/>
  <c r="W23" i="5" a="1"/>
  <c r="W99" i="5" a="1"/>
  <c r="W276" i="1" a="1"/>
  <c r="W78" i="5" a="1"/>
  <c r="W12" i="5" a="1"/>
  <c r="W385" i="5" a="1"/>
  <c r="W365" i="5" a="1"/>
  <c r="W341" i="1" a="1"/>
  <c r="W322" i="5" a="1"/>
  <c r="W476" i="1" a="1"/>
  <c r="W425" i="5" a="1"/>
  <c r="W431" i="1" a="1"/>
  <c r="W70" i="5" a="1"/>
  <c r="W457" i="5" a="1"/>
  <c r="W281" i="1" a="1"/>
  <c r="W386" i="5" a="1"/>
  <c r="W90" i="5" a="1"/>
  <c r="W444" i="5" a="1"/>
  <c r="W401" i="5" a="1"/>
  <c r="W437" i="1" a="1"/>
  <c r="W345" i="1" a="1"/>
  <c r="W489" i="1" a="1"/>
  <c r="W223" i="5" a="1"/>
  <c r="W256" i="5" a="1"/>
  <c r="W122" i="1" a="1"/>
  <c r="W356" i="1" a="1"/>
  <c r="W112" i="1" a="1"/>
  <c r="W310" i="5" a="1"/>
  <c r="W138" i="5" a="1"/>
  <c r="W135" i="5" a="1"/>
  <c r="W346" i="1" a="1"/>
  <c r="W42" i="5" a="1"/>
  <c r="W94" i="5" a="1"/>
  <c r="W487" i="5" a="1"/>
  <c r="W260" i="5" a="1"/>
  <c r="W338" i="1" a="1"/>
  <c r="W173" i="5" a="1"/>
  <c r="W297" i="1" a="1"/>
  <c r="W57" i="5" a="1"/>
  <c r="W422" i="5" a="1"/>
  <c r="W380" i="5" a="1"/>
  <c r="W495" i="5" a="1"/>
  <c r="W410" i="5" a="1"/>
  <c r="W144" i="5" a="1"/>
  <c r="W214" i="1" a="1"/>
  <c r="W165" i="5" a="1"/>
  <c r="W413" i="1" a="1"/>
  <c r="W109" i="1" a="1"/>
  <c r="W290" i="5" a="1"/>
  <c r="W456" i="1" a="1"/>
  <c r="W224" i="5" a="1"/>
  <c r="W84" i="5" a="1"/>
  <c r="W86" i="5" a="1"/>
  <c r="W402" i="5" a="1"/>
  <c r="W477" i="1" a="1"/>
  <c r="W488" i="5" a="1"/>
  <c r="W298" i="5" a="1"/>
  <c r="W399" i="5" a="1"/>
  <c r="W391" i="5" a="1"/>
  <c r="W27" i="5" a="1"/>
  <c r="W462" i="5" a="1"/>
  <c r="W152" i="5" a="1"/>
  <c r="W344" i="1" a="1"/>
  <c r="W392" i="1" a="1"/>
  <c r="W181" i="1" a="1"/>
  <c r="W292" i="1" a="1"/>
  <c r="W251" i="1" a="1"/>
  <c r="W88" i="1" a="1"/>
  <c r="W471" i="1" a="1"/>
  <c r="W357" i="5" a="1"/>
  <c r="W304" i="1" a="1"/>
  <c r="W83" i="5" a="1"/>
  <c r="W373" i="1" a="1"/>
  <c r="W270" i="5" a="1"/>
  <c r="W296" i="1" a="1"/>
  <c r="W395" i="1" a="1"/>
  <c r="W440" i="1" a="1"/>
  <c r="W41" i="1" a="1"/>
  <c r="W207" i="1" a="1"/>
  <c r="W40" i="1" a="1"/>
  <c r="W388" i="1" a="1"/>
  <c r="W462" i="1" a="1"/>
  <c r="W222" i="1" a="1"/>
  <c r="W93" i="1" a="1"/>
  <c r="W124" i="1" a="1"/>
  <c r="W193" i="1" a="1"/>
  <c r="W193" i="1" l="1"/>
  <c r="W124" i="1"/>
  <c r="W93" i="1"/>
  <c r="W222" i="1"/>
  <c r="W462" i="1"/>
  <c r="W388" i="1"/>
  <c r="W40" i="1"/>
  <c r="W207" i="1"/>
  <c r="W41" i="1"/>
  <c r="W440" i="1"/>
  <c r="W395" i="1"/>
  <c r="W296" i="1"/>
  <c r="W270" i="5"/>
  <c r="W373" i="1"/>
  <c r="W83" i="5"/>
  <c r="W304" i="1"/>
  <c r="W357" i="5"/>
  <c r="W471" i="1"/>
  <c r="W88" i="1"/>
  <c r="W251" i="1"/>
  <c r="W292" i="1"/>
  <c r="W181" i="1"/>
  <c r="W392" i="1"/>
  <c r="W344" i="1"/>
  <c r="W152" i="5"/>
  <c r="W462" i="5"/>
  <c r="W27" i="5"/>
  <c r="W391" i="5"/>
  <c r="W399" i="5"/>
  <c r="W298" i="5"/>
  <c r="W488" i="5"/>
  <c r="W477" i="1"/>
  <c r="W402" i="5"/>
  <c r="W86" i="5"/>
  <c r="W84" i="5"/>
  <c r="W224" i="5"/>
  <c r="W456" i="1"/>
  <c r="W290" i="5"/>
  <c r="W109" i="1"/>
  <c r="W413" i="1"/>
  <c r="W165" i="5"/>
  <c r="W214" i="1"/>
  <c r="W144" i="5"/>
  <c r="W410" i="5"/>
  <c r="W495" i="5"/>
  <c r="W380" i="5"/>
  <c r="W422" i="5"/>
  <c r="W57" i="5"/>
  <c r="W297" i="1"/>
  <c r="W173" i="5"/>
  <c r="W338" i="1"/>
  <c r="W260" i="5"/>
  <c r="W487" i="5"/>
  <c r="W94" i="5"/>
  <c r="W42" i="5"/>
  <c r="W346" i="1"/>
  <c r="W135" i="5"/>
  <c r="W138" i="5"/>
  <c r="W310" i="5"/>
  <c r="W112" i="1"/>
  <c r="W356" i="1"/>
  <c r="W122" i="1"/>
  <c r="W256" i="5"/>
  <c r="W223" i="5"/>
  <c r="W489" i="1"/>
  <c r="W345" i="1"/>
  <c r="W437" i="1"/>
  <c r="W401" i="5"/>
  <c r="W444" i="5"/>
  <c r="W90" i="5"/>
  <c r="W386" i="5"/>
  <c r="W281" i="1"/>
  <c r="W457" i="5"/>
  <c r="W70" i="5"/>
  <c r="W431" i="1"/>
  <c r="W425" i="5"/>
  <c r="W476" i="1"/>
  <c r="W322" i="5"/>
  <c r="W341" i="1"/>
  <c r="W365" i="5"/>
  <c r="W385" i="5"/>
  <c r="W12" i="5"/>
  <c r="W78" i="5"/>
  <c r="W276" i="1"/>
  <c r="W99" i="5"/>
  <c r="W23" i="5"/>
  <c r="W245" i="1"/>
  <c r="W123" i="1"/>
  <c r="W242" i="5"/>
  <c r="W288" i="5"/>
  <c r="W145" i="5"/>
  <c r="W398" i="5"/>
  <c r="W113" i="1"/>
  <c r="W170" i="1"/>
  <c r="W242" i="1"/>
  <c r="W203" i="1"/>
  <c r="W36" i="1"/>
  <c r="W335" i="1"/>
  <c r="W368" i="1"/>
  <c r="W410" i="1"/>
  <c r="W267" i="1"/>
  <c r="W274" i="1"/>
  <c r="W469" i="1"/>
  <c r="W495" i="1"/>
  <c r="W227" i="1"/>
  <c r="W184" i="1"/>
  <c r="W60" i="5"/>
  <c r="W496" i="1"/>
  <c r="W105" i="1"/>
  <c r="W423" i="5"/>
  <c r="W474" i="1"/>
  <c r="W347" i="1"/>
  <c r="W208" i="1"/>
  <c r="W424" i="5"/>
  <c r="W60" i="1"/>
  <c r="W301" i="1"/>
  <c r="W342" i="5"/>
  <c r="W253" i="5"/>
  <c r="W486" i="1"/>
  <c r="W324" i="5"/>
  <c r="W393" i="5"/>
  <c r="W406" i="5"/>
  <c r="W235" i="1"/>
  <c r="W207" i="5"/>
  <c r="W181" i="5"/>
  <c r="W139" i="5"/>
  <c r="W377" i="1"/>
  <c r="W279" i="1"/>
  <c r="W412" i="5"/>
  <c r="W376" i="5"/>
  <c r="W226" i="1"/>
  <c r="W493" i="5"/>
  <c r="W69" i="5"/>
  <c r="W196" i="1"/>
  <c r="W295" i="5"/>
  <c r="W127" i="5"/>
  <c r="W256" i="1"/>
  <c r="W496" i="5"/>
  <c r="W349" i="5"/>
  <c r="W156" i="1"/>
  <c r="W431" i="5"/>
  <c r="W229" i="5"/>
  <c r="W194" i="1"/>
  <c r="W347" i="5"/>
  <c r="W494" i="1"/>
  <c r="W134" i="5"/>
  <c r="W201" i="5"/>
  <c r="W58" i="5"/>
  <c r="W436" i="1"/>
  <c r="W455" i="5"/>
  <c r="W93" i="5"/>
  <c r="W409" i="1"/>
  <c r="W430" i="5"/>
  <c r="W222" i="5"/>
  <c r="W399" i="1"/>
  <c r="W264" i="1"/>
  <c r="W55" i="5"/>
  <c r="W346" i="5"/>
  <c r="W484" i="5"/>
  <c r="W454" i="5"/>
  <c r="W316" i="5"/>
  <c r="W178" i="5"/>
  <c r="W216" i="5"/>
  <c r="W397" i="1"/>
  <c r="W111" i="5"/>
  <c r="W155" i="5"/>
  <c r="W321" i="5"/>
  <c r="W120" i="5"/>
  <c r="W106" i="1"/>
  <c r="W96" i="1"/>
  <c r="W298" i="1"/>
  <c r="W355" i="1"/>
  <c r="W254" i="1"/>
  <c r="W277" i="1"/>
  <c r="W15" i="5"/>
  <c r="W147" i="1"/>
  <c r="W300" i="1"/>
  <c r="W471" i="5"/>
  <c r="W80" i="5"/>
  <c r="W219" i="1"/>
  <c r="W333" i="1"/>
  <c r="W353" i="1"/>
  <c r="W236" i="5"/>
  <c r="W164" i="5"/>
  <c r="W62" i="5"/>
  <c r="W429" i="5"/>
  <c r="W49" i="5"/>
  <c r="W485" i="1"/>
  <c r="W438" i="5"/>
  <c r="W251" i="5"/>
  <c r="W116" i="1"/>
  <c r="W160" i="1"/>
  <c r="W390" i="1"/>
  <c r="W239" i="5"/>
  <c r="W74" i="5"/>
  <c r="W182" i="1"/>
  <c r="W435" i="1"/>
  <c r="W52" i="1"/>
  <c r="W56" i="1"/>
  <c r="W472" i="1"/>
  <c r="W324" i="1"/>
  <c r="W140" i="1"/>
  <c r="W272" i="1"/>
  <c r="W161" i="1"/>
  <c r="W67" i="1"/>
  <c r="W202" i="1"/>
  <c r="W340" i="1"/>
  <c r="W422" i="1"/>
  <c r="W108" i="1"/>
  <c r="W479" i="1"/>
  <c r="W387" i="1"/>
  <c r="W241" i="1"/>
  <c r="W419" i="1"/>
  <c r="W305" i="1"/>
  <c r="W234" i="1"/>
  <c r="W412" i="1"/>
  <c r="W55" i="1"/>
  <c r="W289" i="1"/>
  <c r="W315" i="1"/>
  <c r="W102" i="1"/>
  <c r="W72" i="1"/>
  <c r="W189" i="1"/>
  <c r="W103" i="5"/>
  <c r="W230" i="1"/>
  <c r="W465" i="5"/>
  <c r="W423" i="1"/>
  <c r="W293" i="5"/>
  <c r="W160" i="5"/>
  <c r="W211" i="5"/>
  <c r="W249" i="5"/>
  <c r="W270" i="1"/>
  <c r="W157" i="1"/>
  <c r="W491" i="1"/>
  <c r="W248" i="5"/>
  <c r="W50" i="5"/>
  <c r="W272" i="5"/>
  <c r="W390" i="5"/>
  <c r="W378" i="1"/>
  <c r="W213" i="1"/>
  <c r="W25" i="5"/>
  <c r="W374" i="5"/>
  <c r="W17" i="5"/>
  <c r="W129" i="5"/>
  <c r="W490" i="1"/>
  <c r="W29" i="5"/>
  <c r="W447" i="5"/>
  <c r="W451" i="5"/>
  <c r="W91" i="5"/>
  <c r="W475" i="5"/>
  <c r="W215" i="5"/>
  <c r="W16" i="5"/>
  <c r="W498" i="1"/>
  <c r="W455" i="1"/>
  <c r="W136" i="5"/>
  <c r="W321" i="1"/>
  <c r="W152" i="1"/>
  <c r="W82" i="5"/>
  <c r="W125" i="1"/>
  <c r="W295" i="1"/>
  <c r="W85" i="5"/>
  <c r="W244" i="1"/>
  <c r="W217" i="5"/>
  <c r="W280" i="5"/>
  <c r="W61" i="5"/>
  <c r="W458" i="5"/>
  <c r="W309" i="5"/>
  <c r="W375" i="1"/>
  <c r="W38" i="5"/>
  <c r="W427" i="5"/>
  <c r="W334" i="1"/>
  <c r="W110" i="5"/>
  <c r="W149" i="5"/>
  <c r="W213" i="5"/>
  <c r="W169" i="1"/>
  <c r="W350" i="5"/>
  <c r="W220" i="5"/>
  <c r="W425" i="1"/>
  <c r="W261" i="5"/>
  <c r="W148" i="1"/>
  <c r="W475" i="1"/>
  <c r="W490" i="5"/>
  <c r="W420" i="1"/>
  <c r="W187" i="5"/>
  <c r="W317" i="1"/>
  <c r="W501" i="1"/>
  <c r="W260" i="1"/>
  <c r="W38" i="1"/>
  <c r="W98" i="1"/>
  <c r="W134" i="1"/>
  <c r="W483" i="5"/>
  <c r="W477" i="5"/>
  <c r="W448" i="1"/>
  <c r="W47" i="5"/>
  <c r="W164" i="1"/>
  <c r="W314" i="5"/>
  <c r="W402" i="1"/>
  <c r="W417" i="1"/>
  <c r="W467" i="1"/>
  <c r="W446" i="1"/>
  <c r="W306" i="1"/>
  <c r="W319" i="5"/>
  <c r="W491" i="5"/>
  <c r="W45" i="5"/>
  <c r="W421" i="5"/>
  <c r="W414" i="5"/>
  <c r="W5" i="5"/>
  <c r="W268" i="5"/>
  <c r="W230" i="5"/>
  <c r="W468" i="5"/>
  <c r="W488" i="1"/>
  <c r="W179" i="5"/>
  <c r="W76" i="1"/>
  <c r="W281" i="5"/>
  <c r="W45" i="1"/>
  <c r="W411" i="1"/>
  <c r="W107" i="1"/>
  <c r="W310" i="1"/>
  <c r="W275" i="1"/>
  <c r="W229" i="1"/>
  <c r="W92" i="1"/>
  <c r="W111" i="1"/>
  <c r="W339" i="1"/>
  <c r="W165" i="1"/>
  <c r="W352" i="1"/>
  <c r="W268" i="1"/>
  <c r="W68" i="1"/>
  <c r="W50" i="1"/>
  <c r="W426" i="1"/>
  <c r="W86" i="1"/>
  <c r="W84" i="1"/>
  <c r="W175" i="1"/>
  <c r="W59" i="1"/>
  <c r="W129" i="1"/>
  <c r="W464" i="1"/>
  <c r="W171" i="1"/>
  <c r="W65" i="1"/>
  <c r="W128" i="1"/>
  <c r="W364" i="1"/>
  <c r="W359" i="1"/>
  <c r="W68" i="5"/>
  <c r="W19" i="5"/>
  <c r="W336" i="5"/>
  <c r="W317" i="5"/>
  <c r="W245" i="5"/>
  <c r="W43" i="1"/>
  <c r="W150" i="5"/>
  <c r="W384" i="1"/>
  <c r="W315" i="5"/>
  <c r="W500" i="1"/>
  <c r="W97" i="5"/>
  <c r="W409" i="5"/>
  <c r="W8" i="5"/>
  <c r="W361" i="1"/>
  <c r="W130" i="5"/>
  <c r="W246" i="5"/>
  <c r="W125" i="5"/>
  <c r="W171" i="5"/>
  <c r="W435" i="5"/>
  <c r="W205" i="5"/>
  <c r="W255" i="5"/>
  <c r="W376" i="1"/>
  <c r="W53" i="5"/>
  <c r="W285" i="1"/>
  <c r="W122" i="5"/>
  <c r="W225" i="1"/>
  <c r="W296" i="5"/>
  <c r="W364" i="5"/>
  <c r="W175" i="5"/>
  <c r="W114" i="5"/>
  <c r="W118" i="1"/>
  <c r="W300" i="5"/>
  <c r="W192" i="5"/>
  <c r="W387" i="5"/>
  <c r="W357" i="1"/>
  <c r="W481" i="1"/>
  <c r="W459" i="5"/>
  <c r="W282" i="1"/>
  <c r="W169" i="5"/>
  <c r="W190" i="5"/>
  <c r="W182" i="5"/>
  <c r="W72" i="5"/>
  <c r="W403" i="1"/>
  <c r="W301" i="5"/>
  <c r="W228" i="5"/>
  <c r="W158" i="5"/>
  <c r="W430" i="1"/>
  <c r="W413" i="5"/>
  <c r="W95" i="1"/>
  <c r="W382" i="5"/>
  <c r="W131" i="5"/>
  <c r="W75" i="5"/>
  <c r="W343" i="5"/>
  <c r="W415" i="1"/>
  <c r="W418" i="5"/>
  <c r="W327" i="1"/>
  <c r="W318" i="5"/>
  <c r="W334" i="5"/>
  <c r="W463" i="5"/>
  <c r="W378" i="5"/>
  <c r="W126" i="1"/>
  <c r="W156" i="5"/>
  <c r="W210" i="1"/>
  <c r="W163" i="1"/>
  <c r="W284" i="1"/>
  <c r="W354" i="5"/>
  <c r="W231" i="5"/>
  <c r="W375" i="5"/>
  <c r="W91" i="1"/>
  <c r="W159" i="1"/>
  <c r="W114" i="1"/>
  <c r="W119" i="1"/>
  <c r="W228" i="1"/>
  <c r="W85" i="1"/>
  <c r="W69" i="1"/>
  <c r="W478" i="1"/>
  <c r="W64" i="1"/>
  <c r="W233" i="1"/>
  <c r="W121" i="1"/>
  <c r="W326" i="1"/>
  <c r="W232" i="1"/>
  <c r="W343" i="1"/>
  <c r="W137" i="1"/>
  <c r="W444" i="1"/>
  <c r="W400" i="1"/>
  <c r="W255" i="1"/>
  <c r="W271" i="1"/>
  <c r="W79" i="5"/>
  <c r="W418" i="1"/>
  <c r="W445" i="5"/>
  <c r="W189" i="5"/>
  <c r="W266" i="1"/>
  <c r="W329" i="1"/>
  <c r="W482" i="5"/>
  <c r="W159" i="5"/>
  <c r="W59" i="5"/>
  <c r="W44" i="1"/>
  <c r="W198" i="5"/>
  <c r="W196" i="5"/>
  <c r="W273" i="1"/>
  <c r="W453" i="5"/>
  <c r="W277" i="5"/>
  <c r="W285" i="5"/>
  <c r="W442" i="5"/>
  <c r="W449" i="1"/>
  <c r="W449" i="5"/>
  <c r="W325" i="1"/>
  <c r="W372" i="5"/>
  <c r="W312" i="1"/>
  <c r="W340" i="5"/>
  <c r="W434" i="5"/>
  <c r="W501" i="5"/>
  <c r="W192" i="1"/>
  <c r="W414" i="1"/>
  <c r="W377" i="5"/>
  <c r="W274" i="5"/>
  <c r="W294" i="1"/>
  <c r="W9" i="5"/>
  <c r="W342" i="1"/>
  <c r="W394" i="1"/>
  <c r="W109" i="5"/>
  <c r="W304" i="5"/>
  <c r="W261" i="1"/>
  <c r="W95" i="5"/>
  <c r="W203" i="5"/>
  <c r="W240" i="1"/>
  <c r="W140" i="5"/>
  <c r="W200" i="1"/>
  <c r="W391" i="1"/>
  <c r="W209" i="5"/>
  <c r="W39" i="5"/>
  <c r="W385" i="1"/>
  <c r="W253" i="1"/>
  <c r="W269" i="5"/>
  <c r="W63" i="5"/>
  <c r="W148" i="5"/>
  <c r="W211" i="1"/>
  <c r="W484" i="1"/>
  <c r="W313" i="1"/>
  <c r="W10" i="5"/>
  <c r="W369" i="5"/>
  <c r="W464" i="5"/>
  <c r="W257" i="1"/>
  <c r="W66" i="5"/>
  <c r="W485" i="5"/>
  <c r="W356" i="5"/>
  <c r="W328" i="5"/>
  <c r="W492" i="5"/>
  <c r="W479" i="5"/>
  <c r="W117" i="1"/>
  <c r="W499" i="1"/>
  <c r="W146" i="1"/>
  <c r="W258" i="5"/>
  <c r="W233" i="5"/>
  <c r="W363" i="1"/>
  <c r="W235" i="5"/>
  <c r="W141" i="5"/>
  <c r="W46" i="5"/>
  <c r="W123" i="5"/>
  <c r="W302" i="5"/>
  <c r="W311" i="5"/>
  <c r="W355" i="5"/>
  <c r="W351" i="5"/>
  <c r="W434" i="1"/>
  <c r="W249" i="1"/>
  <c r="W39" i="1"/>
  <c r="W236" i="1"/>
  <c r="W66" i="1"/>
  <c r="W493" i="1"/>
  <c r="W451" i="1"/>
  <c r="W320" i="1"/>
  <c r="W57" i="1"/>
  <c r="W42" i="1"/>
  <c r="W337" i="5"/>
  <c r="W279" i="5"/>
  <c r="W227" i="5"/>
  <c r="W316" i="1"/>
  <c r="W481" i="5"/>
  <c r="W193" i="5"/>
  <c r="W209" i="1"/>
  <c r="W199" i="5"/>
  <c r="W92" i="5"/>
  <c r="W151" i="5"/>
  <c r="W416" i="5"/>
  <c r="W416" i="1"/>
  <c r="W460" i="5"/>
  <c r="W168" i="1"/>
  <c r="W287" i="1"/>
  <c r="W240" i="5"/>
  <c r="W89" i="5"/>
  <c r="W478" i="5"/>
  <c r="W258" i="1"/>
  <c r="W398" i="1"/>
  <c r="W208" i="5"/>
  <c r="W113" i="5"/>
  <c r="W11" i="5"/>
  <c r="W389" i="5"/>
  <c r="W408" i="1"/>
  <c r="W250" i="1"/>
  <c r="W73" i="1"/>
  <c r="W218" i="5"/>
  <c r="W88" i="5"/>
  <c r="W458" i="1"/>
  <c r="W323" i="1"/>
  <c r="W145" i="1"/>
  <c r="W500" i="5"/>
  <c r="W452" i="5"/>
  <c r="W332" i="1"/>
  <c r="W118" i="5"/>
  <c r="W395" i="5"/>
  <c r="W139" i="1"/>
  <c r="W172" i="5"/>
  <c r="W275" i="5"/>
  <c r="W302" i="1"/>
  <c r="W225" i="5"/>
  <c r="W367" i="1"/>
  <c r="W469" i="5"/>
  <c r="W119" i="5"/>
  <c r="W392" i="5"/>
  <c r="W81" i="5"/>
  <c r="W73" i="5"/>
  <c r="W368" i="5"/>
  <c r="W71" i="5"/>
  <c r="W388" i="5"/>
  <c r="W115" i="5"/>
  <c r="W293" i="1"/>
  <c r="W400" i="5"/>
  <c r="W363" i="5"/>
  <c r="W384" i="5"/>
  <c r="W22" i="5"/>
  <c r="W436" i="5"/>
  <c r="W40" i="5"/>
  <c r="W170" i="5"/>
  <c r="W237" i="5"/>
  <c r="W56" i="5"/>
  <c r="W153" i="1"/>
  <c r="W278" i="1"/>
  <c r="W77" i="5"/>
  <c r="W174" i="1"/>
  <c r="W433" i="5"/>
  <c r="W264" i="5"/>
  <c r="W26" i="5"/>
  <c r="W297" i="5"/>
  <c r="W166" i="5"/>
  <c r="W367" i="5"/>
  <c r="W143" i="5"/>
  <c r="W259" i="5"/>
  <c r="W78" i="1"/>
  <c r="W224" i="1"/>
  <c r="W288" i="1"/>
  <c r="W61" i="1"/>
  <c r="W216" i="1"/>
  <c r="W90" i="1"/>
  <c r="W239" i="1"/>
  <c r="W427" i="1"/>
  <c r="W238" i="1"/>
  <c r="W214" i="5"/>
  <c r="W97" i="1"/>
  <c r="W461" i="5"/>
  <c r="W330" i="1"/>
  <c r="W7" i="5"/>
  <c r="W166" i="1"/>
  <c r="W472" i="5"/>
  <c r="W460" i="1"/>
  <c r="W107" i="5"/>
  <c r="W353" i="5"/>
  <c r="W237" i="1"/>
  <c r="W54" i="5"/>
  <c r="W432" i="5"/>
  <c r="W221" i="1"/>
  <c r="W21" i="5"/>
  <c r="W2" i="5"/>
  <c r="W437" i="5"/>
  <c r="W371" i="5"/>
  <c r="W372" i="1"/>
  <c r="W67" i="5"/>
  <c r="W31" i="5"/>
  <c r="W177" i="5"/>
  <c r="W325" i="5"/>
  <c r="W116" i="5"/>
  <c r="W450" i="5"/>
  <c r="W128" i="5"/>
  <c r="W176" i="5"/>
  <c r="W205" i="1"/>
  <c r="W457" i="1"/>
  <c r="W492" i="1"/>
  <c r="W439" i="1"/>
  <c r="W466" i="5"/>
  <c r="W206" i="5"/>
  <c r="W202" i="5"/>
  <c r="W276" i="5"/>
  <c r="W313" i="5"/>
  <c r="W408" i="5"/>
  <c r="W162" i="5"/>
  <c r="W142" i="5"/>
  <c r="W381" i="1"/>
  <c r="W291" i="1"/>
  <c r="W330" i="5"/>
  <c r="W108" i="5"/>
  <c r="W126" i="5"/>
  <c r="W102" i="5"/>
  <c r="W168" i="5"/>
  <c r="W28" i="5"/>
  <c r="W446" i="5"/>
  <c r="W190" i="1"/>
  <c r="W439" i="5"/>
  <c r="W127" i="1"/>
  <c r="W137" i="5"/>
  <c r="W294" i="5"/>
  <c r="W284" i="5"/>
  <c r="W411" i="5"/>
  <c r="W407" i="1"/>
  <c r="W403" i="5"/>
  <c r="W350" i="1"/>
  <c r="W351" i="1"/>
  <c r="W226" i="5"/>
  <c r="W179" i="1"/>
  <c r="W370" i="5"/>
  <c r="W154" i="1"/>
  <c r="W319" i="1"/>
  <c r="W365" i="1"/>
  <c r="W282" i="5"/>
  <c r="W373" i="5"/>
  <c r="W322" i="1"/>
  <c r="W433" i="1"/>
  <c r="W331" i="1"/>
  <c r="W48" i="1"/>
  <c r="W382" i="1"/>
  <c r="W262" i="5"/>
  <c r="W263" i="1"/>
  <c r="W348" i="5"/>
  <c r="W370" i="1"/>
  <c r="W463" i="1"/>
  <c r="W141" i="1"/>
  <c r="W248" i="1"/>
  <c r="W290" i="1"/>
  <c r="W441" i="1"/>
  <c r="W47" i="1"/>
  <c r="W70" i="1"/>
  <c r="W49" i="1"/>
  <c r="W231" i="1"/>
  <c r="W246" i="1"/>
  <c r="W75" i="1"/>
  <c r="W250" i="5"/>
  <c r="W79" i="1"/>
  <c r="W263" i="5"/>
  <c r="W188" i="5"/>
  <c r="W65" i="5"/>
  <c r="W154" i="5"/>
  <c r="W234" i="5"/>
  <c r="W348" i="1"/>
  <c r="W6" i="5"/>
  <c r="W254" i="5"/>
  <c r="W441" i="5"/>
  <c r="W442" i="1"/>
  <c r="W448" i="5"/>
  <c r="W289" i="5"/>
  <c r="W381" i="5"/>
  <c r="W191" i="5"/>
  <c r="W352" i="5"/>
  <c r="W212" i="1"/>
  <c r="W473" i="5"/>
  <c r="W35" i="5"/>
  <c r="W104" i="5"/>
  <c r="W13" i="5"/>
  <c r="W4" i="5"/>
  <c r="W14" i="5"/>
  <c r="W326" i="5"/>
  <c r="W136" i="1"/>
  <c r="W87" i="5"/>
  <c r="W188" i="1"/>
  <c r="W269" i="1"/>
  <c r="W480" i="1"/>
  <c r="W135" i="1"/>
  <c r="W415" i="5"/>
  <c r="W157" i="5"/>
  <c r="W487" i="1"/>
  <c r="W112" i="5"/>
  <c r="W305" i="5"/>
  <c r="W443" i="5"/>
  <c r="W404" i="5"/>
  <c r="W371" i="1"/>
  <c r="W173" i="1"/>
  <c r="W447" i="1"/>
  <c r="W98" i="5"/>
  <c r="W379" i="1"/>
  <c r="W62" i="1"/>
  <c r="W180" i="5"/>
  <c r="W489" i="5"/>
  <c r="W494" i="5"/>
  <c r="W105" i="5"/>
  <c r="W474" i="5"/>
  <c r="W177" i="1"/>
  <c r="W358" i="1"/>
  <c r="W337" i="1"/>
  <c r="W265" i="1"/>
  <c r="W33" i="5"/>
  <c r="W232" i="5"/>
  <c r="W142" i="1"/>
  <c r="W332" i="5"/>
  <c r="W195" i="5"/>
  <c r="W338" i="5"/>
  <c r="W100" i="5"/>
  <c r="W454" i="1"/>
  <c r="W217" i="1"/>
  <c r="W133" i="1"/>
  <c r="W218" i="1"/>
  <c r="W314" i="1"/>
  <c r="W320" i="5"/>
  <c r="W467" i="5"/>
  <c r="W124" i="5"/>
  <c r="W349" i="1"/>
  <c r="W328" i="1"/>
  <c r="W341" i="5"/>
  <c r="W306" i="5"/>
  <c r="W311" i="1"/>
  <c r="W186" i="1"/>
  <c r="W58" i="1"/>
  <c r="W87" i="1"/>
  <c r="W180" i="1"/>
  <c r="W465" i="1"/>
  <c r="W280" i="1"/>
  <c r="W149" i="1"/>
  <c r="W81" i="1"/>
  <c r="W308" i="1"/>
  <c r="W396" i="1"/>
  <c r="W106" i="5"/>
  <c r="W473" i="1"/>
  <c r="W80" i="1"/>
  <c r="W51" i="1"/>
  <c r="W63" i="1"/>
  <c r="W37" i="1"/>
  <c r="W183" i="1"/>
  <c r="W71" i="1"/>
  <c r="W130" i="1"/>
  <c r="W101" i="1"/>
  <c r="W53" i="1"/>
  <c r="W77" i="1"/>
  <c r="W393" i="1"/>
  <c r="W36" i="5"/>
  <c r="W262" i="1"/>
  <c r="W120" i="1"/>
  <c r="W358" i="5"/>
  <c r="W327" i="5"/>
  <c r="W432" i="1"/>
  <c r="W308" i="5"/>
  <c r="W283" i="1"/>
  <c r="W482" i="1"/>
  <c r="W184" i="5"/>
  <c r="W470" i="5"/>
  <c r="W366" i="1"/>
  <c r="W52" i="5"/>
  <c r="W286" i="5"/>
  <c r="W44" i="5"/>
  <c r="W41" i="5"/>
  <c r="W283" i="5"/>
  <c r="W185" i="1"/>
  <c r="W197" i="1"/>
  <c r="W362" i="5"/>
  <c r="W497" i="5"/>
  <c r="W359" i="5"/>
  <c r="W252" i="5"/>
  <c r="W163" i="5"/>
  <c r="W470" i="1"/>
  <c r="W480" i="5"/>
  <c r="W271" i="5"/>
  <c r="W333" i="5"/>
  <c r="W450" i="1"/>
  <c r="W456" i="5"/>
  <c r="W278" i="5"/>
  <c r="W37" i="5"/>
  <c r="W174" i="5"/>
  <c r="W20" i="5"/>
  <c r="W309" i="1"/>
  <c r="W299" i="1"/>
  <c r="W199" i="1"/>
  <c r="W445" i="1"/>
  <c r="W243" i="1"/>
  <c r="W117" i="5"/>
  <c r="W483" i="1"/>
  <c r="W380" i="1"/>
  <c r="W498" i="5"/>
  <c r="W194" i="5"/>
  <c r="W153" i="5"/>
  <c r="W331" i="5"/>
  <c r="W361" i="5"/>
  <c r="W257" i="5"/>
  <c r="W421" i="1"/>
  <c r="W360" i="1"/>
  <c r="W150" i="1"/>
  <c r="W101" i="5"/>
  <c r="W247" i="5"/>
  <c r="W161" i="5"/>
  <c r="W366" i="5"/>
  <c r="W383" i="1"/>
  <c r="W476" i="5"/>
  <c r="W344" i="5"/>
  <c r="W286" i="1"/>
  <c r="W428" i="5"/>
  <c r="W299" i="5"/>
  <c r="W426" i="5"/>
  <c r="W247" i="1"/>
  <c r="W453" i="1"/>
  <c r="W143" i="1"/>
  <c r="W220" i="1"/>
  <c r="W96" i="5"/>
  <c r="W133" i="5"/>
  <c r="W76" i="5"/>
  <c r="W407" i="5"/>
  <c r="W312" i="5"/>
  <c r="W146" i="5"/>
  <c r="W198" i="1"/>
  <c r="W417" i="5"/>
  <c r="W18" i="5"/>
  <c r="W244" i="5"/>
  <c r="W43" i="5"/>
  <c r="W212" i="5"/>
  <c r="W132" i="5"/>
  <c r="W34" i="5"/>
  <c r="W3" i="5"/>
  <c r="W374" i="1"/>
  <c r="W200" i="5"/>
  <c r="W379" i="5"/>
  <c r="W201" i="1"/>
  <c r="W354" i="1"/>
  <c r="W144" i="1"/>
  <c r="W452" i="1"/>
  <c r="W468" i="1"/>
  <c r="W303" i="1"/>
  <c r="W259" i="1"/>
  <c r="W187" i="1"/>
  <c r="W191" i="1"/>
  <c r="W158" i="1"/>
  <c r="W115" i="1"/>
  <c r="W176" i="1"/>
  <c r="W155" i="1"/>
  <c r="W172" i="1"/>
  <c r="W103" i="1"/>
  <c r="W401" i="1"/>
  <c r="W204" i="5"/>
  <c r="W46" i="1"/>
  <c r="W83" i="1"/>
  <c r="W215" i="1"/>
  <c r="W204" i="1"/>
  <c r="W110" i="1"/>
  <c r="W429" i="1"/>
  <c r="W223" i="1"/>
  <c r="W424" i="1"/>
  <c r="W428" i="1"/>
  <c r="W54" i="1"/>
  <c r="W178" i="1"/>
  <c r="W138" i="1"/>
  <c r="W82" i="1"/>
  <c r="W74" i="1"/>
  <c r="W466" i="1"/>
  <c r="W461" i="1"/>
  <c r="W307" i="1"/>
  <c r="W104" i="1"/>
  <c r="W94" i="1"/>
  <c r="W131" i="1"/>
  <c r="W206" i="1"/>
  <c r="W167" i="1"/>
  <c r="W99" i="1"/>
  <c r="W89" i="1"/>
  <c r="W151" i="1"/>
  <c r="W197" i="5"/>
  <c r="W335" i="5"/>
  <c r="W339" i="5"/>
  <c r="W292" i="5"/>
  <c r="W51" i="5"/>
  <c r="W64" i="5"/>
  <c r="W329" i="5"/>
  <c r="W210" i="5"/>
  <c r="W243" i="5"/>
  <c r="W167" i="5"/>
  <c r="W265" i="5"/>
  <c r="W287" i="5"/>
  <c r="W420" i="5"/>
  <c r="W323" i="5"/>
  <c r="W362" i="1"/>
  <c r="W32" i="5"/>
  <c r="W438" i="1"/>
  <c r="W419" i="5"/>
  <c r="W273" i="5"/>
  <c r="W499" i="5"/>
  <c r="W396" i="5"/>
  <c r="W100" i="1"/>
  <c r="W404" i="1"/>
  <c r="W121" i="5"/>
  <c r="W303" i="5"/>
  <c r="W183" i="5"/>
  <c r="W307" i="5"/>
  <c r="W24" i="5"/>
  <c r="W35" i="1"/>
  <c r="W132" i="1"/>
  <c r="W221" i="5"/>
  <c r="W394" i="5"/>
  <c r="W291" i="5"/>
  <c r="W238" i="5"/>
  <c r="W267" i="5"/>
  <c r="W30" i="5"/>
  <c r="W266" i="5"/>
  <c r="W440" i="5"/>
  <c r="W48" i="5"/>
  <c r="W406" i="1"/>
  <c r="W405" i="5"/>
  <c r="W405" i="1"/>
  <c r="W162" i="1"/>
  <c r="W369" i="1"/>
  <c r="W360" i="5"/>
  <c r="W486" i="5"/>
  <c r="W497" i="1"/>
  <c r="W195" i="1"/>
  <c r="W345" i="5"/>
  <c r="W147" i="5"/>
  <c r="W389" i="1"/>
  <c r="W443" i="1"/>
  <c r="W459" i="1"/>
  <c r="W386" i="1"/>
  <c r="W185" i="5"/>
  <c r="W219" i="5"/>
  <c r="W318" i="1"/>
  <c r="W336" i="1"/>
  <c r="W241" i="5"/>
  <c r="W397" i="5"/>
  <c r="W252" i="1"/>
  <c r="W383" i="5"/>
  <c r="W186" i="5"/>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<sst xmlns="http://schemas.openxmlformats.org/spreadsheetml/2006/main" count="9112" uniqueCount="772">
  <si>
    <t>Campaign_ID</t>
  </si>
  <si>
    <t>Date</t>
  </si>
  <si>
    <t>Customer_ID</t>
  </si>
  <si>
    <t>Age</t>
  </si>
  <si>
    <t>Gender</t>
  </si>
  <si>
    <t>Country</t>
  </si>
  <si>
    <t>Marketing_Channel</t>
  </si>
  <si>
    <t>Campaign_Type</t>
  </si>
  <si>
    <t>Ad_Spend</t>
  </si>
  <si>
    <t>Impressions</t>
  </si>
  <si>
    <t>Clicks</t>
  </si>
  <si>
    <t>Conversions</t>
  </si>
  <si>
    <t>Customer_Satisfaction</t>
  </si>
  <si>
    <t>CTR_%</t>
  </si>
  <si>
    <t>Conversion_Rate_%</t>
  </si>
  <si>
    <t>Cust_satifaction_full</t>
  </si>
  <si>
    <t>avg_cust_satisfaction</t>
  </si>
  <si>
    <t>Num_over_100</t>
  </si>
  <si>
    <t>Perfomance_Rating</t>
  </si>
  <si>
    <t>CTR_Category</t>
  </si>
  <si>
    <t>Spend_Flag</t>
  </si>
  <si>
    <t>MKT1000</t>
  </si>
  <si>
    <t>C378</t>
  </si>
  <si>
    <t>Male</t>
  </si>
  <si>
    <t>USA</t>
  </si>
  <si>
    <t>Facebook Ads</t>
  </si>
  <si>
    <t>Product Launch</t>
  </si>
  <si>
    <t>MKT1001</t>
  </si>
  <si>
    <t>C345</t>
  </si>
  <si>
    <t>Female</t>
  </si>
  <si>
    <t>Nigeria</t>
  </si>
  <si>
    <t>Google Ads</t>
  </si>
  <si>
    <t>Brand Awareness</t>
  </si>
  <si>
    <t>MKT1002</t>
  </si>
  <si>
    <t>C239</t>
  </si>
  <si>
    <t>Other</t>
  </si>
  <si>
    <t>Holiday Promo</t>
  </si>
  <si>
    <t>MKT1003</t>
  </si>
  <si>
    <t>C266</t>
  </si>
  <si>
    <t>MKT1004</t>
  </si>
  <si>
    <t>C282</t>
  </si>
  <si>
    <t>UK</t>
  </si>
  <si>
    <t>Referral</t>
  </si>
  <si>
    <t>MKT1005</t>
  </si>
  <si>
    <t>C227</t>
  </si>
  <si>
    <t>Ghana</t>
  </si>
  <si>
    <t>Instagram</t>
  </si>
  <si>
    <t>MKT1006</t>
  </si>
  <si>
    <t>C279</t>
  </si>
  <si>
    <t>MKT1007</t>
  </si>
  <si>
    <t>South Africa</t>
  </si>
  <si>
    <t>MKT1008</t>
  </si>
  <si>
    <t>C338</t>
  </si>
  <si>
    <t>MKT1009</t>
  </si>
  <si>
    <t>C346</t>
  </si>
  <si>
    <t>MKT1010</t>
  </si>
  <si>
    <t>C252</t>
  </si>
  <si>
    <t>Kenya</t>
  </si>
  <si>
    <t>MKT1011</t>
  </si>
  <si>
    <t>C334</t>
  </si>
  <si>
    <t>MKT1012</t>
  </si>
  <si>
    <t>Email</t>
  </si>
  <si>
    <t>Discount</t>
  </si>
  <si>
    <t>MKT1013</t>
  </si>
  <si>
    <t>C267</t>
  </si>
  <si>
    <t>MKT1014</t>
  </si>
  <si>
    <t>C290</t>
  </si>
  <si>
    <t>MKT1015</t>
  </si>
  <si>
    <t>C300</t>
  </si>
  <si>
    <t>MKT1016</t>
  </si>
  <si>
    <t>MKT1017</t>
  </si>
  <si>
    <t>C210</t>
  </si>
  <si>
    <t>MKT1018</t>
  </si>
  <si>
    <t>C211</t>
  </si>
  <si>
    <t>MKT1019</t>
  </si>
  <si>
    <t>C341</t>
  </si>
  <si>
    <t>MKT1020</t>
  </si>
  <si>
    <t>C359</t>
  </si>
  <si>
    <t>MKT1021</t>
  </si>
  <si>
    <t>C298</t>
  </si>
  <si>
    <t>MKT1022</t>
  </si>
  <si>
    <t>C367</t>
  </si>
  <si>
    <t>MKT1023</t>
  </si>
  <si>
    <t>C363</t>
  </si>
  <si>
    <t>MKT1024</t>
  </si>
  <si>
    <t>C224</t>
  </si>
  <si>
    <t>MKT1025</t>
  </si>
  <si>
    <t>MKT1026</t>
  </si>
  <si>
    <t>C280</t>
  </si>
  <si>
    <t>MKT1027</t>
  </si>
  <si>
    <t>C246</t>
  </si>
  <si>
    <t>MKT1028</t>
  </si>
  <si>
    <t>C350</t>
  </si>
  <si>
    <t>MKT1029</t>
  </si>
  <si>
    <t>MKT1030</t>
  </si>
  <si>
    <t>C313</t>
  </si>
  <si>
    <t>MKT1031</t>
  </si>
  <si>
    <t>C207</t>
  </si>
  <si>
    <t>MKT1032</t>
  </si>
  <si>
    <t>MKT1033</t>
  </si>
  <si>
    <t>C255</t>
  </si>
  <si>
    <t>MKT1034</t>
  </si>
  <si>
    <t>C283</t>
  </si>
  <si>
    <t>MKT1035</t>
  </si>
  <si>
    <t>MKT1036</t>
  </si>
  <si>
    <t>C288</t>
  </si>
  <si>
    <t>MKT1037</t>
  </si>
  <si>
    <t>C243</t>
  </si>
  <si>
    <t>MKT1038</t>
  </si>
  <si>
    <t>C263</t>
  </si>
  <si>
    <t>MKT1039</t>
  </si>
  <si>
    <t>C339</t>
  </si>
  <si>
    <t>MKT1040</t>
  </si>
  <si>
    <t>C370</t>
  </si>
  <si>
    <t>MKT1041</t>
  </si>
  <si>
    <t>C293</t>
  </si>
  <si>
    <t>MKT1042</t>
  </si>
  <si>
    <t>C366</t>
  </si>
  <si>
    <t>MKT1043</t>
  </si>
  <si>
    <t>C234</t>
  </si>
  <si>
    <t>MKT1044</t>
  </si>
  <si>
    <t>C304</t>
  </si>
  <si>
    <t>MKT1045</t>
  </si>
  <si>
    <t>C209</t>
  </si>
  <si>
    <t>MKT1046</t>
  </si>
  <si>
    <t>MKT1047</t>
  </si>
  <si>
    <t>C377</t>
  </si>
  <si>
    <t>MKT1048</t>
  </si>
  <si>
    <t>C382</t>
  </si>
  <si>
    <t>MKT1049</t>
  </si>
  <si>
    <t>C241</t>
  </si>
  <si>
    <t>MKT1050</t>
  </si>
  <si>
    <t>C217</t>
  </si>
  <si>
    <t>MKT1051</t>
  </si>
  <si>
    <t>C368</t>
  </si>
  <si>
    <t>MKT1052</t>
  </si>
  <si>
    <t>C356</t>
  </si>
  <si>
    <t>MKT1053</t>
  </si>
  <si>
    <t>C340</t>
  </si>
  <si>
    <t>MKT1054</t>
  </si>
  <si>
    <t>C299</t>
  </si>
  <si>
    <t>MKT1055</t>
  </si>
  <si>
    <t>C360</t>
  </si>
  <si>
    <t>MKT1056</t>
  </si>
  <si>
    <t>C248</t>
  </si>
  <si>
    <t>MKT1057</t>
  </si>
  <si>
    <t>MKT1058</t>
  </si>
  <si>
    <t>C214</t>
  </si>
  <si>
    <t>MKT1059</t>
  </si>
  <si>
    <t>MKT1060</t>
  </si>
  <si>
    <t>C303</t>
  </si>
  <si>
    <t>MKT1061</t>
  </si>
  <si>
    <t>C269</t>
  </si>
  <si>
    <t>MKT1062</t>
  </si>
  <si>
    <t>MKT1063</t>
  </si>
  <si>
    <t>C297</t>
  </si>
  <si>
    <t>MKT1064</t>
  </si>
  <si>
    <t>C244</t>
  </si>
  <si>
    <t>MKT1065</t>
  </si>
  <si>
    <t>MKT1066</t>
  </si>
  <si>
    <t>C371</t>
  </si>
  <si>
    <t>MKT1067</t>
  </si>
  <si>
    <t>C373</t>
  </si>
  <si>
    <t>MKT1068</t>
  </si>
  <si>
    <t>MKT1069</t>
  </si>
  <si>
    <t>MKT1070</t>
  </si>
  <si>
    <t>C330</t>
  </si>
  <si>
    <t>MKT1071</t>
  </si>
  <si>
    <t>MKT1072</t>
  </si>
  <si>
    <t>MKT1073</t>
  </si>
  <si>
    <t>C226</t>
  </si>
  <si>
    <t>MKT1074</t>
  </si>
  <si>
    <t>MKT1075</t>
  </si>
  <si>
    <t>MKT1076</t>
  </si>
  <si>
    <t>MKT1077</t>
  </si>
  <si>
    <t>C383</t>
  </si>
  <si>
    <t>MKT1078</t>
  </si>
  <si>
    <t>MKT1079</t>
  </si>
  <si>
    <t>C349</t>
  </si>
  <si>
    <t>MKT1080</t>
  </si>
  <si>
    <t>MKT1081</t>
  </si>
  <si>
    <t>C319</t>
  </si>
  <si>
    <t>MKT1082</t>
  </si>
  <si>
    <t>MKT1083</t>
  </si>
  <si>
    <t>C259</t>
  </si>
  <si>
    <t>MKT1084</t>
  </si>
  <si>
    <t>C262</t>
  </si>
  <si>
    <t>MKT1085</t>
  </si>
  <si>
    <t>C228</t>
  </si>
  <si>
    <t>MKT1086</t>
  </si>
  <si>
    <t>MKT1087</t>
  </si>
  <si>
    <t>C215</t>
  </si>
  <si>
    <t>MKT1088</t>
  </si>
  <si>
    <t>C205</t>
  </si>
  <si>
    <t>MKT1089</t>
  </si>
  <si>
    <t>C391</t>
  </si>
  <si>
    <t>MKT1090</t>
  </si>
  <si>
    <t>MKT1091</t>
  </si>
  <si>
    <t>MKT1092</t>
  </si>
  <si>
    <t>C342</t>
  </si>
  <si>
    <t>MKT1093</t>
  </si>
  <si>
    <t>C206</t>
  </si>
  <si>
    <t>MKT1094</t>
  </si>
  <si>
    <t>C242</t>
  </si>
  <si>
    <t>MKT1095</t>
  </si>
  <si>
    <t>C278</t>
  </si>
  <si>
    <t>MKT1096</t>
  </si>
  <si>
    <t>C364</t>
  </si>
  <si>
    <t>MKT1097</t>
  </si>
  <si>
    <t>MKT1098</t>
  </si>
  <si>
    <t>C362</t>
  </si>
  <si>
    <t>MKT1099</t>
  </si>
  <si>
    <t>C361</t>
  </si>
  <si>
    <t>MKT1100</t>
  </si>
  <si>
    <t>MKT1101</t>
  </si>
  <si>
    <t>MKT1102</t>
  </si>
  <si>
    <t>MKT1103</t>
  </si>
  <si>
    <t>C321</t>
  </si>
  <si>
    <t>MKT1104</t>
  </si>
  <si>
    <t>MKT1105</t>
  </si>
  <si>
    <t>C324</t>
  </si>
  <si>
    <t>MKT1106</t>
  </si>
  <si>
    <t>C264</t>
  </si>
  <si>
    <t>MKT1107</t>
  </si>
  <si>
    <t>C385</t>
  </si>
  <si>
    <t>MKT1108</t>
  </si>
  <si>
    <t>MKT1109</t>
  </si>
  <si>
    <t>C250</t>
  </si>
  <si>
    <t>MKT1110</t>
  </si>
  <si>
    <t>MKT1111</t>
  </si>
  <si>
    <t>C387</t>
  </si>
  <si>
    <t>MKT1112</t>
  </si>
  <si>
    <t>C375</t>
  </si>
  <si>
    <t>MKT1113</t>
  </si>
  <si>
    <t>C327</t>
  </si>
  <si>
    <t>MKT1114</t>
  </si>
  <si>
    <t>MKT1115</t>
  </si>
  <si>
    <t>MKT1116</t>
  </si>
  <si>
    <t>C305</t>
  </si>
  <si>
    <t>MKT1117</t>
  </si>
  <si>
    <t>MKT1118</t>
  </si>
  <si>
    <t>C310</t>
  </si>
  <si>
    <t>MKT1119</t>
  </si>
  <si>
    <t>C287</t>
  </si>
  <si>
    <t>MKT1120</t>
  </si>
  <si>
    <t>C231</t>
  </si>
  <si>
    <t>MKT1121</t>
  </si>
  <si>
    <t>MKT1122</t>
  </si>
  <si>
    <t>MKT1123</t>
  </si>
  <si>
    <t>MKT1124</t>
  </si>
  <si>
    <t>MKT1125</t>
  </si>
  <si>
    <t>C271</t>
  </si>
  <si>
    <t>MKT1126</t>
  </si>
  <si>
    <t>C351</t>
  </si>
  <si>
    <t>MKT1127</t>
  </si>
  <si>
    <t>MKT1128</t>
  </si>
  <si>
    <t>C365</t>
  </si>
  <si>
    <t>MKT1129</t>
  </si>
  <si>
    <t>MKT1130</t>
  </si>
  <si>
    <t>C247</t>
  </si>
  <si>
    <t>MKT1131</t>
  </si>
  <si>
    <t>C277</t>
  </si>
  <si>
    <t>MKT1132</t>
  </si>
  <si>
    <t>MKT1133</t>
  </si>
  <si>
    <t>MKT1134</t>
  </si>
  <si>
    <t>MKT1135</t>
  </si>
  <si>
    <t>MKT1136</t>
  </si>
  <si>
    <t>MKT1137</t>
  </si>
  <si>
    <t>MKT1138</t>
  </si>
  <si>
    <t>MKT1139</t>
  </si>
  <si>
    <t>C306</t>
  </si>
  <si>
    <t>MKT1140</t>
  </si>
  <si>
    <t>MKT1141</t>
  </si>
  <si>
    <t>MKT1142</t>
  </si>
  <si>
    <t>C292</t>
  </si>
  <si>
    <t>MKT1143</t>
  </si>
  <si>
    <t>MKT1144</t>
  </si>
  <si>
    <t>MKT1145</t>
  </si>
  <si>
    <t>MKT1146</t>
  </si>
  <si>
    <t>C276</t>
  </si>
  <si>
    <t>MKT1147</t>
  </si>
  <si>
    <t>C284</t>
  </si>
  <si>
    <t>MKT1148</t>
  </si>
  <si>
    <t>C336</t>
  </si>
  <si>
    <t>MKT1149</t>
  </si>
  <si>
    <t>MKT1150</t>
  </si>
  <si>
    <t>C344</t>
  </si>
  <si>
    <t>MKT1151</t>
  </si>
  <si>
    <t>MKT1152</t>
  </si>
  <si>
    <t>C208</t>
  </si>
  <si>
    <t>MKT1153</t>
  </si>
  <si>
    <t>MKT1154</t>
  </si>
  <si>
    <t>C258</t>
  </si>
  <si>
    <t>MKT1155</t>
  </si>
  <si>
    <t>MKT1156</t>
  </si>
  <si>
    <t>C240</t>
  </si>
  <si>
    <t>MKT1157</t>
  </si>
  <si>
    <t>C309</t>
  </si>
  <si>
    <t>MKT1158</t>
  </si>
  <si>
    <t>C238</t>
  </si>
  <si>
    <t>MKT1159</t>
  </si>
  <si>
    <t>MKT1160</t>
  </si>
  <si>
    <t>C301</t>
  </si>
  <si>
    <t>MKT1161</t>
  </si>
  <si>
    <t>MKT1162</t>
  </si>
  <si>
    <t>MKT1163</t>
  </si>
  <si>
    <t>MKT1164</t>
  </si>
  <si>
    <t>MKT1165</t>
  </si>
  <si>
    <t>MKT1166</t>
  </si>
  <si>
    <t>MKT1167</t>
  </si>
  <si>
    <t>MKT1168</t>
  </si>
  <si>
    <t>MKT1169</t>
  </si>
  <si>
    <t>C245</t>
  </si>
  <si>
    <t>MKT1170</t>
  </si>
  <si>
    <t>MKT1171</t>
  </si>
  <si>
    <t>C289</t>
  </si>
  <si>
    <t>MKT1172</t>
  </si>
  <si>
    <t>C396</t>
  </si>
  <si>
    <t>MKT1173</t>
  </si>
  <si>
    <t>C315</t>
  </si>
  <si>
    <t>MKT1174</t>
  </si>
  <si>
    <t>MKT1175</t>
  </si>
  <si>
    <t>MKT1176</t>
  </si>
  <si>
    <t>MKT1177</t>
  </si>
  <si>
    <t>C225</t>
  </si>
  <si>
    <t>MKT1178</t>
  </si>
  <si>
    <t>MKT1179</t>
  </si>
  <si>
    <t>C331</t>
  </si>
  <si>
    <t>MKT1180</t>
  </si>
  <si>
    <t>C329</t>
  </si>
  <si>
    <t>MKT1181</t>
  </si>
  <si>
    <t>MKT1182</t>
  </si>
  <si>
    <t>C275</t>
  </si>
  <si>
    <t>MKT1183</t>
  </si>
  <si>
    <t>C219</t>
  </si>
  <si>
    <t>MKT1184</t>
  </si>
  <si>
    <t>C332</t>
  </si>
  <si>
    <t>MKT1185</t>
  </si>
  <si>
    <t>C296</t>
  </si>
  <si>
    <t>MKT1186</t>
  </si>
  <si>
    <t>MKT1187</t>
  </si>
  <si>
    <t>MKT1188</t>
  </si>
  <si>
    <t>MKT1189</t>
  </si>
  <si>
    <t>C203</t>
  </si>
  <si>
    <t>MKT1190</t>
  </si>
  <si>
    <t>MKT1191</t>
  </si>
  <si>
    <t>MKT1192</t>
  </si>
  <si>
    <t>C221</t>
  </si>
  <si>
    <t>MKT1193</t>
  </si>
  <si>
    <t>MKT1194</t>
  </si>
  <si>
    <t>MKT1195</t>
  </si>
  <si>
    <t>C273</t>
  </si>
  <si>
    <t>MKT1196</t>
  </si>
  <si>
    <t>MKT1197</t>
  </si>
  <si>
    <t>C337</t>
  </si>
  <si>
    <t>MKT1198</t>
  </si>
  <si>
    <t>MKT1199</t>
  </si>
  <si>
    <t>MKT1200</t>
  </si>
  <si>
    <t>MKT1201</t>
  </si>
  <si>
    <t>C307</t>
  </si>
  <si>
    <t>MKT1202</t>
  </si>
  <si>
    <t>C235</t>
  </si>
  <si>
    <t>MKT1203</t>
  </si>
  <si>
    <t>MKT1204</t>
  </si>
  <si>
    <t>MKT1205</t>
  </si>
  <si>
    <t>MKT1206</t>
  </si>
  <si>
    <t>C220</t>
  </si>
  <si>
    <t>MKT1207</t>
  </si>
  <si>
    <t>MKT1208</t>
  </si>
  <si>
    <t>C268</t>
  </si>
  <si>
    <t>MKT1209</t>
  </si>
  <si>
    <t>MKT1210</t>
  </si>
  <si>
    <t>MKT1211</t>
  </si>
  <si>
    <t>MKT1212</t>
  </si>
  <si>
    <t>MKT1213</t>
  </si>
  <si>
    <t>MKT1214</t>
  </si>
  <si>
    <t>MKT1215</t>
  </si>
  <si>
    <t>MKT1216</t>
  </si>
  <si>
    <t>C326</t>
  </si>
  <si>
    <t>MKT1217</t>
  </si>
  <si>
    <t>MKT1218</t>
  </si>
  <si>
    <t>MKT1219</t>
  </si>
  <si>
    <t>MKT1220</t>
  </si>
  <si>
    <t>MKT1221</t>
  </si>
  <si>
    <t>C237</t>
  </si>
  <si>
    <t>MKT1222</t>
  </si>
  <si>
    <t>C256</t>
  </si>
  <si>
    <t>MKT1223</t>
  </si>
  <si>
    <t>MKT1224</t>
  </si>
  <si>
    <t>MKT1225</t>
  </si>
  <si>
    <t>MKT1226</t>
  </si>
  <si>
    <t>C390</t>
  </si>
  <si>
    <t>MKT1227</t>
  </si>
  <si>
    <t>C323</t>
  </si>
  <si>
    <t>MKT1228</t>
  </si>
  <si>
    <t>C285</t>
  </si>
  <si>
    <t>MKT1229</t>
  </si>
  <si>
    <t>MKT1230</t>
  </si>
  <si>
    <t>MKT1231</t>
  </si>
  <si>
    <t>MKT1232</t>
  </si>
  <si>
    <t>MKT1233</t>
  </si>
  <si>
    <t>MKT1234</t>
  </si>
  <si>
    <t>MKT1235</t>
  </si>
  <si>
    <t>MKT1236</t>
  </si>
  <si>
    <t>C388</t>
  </si>
  <si>
    <t>MKT1237</t>
  </si>
  <si>
    <t>C394</t>
  </si>
  <si>
    <t>MKT1238</t>
  </si>
  <si>
    <t>MKT1239</t>
  </si>
  <si>
    <t>C389</t>
  </si>
  <si>
    <t>MKT1240</t>
  </si>
  <si>
    <t>MKT1241</t>
  </si>
  <si>
    <t>MKT1242</t>
  </si>
  <si>
    <t>MKT1243</t>
  </si>
  <si>
    <t>C229</t>
  </si>
  <si>
    <t>MKT1244</t>
  </si>
  <si>
    <t>MKT1245</t>
  </si>
  <si>
    <t>MKT1246</t>
  </si>
  <si>
    <t>C318</t>
  </si>
  <si>
    <t>MKT1247</t>
  </si>
  <si>
    <t>MKT1248</t>
  </si>
  <si>
    <t>MKT1249</t>
  </si>
  <si>
    <t>MKT1250</t>
  </si>
  <si>
    <t>C261</t>
  </si>
  <si>
    <t>MKT1251</t>
  </si>
  <si>
    <t>MKT1252</t>
  </si>
  <si>
    <t>MKT1253</t>
  </si>
  <si>
    <t>MKT1254</t>
  </si>
  <si>
    <t>C251</t>
  </si>
  <si>
    <t>MKT1255</t>
  </si>
  <si>
    <t>MKT1256</t>
  </si>
  <si>
    <t>MKT1257</t>
  </si>
  <si>
    <t>MKT1258</t>
  </si>
  <si>
    <t>MKT1259</t>
  </si>
  <si>
    <t>MKT1260</t>
  </si>
  <si>
    <t>MKT1261</t>
  </si>
  <si>
    <t>MKT1262</t>
  </si>
  <si>
    <t>MKT1263</t>
  </si>
  <si>
    <t>MKT1264</t>
  </si>
  <si>
    <t>MKT1265</t>
  </si>
  <si>
    <t>MKT1266</t>
  </si>
  <si>
    <t>MKT1267</t>
  </si>
  <si>
    <t>C322</t>
  </si>
  <si>
    <t>MKT1268</t>
  </si>
  <si>
    <t>MKT1269</t>
  </si>
  <si>
    <t>C380</t>
  </si>
  <si>
    <t>MKT1270</t>
  </si>
  <si>
    <t>MKT1271</t>
  </si>
  <si>
    <t>MKT1272</t>
  </si>
  <si>
    <t>MKT1273</t>
  </si>
  <si>
    <t>MKT1274</t>
  </si>
  <si>
    <t>C397</t>
  </si>
  <si>
    <t>MKT1275</t>
  </si>
  <si>
    <t>MKT1276</t>
  </si>
  <si>
    <t>MKT1277</t>
  </si>
  <si>
    <t>MKT1278</t>
  </si>
  <si>
    <t>C347</t>
  </si>
  <si>
    <t>MKT1279</t>
  </si>
  <si>
    <t>MKT1280</t>
  </si>
  <si>
    <t>MKT1281</t>
  </si>
  <si>
    <t>MKT1282</t>
  </si>
  <si>
    <t>C270</t>
  </si>
  <si>
    <t>MKT1283</t>
  </si>
  <si>
    <t>MKT1284</t>
  </si>
  <si>
    <t>MKT1285</t>
  </si>
  <si>
    <t>MKT1286</t>
  </si>
  <si>
    <t>MKT1287</t>
  </si>
  <si>
    <t>C302</t>
  </si>
  <si>
    <t>MKT1288</t>
  </si>
  <si>
    <t>C399</t>
  </si>
  <si>
    <t>MKT1289</t>
  </si>
  <si>
    <t>C358</t>
  </si>
  <si>
    <t>MKT1290</t>
  </si>
  <si>
    <t>C281</t>
  </si>
  <si>
    <t>MKT1291</t>
  </si>
  <si>
    <t>MKT1292</t>
  </si>
  <si>
    <t>MKT1293</t>
  </si>
  <si>
    <t>C325</t>
  </si>
  <si>
    <t>MKT1294</t>
  </si>
  <si>
    <t>MKT1295</t>
  </si>
  <si>
    <t>MKT1296</t>
  </si>
  <si>
    <t>MKT1297</t>
  </si>
  <si>
    <t>MKT1298</t>
  </si>
  <si>
    <t>C201</t>
  </si>
  <si>
    <t>MKT1299</t>
  </si>
  <si>
    <t>MKT1300</t>
  </si>
  <si>
    <t>MKT1301</t>
  </si>
  <si>
    <t>MKT1302</t>
  </si>
  <si>
    <t>MKT1303</t>
  </si>
  <si>
    <t>MKT1304</t>
  </si>
  <si>
    <t>MKT1305</t>
  </si>
  <si>
    <t>MKT1306</t>
  </si>
  <si>
    <t>C223</t>
  </si>
  <si>
    <t>MKT1307</t>
  </si>
  <si>
    <t>C372</t>
  </si>
  <si>
    <t>MKT1308</t>
  </si>
  <si>
    <t>MKT1309</t>
  </si>
  <si>
    <t>MKT1310</t>
  </si>
  <si>
    <t>MKT1311</t>
  </si>
  <si>
    <t>MKT1312</t>
  </si>
  <si>
    <t>MKT1313</t>
  </si>
  <si>
    <t>MKT1314</t>
  </si>
  <si>
    <t>MKT1315</t>
  </si>
  <si>
    <t>C386</t>
  </si>
  <si>
    <t>MKT1316</t>
  </si>
  <si>
    <t>C294</t>
  </si>
  <si>
    <t>MKT1317</t>
  </si>
  <si>
    <t>MKT1318</t>
  </si>
  <si>
    <t>MKT1319</t>
  </si>
  <si>
    <t>MKT1320</t>
  </si>
  <si>
    <t>C254</t>
  </si>
  <si>
    <t>MKT1321</t>
  </si>
  <si>
    <t>MKT1322</t>
  </si>
  <si>
    <t>MKT1323</t>
  </si>
  <si>
    <t>MKT1324</t>
  </si>
  <si>
    <t>MKT1325</t>
  </si>
  <si>
    <t>MKT1326</t>
  </si>
  <si>
    <t>MKT1327</t>
  </si>
  <si>
    <t>MKT1328</t>
  </si>
  <si>
    <t>MKT1329</t>
  </si>
  <si>
    <t>MKT1330</t>
  </si>
  <si>
    <t>MKT1331</t>
  </si>
  <si>
    <t>MKT1332</t>
  </si>
  <si>
    <t>MKT1333</t>
  </si>
  <si>
    <t>C291</t>
  </si>
  <si>
    <t>MKT1334</t>
  </si>
  <si>
    <t>MKT1335</t>
  </si>
  <si>
    <t>C212</t>
  </si>
  <si>
    <t>MKT1336</t>
  </si>
  <si>
    <t>MKT1337</t>
  </si>
  <si>
    <t>MKT1338</t>
  </si>
  <si>
    <t>MKT1339</t>
  </si>
  <si>
    <t>MKT1340</t>
  </si>
  <si>
    <t>MKT1341</t>
  </si>
  <si>
    <t>MKT1342</t>
  </si>
  <si>
    <t>MKT1343</t>
  </si>
  <si>
    <t>MKT1344</t>
  </si>
  <si>
    <t>MKT1345</t>
  </si>
  <si>
    <t>MKT1346</t>
  </si>
  <si>
    <t>MKT1347</t>
  </si>
  <si>
    <t>C398</t>
  </si>
  <si>
    <t>MKT1348</t>
  </si>
  <si>
    <t>MKT1349</t>
  </si>
  <si>
    <t>C222</t>
  </si>
  <si>
    <t>MKT1350</t>
  </si>
  <si>
    <t>MKT1351</t>
  </si>
  <si>
    <t>C213</t>
  </si>
  <si>
    <t>MKT1352</t>
  </si>
  <si>
    <t>MKT1353</t>
  </si>
  <si>
    <t>MKT1354</t>
  </si>
  <si>
    <t>MKT1355</t>
  </si>
  <si>
    <t>MKT1356</t>
  </si>
  <si>
    <t>C316</t>
  </si>
  <si>
    <t>MKT1357</t>
  </si>
  <si>
    <t>MKT1358</t>
  </si>
  <si>
    <t>MKT1359</t>
  </si>
  <si>
    <t>MKT1360</t>
  </si>
  <si>
    <t>MKT1361</t>
  </si>
  <si>
    <t>MKT1362</t>
  </si>
  <si>
    <t>MKT1363</t>
  </si>
  <si>
    <t>MKT1364</t>
  </si>
  <si>
    <t>MKT1365</t>
  </si>
  <si>
    <t>MKT1366</t>
  </si>
  <si>
    <t>MKT1367</t>
  </si>
  <si>
    <t>MKT1368</t>
  </si>
  <si>
    <t>MKT1369</t>
  </si>
  <si>
    <t>MKT1370</t>
  </si>
  <si>
    <t>C393</t>
  </si>
  <si>
    <t>MKT1371</t>
  </si>
  <si>
    <t>MKT1372</t>
  </si>
  <si>
    <t>C295</t>
  </si>
  <si>
    <t>MKT1373</t>
  </si>
  <si>
    <t>MKT1374</t>
  </si>
  <si>
    <t>MKT1375</t>
  </si>
  <si>
    <t>MKT1376</t>
  </si>
  <si>
    <t>MKT1377</t>
  </si>
  <si>
    <t>MKT1378</t>
  </si>
  <si>
    <t>MKT1379</t>
  </si>
  <si>
    <t>MKT1380</t>
  </si>
  <si>
    <t>C352</t>
  </si>
  <si>
    <t>MKT1381</t>
  </si>
  <si>
    <t>MKT1382</t>
  </si>
  <si>
    <t>C353</t>
  </si>
  <si>
    <t>MKT1383</t>
  </si>
  <si>
    <t>C260</t>
  </si>
  <si>
    <t>MKT1384</t>
  </si>
  <si>
    <t>MKT1385</t>
  </si>
  <si>
    <t>MKT1386</t>
  </si>
  <si>
    <t>MKT1387</t>
  </si>
  <si>
    <t>C312</t>
  </si>
  <si>
    <t>MKT1388</t>
  </si>
  <si>
    <t>MKT1389</t>
  </si>
  <si>
    <t>MKT1390</t>
  </si>
  <si>
    <t>MKT1391</t>
  </si>
  <si>
    <t>MKT1392</t>
  </si>
  <si>
    <t>C374</t>
  </si>
  <si>
    <t>MKT1393</t>
  </si>
  <si>
    <t>MKT1394</t>
  </si>
  <si>
    <t>C249</t>
  </si>
  <si>
    <t>MKT1395</t>
  </si>
  <si>
    <t>MKT1396</t>
  </si>
  <si>
    <t>MKT1397</t>
  </si>
  <si>
    <t>MKT1398</t>
  </si>
  <si>
    <t>MKT1399</t>
  </si>
  <si>
    <t>MKT1400</t>
  </si>
  <si>
    <t>MKT1401</t>
  </si>
  <si>
    <t>MKT1402</t>
  </si>
  <si>
    <t>MKT1403</t>
  </si>
  <si>
    <t>MKT1404</t>
  </si>
  <si>
    <t>MKT1405</t>
  </si>
  <si>
    <t>MKT1406</t>
  </si>
  <si>
    <t>MKT1407</t>
  </si>
  <si>
    <t>MKT1408</t>
  </si>
  <si>
    <t>MKT1409</t>
  </si>
  <si>
    <t>MKT1410</t>
  </si>
  <si>
    <t>MKT1411</t>
  </si>
  <si>
    <t>MKT1412</t>
  </si>
  <si>
    <t>MKT1413</t>
  </si>
  <si>
    <t>MKT1414</t>
  </si>
  <si>
    <t>C395</t>
  </si>
  <si>
    <t>MKT1415</t>
  </si>
  <si>
    <t>MKT1416</t>
  </si>
  <si>
    <t>MKT1417</t>
  </si>
  <si>
    <t>C317</t>
  </si>
  <si>
    <t>MKT1418</t>
  </si>
  <si>
    <t>C200</t>
  </si>
  <si>
    <t>MKT1419</t>
  </si>
  <si>
    <t>MKT1420</t>
  </si>
  <si>
    <t>MKT1421</t>
  </si>
  <si>
    <t>MKT1422</t>
  </si>
  <si>
    <t>MKT1423</t>
  </si>
  <si>
    <t>MKT1424</t>
  </si>
  <si>
    <t>MKT1425</t>
  </si>
  <si>
    <t>MKT1426</t>
  </si>
  <si>
    <t>MKT1427</t>
  </si>
  <si>
    <t>MKT1428</t>
  </si>
  <si>
    <t>MKT1429</t>
  </si>
  <si>
    <t>MKT1430</t>
  </si>
  <si>
    <t>C230</t>
  </si>
  <si>
    <t>MKT1431</t>
  </si>
  <si>
    <t>MKT1432</t>
  </si>
  <si>
    <t>MKT1433</t>
  </si>
  <si>
    <t>C384</t>
  </si>
  <si>
    <t>MKT1434</t>
  </si>
  <si>
    <t>MKT1435</t>
  </si>
  <si>
    <t>MKT1436</t>
  </si>
  <si>
    <t>MKT1437</t>
  </si>
  <si>
    <t>MKT1438</t>
  </si>
  <si>
    <t>MKT1439</t>
  </si>
  <si>
    <t>MKT1440</t>
  </si>
  <si>
    <t>MKT1441</t>
  </si>
  <si>
    <t>MKT1442</t>
  </si>
  <si>
    <t>MKT1443</t>
  </si>
  <si>
    <t>MKT1444</t>
  </si>
  <si>
    <t>C320</t>
  </si>
  <si>
    <t>MKT1445</t>
  </si>
  <si>
    <t>MKT1446</t>
  </si>
  <si>
    <t>MKT1447</t>
  </si>
  <si>
    <t>C253</t>
  </si>
  <si>
    <t>MKT1448</t>
  </si>
  <si>
    <t>C333</t>
  </si>
  <si>
    <t>MKT1449</t>
  </si>
  <si>
    <t>MKT1450</t>
  </si>
  <si>
    <t>C272</t>
  </si>
  <si>
    <t>MKT1451</t>
  </si>
  <si>
    <t>MKT1452</t>
  </si>
  <si>
    <t>MKT1453</t>
  </si>
  <si>
    <t>MKT1454</t>
  </si>
  <si>
    <t>MKT1455</t>
  </si>
  <si>
    <t>C354</t>
  </si>
  <si>
    <t>MKT1456</t>
  </si>
  <si>
    <t>C335</t>
  </si>
  <si>
    <t>MKT1457</t>
  </si>
  <si>
    <t>MKT1458</t>
  </si>
  <si>
    <t>MKT1459</t>
  </si>
  <si>
    <t>MKT1460</t>
  </si>
  <si>
    <t>MKT1461</t>
  </si>
  <si>
    <t>MKT1462</t>
  </si>
  <si>
    <t>MKT1463</t>
  </si>
  <si>
    <t>MKT1464</t>
  </si>
  <si>
    <t>MKT1465</t>
  </si>
  <si>
    <t>MKT1466</t>
  </si>
  <si>
    <t>MKT1467</t>
  </si>
  <si>
    <t>MKT1468</t>
  </si>
  <si>
    <t>MKT1469</t>
  </si>
  <si>
    <t>MKT1470</t>
  </si>
  <si>
    <t>MKT1471</t>
  </si>
  <si>
    <t>MKT1472</t>
  </si>
  <si>
    <t>C379</t>
  </si>
  <si>
    <t>MKT1473</t>
  </si>
  <si>
    <t>MKT1474</t>
  </si>
  <si>
    <t>MKT1475</t>
  </si>
  <si>
    <t>MKT1476</t>
  </si>
  <si>
    <t>MKT1477</t>
  </si>
  <si>
    <t>MKT1478</t>
  </si>
  <si>
    <t>MKT1479</t>
  </si>
  <si>
    <t>MKT1480</t>
  </si>
  <si>
    <t>MKT1481</t>
  </si>
  <si>
    <t>MKT1482</t>
  </si>
  <si>
    <t>MKT1483</t>
  </si>
  <si>
    <t>MKT1484</t>
  </si>
  <si>
    <t>MKT1485</t>
  </si>
  <si>
    <t>MKT1486</t>
  </si>
  <si>
    <t>MKT1487</t>
  </si>
  <si>
    <t>MKT1488</t>
  </si>
  <si>
    <t>MKT1489</t>
  </si>
  <si>
    <t>C369</t>
  </si>
  <si>
    <t>MKT1490</t>
  </si>
  <si>
    <t>MKT1491</t>
  </si>
  <si>
    <t>MKT1492</t>
  </si>
  <si>
    <t>MKT1493</t>
  </si>
  <si>
    <t>MKT1494</t>
  </si>
  <si>
    <t>MKT1495</t>
  </si>
  <si>
    <t>MKT1496</t>
  </si>
  <si>
    <t>C308</t>
  </si>
  <si>
    <t>MKT1497</t>
  </si>
  <si>
    <t>MKT1498</t>
  </si>
  <si>
    <t>MKT1499</t>
  </si>
  <si>
    <t>Averages</t>
  </si>
  <si>
    <t>Values</t>
  </si>
  <si>
    <t>Customer satisfaction</t>
  </si>
  <si>
    <t>Channel_ID</t>
  </si>
  <si>
    <t>Maarketing_Channel</t>
  </si>
  <si>
    <t>CPC_Benchmark</t>
  </si>
  <si>
    <t>CH001</t>
  </si>
  <si>
    <t>CH002</t>
  </si>
  <si>
    <t>CH003</t>
  </si>
  <si>
    <t>CH004</t>
  </si>
  <si>
    <t>CH005</t>
  </si>
  <si>
    <t>Channel_Benchmark</t>
  </si>
  <si>
    <t>Performance_vs_Benchmark</t>
  </si>
  <si>
    <t>Campaign_type_flag</t>
  </si>
  <si>
    <t>Campaign_type</t>
  </si>
  <si>
    <t>Priority</t>
  </si>
  <si>
    <t>Seasonal Sale</t>
  </si>
  <si>
    <t>High</t>
  </si>
  <si>
    <t>Medium</t>
  </si>
  <si>
    <t>Low</t>
  </si>
  <si>
    <t>Total_Campaigns</t>
  </si>
  <si>
    <t>Total_Conversions</t>
  </si>
  <si>
    <t>Total_Ad-Spend</t>
  </si>
  <si>
    <t>Average_CTR</t>
  </si>
  <si>
    <t>Avg_Satisfaction</t>
  </si>
  <si>
    <t>Summary_Statistics</t>
  </si>
  <si>
    <t>Best_Perf_Channel</t>
  </si>
  <si>
    <t>Most_Campaigns</t>
  </si>
  <si>
    <t>Lowest_Ad_Spend</t>
  </si>
  <si>
    <t>Duplicate_checker</t>
  </si>
  <si>
    <t>Column_blanks</t>
  </si>
  <si>
    <t>Col_Q</t>
  </si>
  <si>
    <t>Col_R</t>
  </si>
  <si>
    <t>Col_T</t>
  </si>
  <si>
    <t>Sum of Conversions</t>
  </si>
  <si>
    <t>Row Labels</t>
  </si>
  <si>
    <t>Grand Total</t>
  </si>
  <si>
    <t>Sum of Ad_Spend</t>
  </si>
  <si>
    <t>Sum of Clicks</t>
  </si>
  <si>
    <t>Metric</t>
  </si>
  <si>
    <t>Mean</t>
  </si>
  <si>
    <t>Median</t>
  </si>
  <si>
    <t>Mode</t>
  </si>
  <si>
    <t>Std_Deviation</t>
  </si>
  <si>
    <t>Variance</t>
  </si>
  <si>
    <t>Min</t>
  </si>
  <si>
    <t>Max</t>
  </si>
  <si>
    <t>Conversion</t>
  </si>
  <si>
    <t>Correlation_Analysis</t>
  </si>
  <si>
    <t>Ad_Spend vs Conversion</t>
  </si>
  <si>
    <t>Clicks vs Conversion</t>
  </si>
  <si>
    <t>CTR vs Conversion</t>
  </si>
  <si>
    <t>Correlation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</si>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</sst>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sz val="11"/>
      <color theme="1"/>
      <name val="Calibri"/>
      <family val="2"/>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14" fontId="3" fillId="0" borderId="0" xfId="0" applyNumberFormat="1" applyFont="1"/>
    <xf numFmtId="0" fontId="2" fillId="0" borderId="0" xfId="0" applyFont="1" applyAlignment="1">
      <alignment horizontal="center"/>
    </xf>
    <xf numFmtId="0" fontId="0" fillId="0" borderId="0" xfId="0" applyAlignment="1">
      <alignment horizontal="center"/>
    </xf>
    <xf numFmtId="2" fontId="0" fillId="0" borderId="0" xfId="0" applyNumberFormat="1"/>
    <xf numFmtId="0" fontId="1" fillId="0" borderId="0" xfId="0" applyFont="1" applyAlignment="1">
      <alignment horizontal="center"/>
    </xf>
    <xf numFmtId="0" fontId="0" fillId="0" borderId="0" xfId="0" applyNumberFormat="1"/>
    <xf numFmtId="0" fontId="1" fillId="0" borderId="0" xfId="0" applyFont="1"/>
    <xf numFmtId="0" fontId="0" fillId="0" borderId="0" xfId="0" applyFont="1"/>
    <xf numFmtId="0" fontId="0" fillId="0" borderId="0" xfId="0" pivotButton="1"/>
    <xf numFmtId="0" fontId="0" fillId="0" borderId="0" xfId="0" applyAlignment="1">
      <alignment horizontal="lef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[Levels1&amp;2_complete.csv.xlsx]Pivot_report!PivotTable1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Pivot_report!$B$1</c:f>
              <c:strCache>
                <c:ptCount val="1"/>
                <c:pt idx="0">
                  <c:v>Sum of Conversions</c:v>
                </c:pt>
              </c:strCache>
            </c:strRef>
          </c:tx>
          <c:spPr>
            <a:solidFill>
              <a:schemeClr val="accent1"/>
            </a:solidFill>
            <a:ln>
              <a:noFill/>
            </a:ln>
            <a:effectLst/>
          </c:spPr>
          <c:invertIfNegative val="0"/>
          <c:cat>
            <c:strRef>
              <c:f>Pivot_report!$A$2:$A$7</c:f>
              <c:strCache>
                <c:ptCount val="5"/>
                <c:pt idx="0">
                  <c:v>Email</c:v>
                </c:pt>
                <c:pt idx="1">
                  <c:v>Facebook Ads</c:v>
                </c:pt>
                <c:pt idx="2">
                  <c:v>Google Ads</c:v>
                </c:pt>
                <c:pt idx="3">
                  <c:v>Instagram</c:v>
                </c:pt>
                <c:pt idx="4">
                  <c:v>Referral</c:v>
                </c:pt>
              </c:strCache>
            </c:strRef>
          </c:cat>
          <c:val>
            <c:numRef>
              <c:f>Pivot_report!$B$2:$B$7</c:f>
              <c:numCache>
                <c:formatCode>General</c:formatCode>
                <c:ptCount val="5"/>
                <c:pt idx="0">
                  <c:v>15640</c:v>
                </c:pt>
                <c:pt idx="1">
                  <c:v>18835</c:v>
                </c:pt>
                <c:pt idx="2">
                  <c:v>20533</c:v>
                </c:pt>
                <c:pt idx="3">
                  <c:v>22625</c:v>
                </c:pt>
                <c:pt idx="4">
                  <c:v>20318</c:v>
                </c:pt>
              </c:numCache>
            </c:numRef>
          </c:val>
          <c:extLst>
            <c:ext xmlns:c16="http://schemas.microsoft.com/office/drawing/2014/chart" uri="{C3380CC4-5D6E-409C-BE32-E72D297353CC}">
              <c16:uniqueId val="{00000000-4B49-4F31-B783-8F8E157B36FC}"/>
            </c:ext>
          </c:extLst>
        </c:ser>
        <c:ser>
          <c:idx val="1"/>
          <c:order val="1"/>
          <c:tx>
            <c:strRef>
              <c:f>Pivot_report!$C$1</c:f>
              <c:strCache>
                <c:ptCount val="1"/>
                <c:pt idx="0">
                  <c:v>Sum of Ad_Spend</c:v>
                </c:pt>
              </c:strCache>
            </c:strRef>
          </c:tx>
          <c:spPr>
            <a:solidFill>
              <a:schemeClr val="accent2"/>
            </a:solidFill>
            <a:ln>
              <a:noFill/>
            </a:ln>
            <a:effectLst/>
          </c:spPr>
          <c:invertIfNegative val="0"/>
          <c:cat>
            <c:strRef>
              <c:f>Pivot_report!$A$2:$A$7</c:f>
              <c:strCache>
                <c:ptCount val="5"/>
                <c:pt idx="0">
                  <c:v>Email</c:v>
                </c:pt>
                <c:pt idx="1">
                  <c:v>Facebook Ads</c:v>
                </c:pt>
                <c:pt idx="2">
                  <c:v>Google Ads</c:v>
                </c:pt>
                <c:pt idx="3">
                  <c:v>Instagram</c:v>
                </c:pt>
                <c:pt idx="4">
                  <c:v>Referral</c:v>
                </c:pt>
              </c:strCache>
            </c:strRef>
          </c:cat>
          <c:val>
            <c:numRef>
              <c:f>Pivot_report!$C$2:$C$7</c:f>
              <c:numCache>
                <c:formatCode>General</c:formatCode>
                <c:ptCount val="5"/>
                <c:pt idx="0">
                  <c:v>86773.240000000034</c:v>
                </c:pt>
                <c:pt idx="1">
                  <c:v>109367.45999999998</c:v>
                </c:pt>
                <c:pt idx="2">
                  <c:v>102540.64999999997</c:v>
                </c:pt>
                <c:pt idx="3">
                  <c:v>114210.10000000002</c:v>
                </c:pt>
                <c:pt idx="4">
                  <c:v>106296.51000000004</c:v>
                </c:pt>
              </c:numCache>
            </c:numRef>
          </c:val>
          <c:extLst>
            <c:ext xmlns:c16="http://schemas.microsoft.com/office/drawing/2014/chart" uri="{C3380CC4-5D6E-409C-BE32-E72D297353CC}">
              <c16:uniqueId val="{00000001-4B49-4F31-B783-8F8E157B36FC}"/>
            </c:ext>
          </c:extLst>
        </c:ser>
        <c:dLbls>
          <c:showLegendKey val="0"/>
          <c:showVal val="0"/>
          <c:showCatName val="0"/>
          <c:showSerName val="0"/>
          <c:showPercent val="0"/>
          <c:showBubbleSize val="0"/>
        </c:dLbls>
        <c:gapWidth val="182"/>
        <c:axId val="1702105472"/>
        <c:axId val="1702107136"/>
      </c:barChart>
      <c:catAx>
        <c:axId val="170210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107136"/>
        <c:crosses val="autoZero"/>
        <c:auto val="1"/>
        <c:lblAlgn val="ctr"/>
        <c:lblOffset val="100"/>
        <c:noMultiLvlLbl val="0"/>
      </c:catAx>
      <c:valAx>
        <c:axId val="170210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105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587375</xdr:colOff>
      <xdr:row>8</xdr:row>
      <xdr:rowOff>63500</xdr:rowOff>
    </xdr:from>
    <xdr:to>
      <xdr:col>9</xdr:col>
      <xdr:colOff>44450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260350</xdr:colOff>
      <xdr:row>8</xdr:row>
      <xdr:rowOff>76200</xdr:rowOff>
    </xdr:from>
    <xdr:to>
      <xdr:col>12</xdr:col>
      <xdr:colOff>260350</xdr:colOff>
      <xdr:row>22</xdr:row>
      <xdr:rowOff>22225</xdr:rowOff>
    </xdr:to>
    <mc:AlternateContent xmlns:mc="http://schemas.openxmlformats.org/markup-compatibility/2006" xmlns:a14="http://schemas.microsoft.com/office/drawing/2010/main">
      <mc:Choice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77250" y="154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rketing_campaign_dataset_500_row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ing_campaign_dataset_500_"/>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oria" refreshedDate="46162.965274652779" createdVersion="6" refreshedVersion="6" minRefreshableVersion="3" recordCount="500">
  <cacheSource type="worksheet">
    <worksheetSource ref="A1:AA501" sheet="Cleaned_data"/>
  </cacheSource>
  <cacheFields count="27">
    <cacheField name="Campaign_ID" numFmtId="0">
      <sharedItems/>
    </cacheField>
    <cacheField name="Date" numFmtId="14">
      <sharedItems containsSemiMixedTypes="0" containsNonDate="0" containsDate="1" containsString="0" minDate="2024-01-01T00:00:00" maxDate="2024-12-31T00:00:00"/>
    </cacheField>
    <cacheField name="Customer_ID" numFmtId="0">
      <sharedItems/>
    </cacheField>
    <cacheField name="Age" numFmtId="0">
      <sharedItems containsSemiMixedTypes="0" containsString="0" containsNumber="1" containsInteger="1" minValue="18" maxValue="64"/>
    </cacheField>
    <cacheField name="Gender" numFmtId="0">
      <sharedItems/>
    </cacheField>
    <cacheField name="Country" numFmtId="0">
      <sharedItems containsBlank="1" count="7">
        <s v="USA"/>
        <s v="Nigeria"/>
        <s v="UK"/>
        <s v="Ghana"/>
        <s v="South Africa"/>
        <s v="Kenya"/>
        <m/>
      </sharedItems>
    </cacheField>
    <cacheField name="Marketing_Channel" numFmtId="0">
      <sharedItems count="5">
        <s v="Facebook Ads"/>
        <s v="Google Ads"/>
        <s v="Referral"/>
        <s v="Instagram"/>
        <s v="Email"/>
      </sharedItems>
    </cacheField>
    <cacheField name="Campaign_Type" numFmtId="0">
      <sharedItems count="4">
        <s v="Product Launch"/>
        <s v="Brand Awareness"/>
        <s v="Holiday Promo"/>
        <s v="Discount"/>
      </sharedItems>
    </cacheField>
    <cacheField name="Ad_Spend" numFmtId="0">
      <sharedItems containsSemiMixedTypes="0" containsString="0" containsNumber="1" minValue="50.16" maxValue="1998.65"/>
    </cacheField>
    <cacheField name="Impressions" numFmtId="0">
      <sharedItems containsSemiMixedTypes="0" containsString="0" containsNumber="1" containsInteger="1" minValue="514" maxValue="49876"/>
    </cacheField>
    <cacheField name="Clicks" numFmtId="0">
      <sharedItems containsSemiMixedTypes="0" containsString="0" containsNumber="1" containsInteger="1" minValue="12" maxValue="4997"/>
    </cacheField>
    <cacheField name="Conversions" numFmtId="0">
      <sharedItems containsSemiMixedTypes="0" containsString="0" containsNumber="1" containsInteger="1" minValue="2" maxValue="399"/>
    </cacheField>
    <cacheField name="Customer_Satisfaction" numFmtId="0">
      <sharedItems containsString="0" containsBlank="1" containsNumber="1" containsInteger="1" minValue="1" maxValue="5"/>
    </cacheField>
    <cacheField name="CTR_%" numFmtId="0">
      <sharedItems containsSemiMixedTypes="0" containsString="0" containsNumber="1" minValue="3.2187977999999999E-2" maxValue="781.12840470000003"/>
    </cacheField>
    <cacheField name="Conversion_Rate_%" numFmtId="0">
      <sharedItems containsSemiMixedTypes="0" containsString="0" containsNumber="1" minValue="6.0331824999999999E-2" maxValue="1747.3684209999999"/>
    </cacheField>
    <cacheField name="Cust_satifaction_full" numFmtId="0">
      <sharedItems containsSemiMixedTypes="0" containsString="0" containsNumber="1" containsInteger="1" minValue="1" maxValue="5"/>
    </cacheField>
    <cacheField name="Col_Q" numFmtId="0">
      <sharedItems containsNonDate="0" containsString="0" containsBlank="1"/>
    </cacheField>
    <cacheField name="Col_R" numFmtId="0">
      <sharedItems containsNonDate="0" containsString="0" containsBlank="1"/>
    </cacheField>
    <cacheField name="avg_cust_satisfaction" numFmtId="0">
      <sharedItems containsString="0" containsBlank="1" containsNumber="1" containsInteger="1" minValue="3" maxValue="3"/>
    </cacheField>
    <cacheField name="Col_T" numFmtId="0">
      <sharedItems containsNonDate="0" containsString="0" containsBlank="1"/>
    </cacheField>
    <cacheField name="Num_over_100" numFmtId="0">
      <sharedItems containsString="0" containsBlank="1" containsNumber="1" containsInteger="1" minValue="0" maxValue="0"/>
    </cacheField>
    <cacheField name="Perfomance_Rating" numFmtId="0">
      <sharedItems/>
    </cacheField>
    <cacheField name="CTR_Category" numFmtId="0">
      <sharedItems/>
    </cacheField>
    <cacheField name="Spend_Flag" numFmtId="0">
      <sharedItems/>
    </cacheField>
    <cacheField name="Channel_Benchmark" numFmtId="0">
      <sharedItems containsSemiMixedTypes="0" containsString="0" containsNumber="1" minValue="0.2" maxValue="1.2"/>
    </cacheField>
    <cacheField name="Performance_vs_Benchmark" numFmtId="0">
      <sharedItems/>
    </cacheField>
    <cacheField name="Campaign_type_flag"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MKT1000"/>
    <d v="2024-06-24T00:00:00"/>
    <s v="C378"/>
    <n v="27"/>
    <s v="Male"/>
    <x v="0"/>
    <x v="0"/>
    <x v="0"/>
    <n v="1779.52"/>
    <n v="35715"/>
    <n v="3140"/>
    <n v="274"/>
    <n v="2"/>
    <n v="8.7918241639999994"/>
    <n v="8.7261146499999995"/>
    <n v="2"/>
    <m/>
    <m/>
    <n v="3"/>
    <m/>
    <n v="0"/>
    <s v="Top Performer"/>
    <e v="#NAME?"/>
    <s v="High Budget"/>
    <n v="0.5"/>
    <s v="Inefficient Spend"/>
    <s v="High"/>
  </r>
  <r>
    <s v="MKT1001"/>
    <d v="2024-07-15T00:00:00"/>
    <s v="C345"/>
    <n v="24"/>
    <s v="Female"/>
    <x v="1"/>
    <x v="1"/>
    <x v="1"/>
    <n v="464.78"/>
    <n v="13758"/>
    <n v="3324"/>
    <n v="5"/>
    <n v="3"/>
    <n v="24.160488440000002"/>
    <n v="0.15042117899999999"/>
    <n v="3"/>
    <m/>
    <m/>
    <m/>
    <m/>
    <n v="0"/>
    <s v="Low Performer"/>
    <e v="#NAME?"/>
    <s v="Low Budget"/>
    <n v="1.2"/>
    <s v="Efficient Spend"/>
    <s v="Medium"/>
  </r>
  <r>
    <s v="MKT1002"/>
    <d v="2024-01-26T00:00:00"/>
    <s v="C239"/>
    <n v="35"/>
    <s v="Other"/>
    <x v="0"/>
    <x v="0"/>
    <x v="2"/>
    <n v="561.14"/>
    <n v="48381"/>
    <n v="321"/>
    <n v="163"/>
    <m/>
    <n v="0.66348359899999998"/>
    <n v="50.778816200000001"/>
    <n v="3"/>
    <m/>
    <m/>
    <m/>
    <m/>
    <m/>
    <s v="Low Performer"/>
    <e v="#NAME?"/>
    <s v="Medium Budget"/>
    <n v="0.5"/>
    <s v="Inefficient Spend"/>
    <s v="High"/>
  </r>
  <r>
    <s v="MKT1003"/>
    <d v="2024-03-08T00:00:00"/>
    <s v="C266"/>
    <n v="20"/>
    <s v="Male"/>
    <x v="1"/>
    <x v="0"/>
    <x v="1"/>
    <n v="297.57"/>
    <n v="15697"/>
    <n v="3375"/>
    <n v="280"/>
    <n v="5"/>
    <n v="21.500923740000001"/>
    <n v="8.2962962959999995"/>
    <n v="5"/>
    <m/>
    <m/>
    <m/>
    <m/>
    <n v="0"/>
    <s v="Top Performer"/>
    <e v="#NAME?"/>
    <s v="Low Budget"/>
    <n v="0.5"/>
    <s v="Efficient Spend"/>
    <s v="Medium"/>
  </r>
  <r>
    <s v="MKT1004"/>
    <d v="2024-07-30T00:00:00"/>
    <s v="C282"/>
    <n v="32"/>
    <s v="Female"/>
    <x v="2"/>
    <x v="2"/>
    <x v="2"/>
    <n v="1074.8599999999999"/>
    <n v="2245"/>
    <n v="4858"/>
    <n v="373"/>
    <n v="2"/>
    <n v="216.3919822"/>
    <n v="7.6780568139999996"/>
    <n v="2"/>
    <m/>
    <m/>
    <m/>
    <m/>
    <n v="0"/>
    <s v="Top Performer"/>
    <e v="#NAME?"/>
    <s v="High Budget"/>
    <n v="0.3"/>
    <s v="Efficient Spend"/>
    <s v="High"/>
  </r>
  <r>
    <s v="MKT1005"/>
    <d v="2024-04-13T00:00:00"/>
    <s v="C227"/>
    <n v="64"/>
    <s v="Other"/>
    <x v="3"/>
    <x v="3"/>
    <x v="1"/>
    <n v="665.19"/>
    <n v="10209"/>
    <n v="2859"/>
    <n v="149"/>
    <n v="5"/>
    <n v="28.004701730000001"/>
    <n v="5.2116124519999998"/>
    <n v="5"/>
    <m/>
    <m/>
    <m/>
    <m/>
    <n v="0"/>
    <s v="Average Performer"/>
    <e v="#NAME?"/>
    <s v="Medium Budget"/>
    <n v="0.75"/>
    <s v="Efficient Spend"/>
    <s v="Medium"/>
  </r>
  <r>
    <s v="MKT1006"/>
    <d v="2024-12-14T00:00:00"/>
    <s v="C279"/>
    <n v="20"/>
    <s v="Other"/>
    <x v="2"/>
    <x v="3"/>
    <x v="2"/>
    <n v="514.58000000000004"/>
    <n v="11892"/>
    <n v="367"/>
    <n v="293"/>
    <n v="4"/>
    <n v="3.086108308"/>
    <n v="79.836512260000006"/>
    <n v="4"/>
    <m/>
    <m/>
    <m/>
    <m/>
    <n v="0"/>
    <s v="Low Performer"/>
    <e v="#NAME?"/>
    <s v="Medium Budget"/>
    <n v="0.75"/>
    <s v="Inefficient Spend"/>
    <s v="High"/>
  </r>
  <r>
    <s v="MKT1007"/>
    <d v="2024-07-04T00:00:00"/>
    <s v="C279"/>
    <n v="49"/>
    <s v="Other"/>
    <x v="4"/>
    <x v="2"/>
    <x v="2"/>
    <n v="187.7"/>
    <n v="34575"/>
    <n v="4519"/>
    <n v="6"/>
    <n v="3"/>
    <n v="13.07013738"/>
    <n v="0.132772737"/>
    <n v="3"/>
    <m/>
    <m/>
    <m/>
    <m/>
    <n v="0"/>
    <s v="Low Performer"/>
    <e v="#NAME?"/>
    <s v="Low Budget"/>
    <n v="0.3"/>
    <s v="Efficient Spend"/>
    <s v="High"/>
  </r>
  <r>
    <s v="MKT1008"/>
    <d v="2024-01-24T00:00:00"/>
    <s v="C338"/>
    <n v="26"/>
    <s v="Female"/>
    <x v="4"/>
    <x v="0"/>
    <x v="0"/>
    <n v="1985.97"/>
    <n v="26045"/>
    <n v="2084"/>
    <n v="240"/>
    <n v="4"/>
    <n v="8.0015358029999994"/>
    <n v="11.51631478"/>
    <n v="4"/>
    <m/>
    <m/>
    <m/>
    <m/>
    <n v="0"/>
    <s v="Average Performer"/>
    <e v="#NAME?"/>
    <s v="High Budget"/>
    <n v="0.5"/>
    <s v="Inefficient Spend"/>
    <s v="High"/>
  </r>
  <r>
    <s v="MKT1009"/>
    <d v="2024-03-13T00:00:00"/>
    <s v="C346"/>
    <n v="31"/>
    <s v="Other"/>
    <x v="1"/>
    <x v="3"/>
    <x v="1"/>
    <n v="1642.32"/>
    <n v="8802"/>
    <n v="735"/>
    <n v="220"/>
    <n v="5"/>
    <n v="8.3503749149999997"/>
    <n v="29.93197279"/>
    <n v="5"/>
    <m/>
    <m/>
    <m/>
    <m/>
    <n v="0"/>
    <s v="Low Performer"/>
    <e v="#NAME?"/>
    <s v="High Budget"/>
    <n v="0.75"/>
    <s v="Inefficient Spend"/>
    <s v="Medium"/>
  </r>
  <r>
    <s v="MKT1010"/>
    <d v="2024-12-11T00:00:00"/>
    <s v="C252"/>
    <n v="46"/>
    <s v="Male"/>
    <x v="5"/>
    <x v="2"/>
    <x v="0"/>
    <n v="686.5"/>
    <n v="8134"/>
    <n v="1108"/>
    <n v="140"/>
    <n v="1"/>
    <n v="13.62183428"/>
    <n v="12.63537906"/>
    <n v="1"/>
    <m/>
    <m/>
    <m/>
    <m/>
    <n v="0"/>
    <s v="Average Performer"/>
    <e v="#NAME?"/>
    <s v="Medium Budget"/>
    <n v="0.3"/>
    <s v="Inefficient Spend"/>
    <s v="High"/>
  </r>
  <r>
    <s v="MKT1011"/>
    <d v="2024-02-12T00:00:00"/>
    <s v="C334"/>
    <n v="59"/>
    <s v="Other"/>
    <x v="4"/>
    <x v="1"/>
    <x v="0"/>
    <n v="847.08"/>
    <n v="24160"/>
    <n v="4205"/>
    <n v="211"/>
    <n v="5"/>
    <n v="17.404801320000001"/>
    <n v="5.0178359099999996"/>
    <n v="5"/>
    <m/>
    <m/>
    <m/>
    <m/>
    <n v="0"/>
    <s v="Top Performer"/>
    <e v="#NAME?"/>
    <s v="Medium Budget"/>
    <n v="1.2"/>
    <s v="Efficient Spend"/>
    <s v="High"/>
  </r>
  <r>
    <s v="MKT1012"/>
    <d v="2024-08-06T00:00:00"/>
    <s v="C345"/>
    <n v="44"/>
    <s v="Other"/>
    <x v="1"/>
    <x v="4"/>
    <x v="3"/>
    <n v="1143.3599999999999"/>
    <n v="8173"/>
    <n v="825"/>
    <n v="16"/>
    <m/>
    <n v="10.094212649999999"/>
    <n v="1.9393939389999999"/>
    <n v="3"/>
    <m/>
    <m/>
    <m/>
    <m/>
    <n v="0"/>
    <s v="Low Performer"/>
    <e v="#NAME?"/>
    <s v="High Budget"/>
    <n v="0.2"/>
    <s v="Inefficient Spend"/>
    <s v="Medium"/>
  </r>
  <r>
    <s v="MKT1013"/>
    <d v="2024-06-16T00:00:00"/>
    <s v="C267"/>
    <n v="57"/>
    <s v="Male"/>
    <x v="4"/>
    <x v="0"/>
    <x v="3"/>
    <n v="151.38"/>
    <n v="11942"/>
    <n v="4640"/>
    <n v="59"/>
    <n v="3"/>
    <n v="38.854463240000001"/>
    <n v="1.271551724"/>
    <n v="3"/>
    <m/>
    <m/>
    <m/>
    <m/>
    <m/>
    <s v="Low Performer"/>
    <e v="#NAME?"/>
    <s v="Low Budget"/>
    <n v="0.5"/>
    <s v="Efficient Spend"/>
    <s v="Medium"/>
  </r>
  <r>
    <s v="MKT1014"/>
    <d v="2024-03-09T00:00:00"/>
    <s v="C290"/>
    <n v="36"/>
    <s v="Female"/>
    <x v="0"/>
    <x v="0"/>
    <x v="3"/>
    <n v="782.56"/>
    <n v="9132"/>
    <n v="1618"/>
    <n v="74"/>
    <n v="1"/>
    <n v="17.71791502"/>
    <n v="4.5735475900000004"/>
    <n v="1"/>
    <m/>
    <m/>
    <m/>
    <m/>
    <m/>
    <s v="Low Performer"/>
    <e v="#NAME?"/>
    <s v="Medium Budget"/>
    <n v="0.5"/>
    <s v="Efficient Spend"/>
    <s v="Medium"/>
  </r>
  <r>
    <s v="MKT1015"/>
    <d v="2024-01-01T00:00:00"/>
    <s v="C300"/>
    <n v="38"/>
    <s v="Male"/>
    <x v="3"/>
    <x v="3"/>
    <x v="2"/>
    <n v="1170.73"/>
    <n v="45111"/>
    <n v="602"/>
    <n v="207"/>
    <n v="1"/>
    <n v="1.3344860460000001"/>
    <n v="34.385382059999998"/>
    <n v="1"/>
    <m/>
    <m/>
    <m/>
    <m/>
    <m/>
    <s v="Low Performer"/>
    <e v="#NAME?"/>
    <s v="High Budget"/>
    <n v="0.75"/>
    <s v="Inefficient Spend"/>
    <s v="High"/>
  </r>
  <r>
    <s v="MKT1016"/>
    <d v="2024-03-16T00:00:00"/>
    <s v="C300"/>
    <n v="41"/>
    <s v="Male"/>
    <x v="5"/>
    <x v="2"/>
    <x v="2"/>
    <n v="1924.46"/>
    <n v="5516"/>
    <n v="4976"/>
    <n v="221"/>
    <n v="5"/>
    <n v="90.210297319999995"/>
    <n v="4.4413183280000004"/>
    <n v="5"/>
    <m/>
    <m/>
    <m/>
    <m/>
    <m/>
    <s v="Top Performer"/>
    <e v="#NAME?"/>
    <s v="High Budget"/>
    <n v="0.3"/>
    <s v="Inefficient Spend"/>
    <s v="High"/>
  </r>
  <r>
    <s v="MKT1017"/>
    <d v="2024-11-07T00:00:00"/>
    <s v="C210"/>
    <n v="46"/>
    <s v="Male"/>
    <x v="4"/>
    <x v="4"/>
    <x v="0"/>
    <n v="1929.87"/>
    <n v="9198"/>
    <n v="497"/>
    <n v="300"/>
    <n v="5"/>
    <n v="5.4033485539999999"/>
    <n v="60.362173040000002"/>
    <n v="5"/>
    <m/>
    <m/>
    <m/>
    <m/>
    <m/>
    <s v="Low Performer"/>
    <e v="#NAME?"/>
    <s v="High Budget"/>
    <n v="0.2"/>
    <s v="Inefficient Spend"/>
    <s v="High"/>
  </r>
  <r>
    <s v="MKT1018"/>
    <d v="2024-09-07T00:00:00"/>
    <s v="C211"/>
    <n v="46"/>
    <s v="Female"/>
    <x v="5"/>
    <x v="4"/>
    <x v="1"/>
    <n v="1527.84"/>
    <n v="13127"/>
    <n v="4960"/>
    <n v="351"/>
    <n v="5"/>
    <n v="37.784718519999998"/>
    <n v="7.076612903"/>
    <n v="5"/>
    <m/>
    <m/>
    <m/>
    <m/>
    <m/>
    <s v="Top Performer"/>
    <e v="#NAME?"/>
    <s v="High Budget"/>
    <n v="0.2"/>
    <s v="Inefficient Spend"/>
    <s v="Medium"/>
  </r>
  <r>
    <s v="MKT1019"/>
    <d v="2024-01-07T00:00:00"/>
    <s v="C341"/>
    <n v="33"/>
    <s v="Female"/>
    <x v="4"/>
    <x v="4"/>
    <x v="1"/>
    <n v="149.18"/>
    <n v="33722"/>
    <n v="3046"/>
    <n v="323"/>
    <n v="4"/>
    <n v="9.0326789630000004"/>
    <n v="10.604070910000001"/>
    <n v="4"/>
    <m/>
    <m/>
    <m/>
    <m/>
    <m/>
    <s v="Top Performer"/>
    <e v="#NAME?"/>
    <s v="Low Budget"/>
    <n v="0.2"/>
    <s v="Efficient Spend"/>
    <s v="Medium"/>
  </r>
  <r>
    <s v="MKT1020"/>
    <d v="2024-10-02T00:00:00"/>
    <s v="C359"/>
    <n v="63"/>
    <s v="Other"/>
    <x v="5"/>
    <x v="3"/>
    <x v="2"/>
    <n v="1226.99"/>
    <n v="5271"/>
    <n v="717"/>
    <n v="289"/>
    <n v="4"/>
    <n v="13.602731929999999"/>
    <n v="40.306834029999997"/>
    <n v="4"/>
    <m/>
    <m/>
    <m/>
    <m/>
    <m/>
    <s v="Low Performer"/>
    <e v="#NAME?"/>
    <s v="High Budget"/>
    <n v="0.75"/>
    <s v="Inefficient Spend"/>
    <s v="High"/>
  </r>
  <r>
    <s v="MKT1021"/>
    <d v="2024-02-14T00:00:00"/>
    <s v="C298"/>
    <n v="51"/>
    <s v="Female"/>
    <x v="3"/>
    <x v="1"/>
    <x v="1"/>
    <n v="948.77"/>
    <n v="11269"/>
    <n v="1703"/>
    <n v="321"/>
    <n v="2"/>
    <n v="15.11225486"/>
    <n v="18.849089840000001"/>
    <n v="2"/>
    <m/>
    <m/>
    <m/>
    <m/>
    <m/>
    <s v="Average Performer"/>
    <e v="#NAME?"/>
    <s v="Medium Budget"/>
    <n v="1.2"/>
    <s v="Efficient Spend"/>
    <s v="Medium"/>
  </r>
  <r>
    <s v="MKT1022"/>
    <d v="2024-07-10T00:00:00"/>
    <s v="C367"/>
    <n v="18"/>
    <s v="Female"/>
    <x v="2"/>
    <x v="4"/>
    <x v="3"/>
    <n v="1314.42"/>
    <n v="46761"/>
    <n v="3166"/>
    <n v="267"/>
    <n v="4"/>
    <n v="6.7705994309999999"/>
    <n v="8.4333543899999999"/>
    <n v="4"/>
    <m/>
    <m/>
    <m/>
    <m/>
    <m/>
    <s v="Top Performer"/>
    <e v="#NAME?"/>
    <s v="High Budget"/>
    <n v="0.2"/>
    <s v="Inefficient Spend"/>
    <s v="Medium"/>
  </r>
  <r>
    <s v="MKT1023"/>
    <d v="2024-11-21T00:00:00"/>
    <s v="C363"/>
    <n v="19"/>
    <s v="Male"/>
    <x v="4"/>
    <x v="1"/>
    <x v="3"/>
    <n v="820.68"/>
    <n v="31180"/>
    <n v="3849"/>
    <n v="261"/>
    <n v="3"/>
    <n v="12.34445157"/>
    <n v="6.7809820729999997"/>
    <n v="3"/>
    <m/>
    <m/>
    <m/>
    <m/>
    <m/>
    <s v="Top Performer"/>
    <e v="#NAME?"/>
    <s v="Medium Budget"/>
    <n v="1.2"/>
    <s v="Efficient Spend"/>
    <s v="Medium"/>
  </r>
  <r>
    <s v="MKT1024"/>
    <d v="2024-11-08T00:00:00"/>
    <s v="C224"/>
    <n v="42"/>
    <s v="Other"/>
    <x v="2"/>
    <x v="2"/>
    <x v="3"/>
    <n v="1019.29"/>
    <n v="11855"/>
    <n v="482"/>
    <n v="113"/>
    <m/>
    <n v="4.0657950229999997"/>
    <n v="23.4439834"/>
    <n v="3"/>
    <m/>
    <m/>
    <m/>
    <m/>
    <m/>
    <s v="Low Performer"/>
    <e v="#NAME?"/>
    <s v="High Budget"/>
    <n v="0.3"/>
    <s v="Inefficient Spend"/>
    <s v="Medium"/>
  </r>
  <r>
    <s v="MKT1025"/>
    <d v="2024-06-01T00:00:00"/>
    <s v="C338"/>
    <n v="57"/>
    <s v="Female"/>
    <x v="3"/>
    <x v="3"/>
    <x v="2"/>
    <n v="921.21"/>
    <n v="33409"/>
    <n v="3245"/>
    <n v="6"/>
    <m/>
    <n v="9.7129516000000002"/>
    <n v="0.18489984600000001"/>
    <n v="3"/>
    <m/>
    <m/>
    <m/>
    <m/>
    <m/>
    <s v="Low Performer"/>
    <e v="#NAME?"/>
    <s v="Medium Budget"/>
    <n v="0.75"/>
    <s v="Efficient Spend"/>
    <s v="High"/>
  </r>
  <r>
    <s v="MKT1026"/>
    <d v="2024-07-02T00:00:00"/>
    <s v="C280"/>
    <n v="54"/>
    <s v="Male"/>
    <x v="5"/>
    <x v="3"/>
    <x v="2"/>
    <n v="312.38"/>
    <n v="5193"/>
    <n v="2334"/>
    <n v="253"/>
    <n v="2"/>
    <n v="44.945118430000001"/>
    <n v="10.839760070000001"/>
    <n v="2"/>
    <m/>
    <m/>
    <m/>
    <m/>
    <m/>
    <s v="Average Performer"/>
    <e v="#NAME?"/>
    <s v="Low Budget"/>
    <n v="0.75"/>
    <s v="Efficient Spend"/>
    <s v="High"/>
  </r>
  <r>
    <s v="MKT1027"/>
    <d v="2024-04-22T00:00:00"/>
    <s v="C246"/>
    <n v="41"/>
    <s v="Female"/>
    <x v="6"/>
    <x v="1"/>
    <x v="3"/>
    <n v="1461.16"/>
    <n v="29339"/>
    <n v="2849"/>
    <n v="67"/>
    <m/>
    <n v="9.7106240840000009"/>
    <n v="2.3517023520000002"/>
    <n v="3"/>
    <m/>
    <m/>
    <m/>
    <m/>
    <m/>
    <s v="Low Performer"/>
    <e v="#NAME?"/>
    <s v="High Budget"/>
    <n v="1.2"/>
    <s v="Efficient Spend"/>
    <s v="Medium"/>
  </r>
  <r>
    <s v="MKT1028"/>
    <d v="2024-09-08T00:00:00"/>
    <s v="C350"/>
    <n v="40"/>
    <s v="Female"/>
    <x v="0"/>
    <x v="1"/>
    <x v="3"/>
    <n v="64.23"/>
    <n v="14536"/>
    <n v="2927"/>
    <n v="375"/>
    <m/>
    <n v="20.13621354"/>
    <n v="12.811752650000001"/>
    <n v="3"/>
    <m/>
    <m/>
    <m/>
    <m/>
    <m/>
    <s v="Average Performer"/>
    <e v="#NAME?"/>
    <s v="Low Budget"/>
    <n v="1.2"/>
    <s v="Efficient Spend"/>
    <s v="Medium"/>
  </r>
  <r>
    <s v="MKT1029"/>
    <d v="2024-07-08T00:00:00"/>
    <s v="C363"/>
    <n v="61"/>
    <s v="Male"/>
    <x v="0"/>
    <x v="3"/>
    <x v="2"/>
    <n v="987.76"/>
    <n v="1245"/>
    <n v="4323"/>
    <n v="119"/>
    <n v="5"/>
    <n v="347.22891570000002"/>
    <n v="2.7527180200000001"/>
    <n v="5"/>
    <m/>
    <m/>
    <m/>
    <m/>
    <n v="0"/>
    <s v="Average Performer"/>
    <e v="#NAME?"/>
    <s v="Medium Budget"/>
    <n v="0.75"/>
    <s v="Efficient Spend"/>
    <s v="High"/>
  </r>
  <r>
    <s v="MKT1030"/>
    <d v="2024-10-17T00:00:00"/>
    <s v="C313"/>
    <n v="19"/>
    <s v="Male"/>
    <x v="5"/>
    <x v="2"/>
    <x v="0"/>
    <n v="1670.14"/>
    <n v="47856"/>
    <n v="3265"/>
    <n v="392"/>
    <n v="3"/>
    <n v="6.8225509860000004"/>
    <n v="12.00612557"/>
    <n v="3"/>
    <m/>
    <m/>
    <m/>
    <m/>
    <m/>
    <s v="Top Performer"/>
    <e v="#NAME?"/>
    <s v="High Budget"/>
    <n v="0.3"/>
    <s v="Inefficient Spend"/>
    <s v="High"/>
  </r>
  <r>
    <s v="MKT1031"/>
    <d v="2024-11-08T00:00:00"/>
    <s v="C207"/>
    <n v="38"/>
    <s v="Male"/>
    <x v="4"/>
    <x v="0"/>
    <x v="0"/>
    <n v="1582.87"/>
    <n v="18161"/>
    <n v="3759"/>
    <n v="384"/>
    <n v="2"/>
    <n v="20.69819944"/>
    <n v="10.21548284"/>
    <n v="2"/>
    <m/>
    <m/>
    <m/>
    <m/>
    <m/>
    <s v="Top Performer"/>
    <e v="#NAME?"/>
    <s v="High Budget"/>
    <n v="0.5"/>
    <s v="Efficient Spend"/>
    <s v="High"/>
  </r>
  <r>
    <s v="MKT1032"/>
    <d v="2024-07-20T00:00:00"/>
    <s v="C246"/>
    <n v="26"/>
    <s v="Other"/>
    <x v="0"/>
    <x v="0"/>
    <x v="2"/>
    <n v="688.82"/>
    <n v="44318"/>
    <n v="2759"/>
    <n v="389"/>
    <n v="3"/>
    <n v="6.225461438"/>
    <n v="14.09931134"/>
    <n v="3"/>
    <m/>
    <m/>
    <m/>
    <m/>
    <m/>
    <s v="Average Performer"/>
    <e v="#NAME?"/>
    <s v="Medium Budget"/>
    <n v="0.5"/>
    <s v="Efficient Spend"/>
    <s v="High"/>
  </r>
  <r>
    <s v="MKT1033"/>
    <d v="2024-02-08T00:00:00"/>
    <s v="C255"/>
    <n v="41"/>
    <s v="Other"/>
    <x v="3"/>
    <x v="4"/>
    <x v="2"/>
    <n v="1079.1400000000001"/>
    <n v="48566"/>
    <n v="610"/>
    <n v="85"/>
    <m/>
    <n v="1.2560227319999999"/>
    <n v="13.93442623"/>
    <n v="3"/>
    <m/>
    <m/>
    <m/>
    <m/>
    <m/>
    <s v="Low Performer"/>
    <e v="#NAME?"/>
    <s v="High Budget"/>
    <n v="0.2"/>
    <s v="Inefficient Spend"/>
    <s v="High"/>
  </r>
  <r>
    <s v="MKT1034"/>
    <d v="2024-09-17T00:00:00"/>
    <s v="C283"/>
    <n v="64"/>
    <s v="Other"/>
    <x v="4"/>
    <x v="1"/>
    <x v="1"/>
    <n v="1823.94"/>
    <n v="22377"/>
    <n v="803"/>
    <n v="72"/>
    <n v="3"/>
    <n v="3.5885060549999999"/>
    <n v="8.9663760900000007"/>
    <n v="3"/>
    <m/>
    <m/>
    <m/>
    <m/>
    <m/>
    <s v="Low Performer"/>
    <e v="#NAME?"/>
    <s v="High Budget"/>
    <n v="1.2"/>
    <s v="Inefficient Spend"/>
    <s v="Medium"/>
  </r>
  <r>
    <s v="MKT1035"/>
    <d v="2024-05-17T00:00:00"/>
    <s v="C334"/>
    <n v="45"/>
    <s v="Male"/>
    <x v="3"/>
    <x v="4"/>
    <x v="1"/>
    <n v="654.80999999999995"/>
    <n v="38824"/>
    <n v="1908"/>
    <n v="68"/>
    <n v="5"/>
    <n v="4.9144858850000004"/>
    <n v="3.5639413000000002"/>
    <n v="5"/>
    <m/>
    <m/>
    <m/>
    <m/>
    <m/>
    <s v="Low Performer"/>
    <e v="#NAME?"/>
    <s v="Medium Budget"/>
    <n v="0.2"/>
    <s v="Inefficient Spend"/>
    <s v="Medium"/>
  </r>
  <r>
    <s v="MKT1036"/>
    <d v="2024-12-09T00:00:00"/>
    <s v="C288"/>
    <n v="53"/>
    <s v="Other"/>
    <x v="1"/>
    <x v="4"/>
    <x v="3"/>
    <n v="1182.54"/>
    <n v="26747"/>
    <n v="100"/>
    <n v="348"/>
    <n v="4"/>
    <n v="0.373873705"/>
    <n v="348"/>
    <n v="4"/>
    <m/>
    <m/>
    <m/>
    <m/>
    <m/>
    <s v="Low Performer"/>
    <e v="#NAME?"/>
    <s v="High Budget"/>
    <n v="0.2"/>
    <s v="Inefficient Spend"/>
    <s v="Medium"/>
  </r>
  <r>
    <s v="MKT1037"/>
    <d v="2024-07-14T00:00:00"/>
    <s v="C243"/>
    <n v="41"/>
    <s v="Other"/>
    <x v="6"/>
    <x v="0"/>
    <x v="1"/>
    <n v="1871.43"/>
    <n v="43985"/>
    <n v="2058"/>
    <n v="237"/>
    <m/>
    <n v="4.6788677959999996"/>
    <n v="11.51603499"/>
    <n v="3"/>
    <m/>
    <m/>
    <m/>
    <m/>
    <m/>
    <s v="Average Performer"/>
    <e v="#NAME?"/>
    <s v="High Budget"/>
    <n v="0.5"/>
    <s v="Inefficient Spend"/>
    <s v="Medium"/>
  </r>
  <r>
    <s v="MKT1038"/>
    <d v="2024-03-13T00:00:00"/>
    <s v="C263"/>
    <n v="40"/>
    <s v="Female"/>
    <x v="0"/>
    <x v="1"/>
    <x v="1"/>
    <n v="1909.57"/>
    <n v="38605"/>
    <n v="1277"/>
    <n v="345"/>
    <m/>
    <n v="3.3078616759999999"/>
    <n v="27.016444790000001"/>
    <n v="3"/>
    <m/>
    <m/>
    <m/>
    <m/>
    <m/>
    <s v="Average Performer"/>
    <e v="#NAME?"/>
    <s v="High Budget"/>
    <n v="1.2"/>
    <s v="Inefficient Spend"/>
    <s v="Medium"/>
  </r>
  <r>
    <s v="MKT1039"/>
    <d v="2024-12-05T00:00:00"/>
    <s v="C339"/>
    <n v="43"/>
    <s v="Female"/>
    <x v="0"/>
    <x v="2"/>
    <x v="2"/>
    <n v="1376.17"/>
    <n v="15902"/>
    <n v="526"/>
    <n v="289"/>
    <n v="5"/>
    <n v="3.3077600299999999"/>
    <n v="54.942965780000002"/>
    <n v="5"/>
    <m/>
    <m/>
    <m/>
    <m/>
    <m/>
    <s v="Low Performer"/>
    <e v="#NAME?"/>
    <s v="High Budget"/>
    <n v="0.3"/>
    <s v="Inefficient Spend"/>
    <s v="High"/>
  </r>
  <r>
    <s v="MKT1040"/>
    <d v="2024-09-14T00:00:00"/>
    <s v="C370"/>
    <n v="43"/>
    <s v="Male"/>
    <x v="4"/>
    <x v="1"/>
    <x v="1"/>
    <n v="1962.25"/>
    <n v="37012"/>
    <n v="4018"/>
    <n v="70"/>
    <n v="1"/>
    <n v="10.855938610000001"/>
    <n v="1.7421602789999999"/>
    <n v="1"/>
    <m/>
    <m/>
    <m/>
    <m/>
    <m/>
    <s v="Low Performer"/>
    <e v="#NAME?"/>
    <s v="High Budget"/>
    <n v="1.2"/>
    <s v="Efficient Spend"/>
    <s v="Medium"/>
  </r>
  <r>
    <s v="MKT1041"/>
    <d v="2024-07-11T00:00:00"/>
    <s v="C293"/>
    <n v="64"/>
    <s v="Other"/>
    <x v="5"/>
    <x v="0"/>
    <x v="3"/>
    <n v="1563.06"/>
    <n v="41009"/>
    <n v="2687"/>
    <n v="126"/>
    <m/>
    <n v="6.5522202439999999"/>
    <n v="4.6892445110000001"/>
    <n v="3"/>
    <m/>
    <m/>
    <m/>
    <m/>
    <m/>
    <s v="Average Performer"/>
    <e v="#NAME?"/>
    <s v="High Budget"/>
    <n v="0.5"/>
    <s v="Inefficient Spend"/>
    <s v="Medium"/>
  </r>
  <r>
    <s v="MKT1042"/>
    <d v="2024-12-15T00:00:00"/>
    <s v="C366"/>
    <n v="48"/>
    <s v="Male"/>
    <x v="0"/>
    <x v="0"/>
    <x v="2"/>
    <n v="1949.17"/>
    <n v="7283"/>
    <n v="4633"/>
    <n v="399"/>
    <n v="3"/>
    <n v="63.613895370000002"/>
    <n v="8.6121303690000008"/>
    <n v="3"/>
    <m/>
    <m/>
    <m/>
    <m/>
    <m/>
    <s v="Top Performer"/>
    <e v="#NAME?"/>
    <s v="High Budget"/>
    <n v="0.5"/>
    <s v="Efficient Spend"/>
    <s v="High"/>
  </r>
  <r>
    <s v="MKT1043"/>
    <d v="2024-04-02T00:00:00"/>
    <s v="C234"/>
    <n v="60"/>
    <s v="Other"/>
    <x v="1"/>
    <x v="3"/>
    <x v="3"/>
    <n v="1359.28"/>
    <n v="3809"/>
    <n v="831"/>
    <n v="263"/>
    <n v="4"/>
    <n v="21.8167498"/>
    <n v="31.648616130000001"/>
    <n v="4"/>
    <m/>
    <m/>
    <m/>
    <m/>
    <m/>
    <s v="Low Performer"/>
    <e v="#NAME?"/>
    <s v="High Budget"/>
    <n v="0.75"/>
    <s v="Inefficient Spend"/>
    <s v="Medium"/>
  </r>
  <r>
    <s v="MKT1044"/>
    <d v="2024-09-09T00:00:00"/>
    <s v="C304"/>
    <n v="30"/>
    <s v="Male"/>
    <x v="3"/>
    <x v="4"/>
    <x v="0"/>
    <n v="1323.7"/>
    <n v="42287"/>
    <n v="2796"/>
    <n v="285"/>
    <n v="5"/>
    <n v="6.6119611230000004"/>
    <n v="10.19313305"/>
    <n v="5"/>
    <m/>
    <m/>
    <m/>
    <m/>
    <m/>
    <s v="Average Performer"/>
    <e v="#NAME?"/>
    <s v="High Budget"/>
    <n v="0.2"/>
    <s v="Inefficient Spend"/>
    <s v="High"/>
  </r>
  <r>
    <s v="MKT1045"/>
    <d v="2024-03-12T00:00:00"/>
    <s v="C209"/>
    <n v="64"/>
    <s v="Other"/>
    <x v="5"/>
    <x v="4"/>
    <x v="2"/>
    <n v="162.71"/>
    <n v="28327"/>
    <n v="3653"/>
    <n v="341"/>
    <n v="5"/>
    <n v="12.89582377"/>
    <n v="9.3347933209999994"/>
    <n v="5"/>
    <m/>
    <m/>
    <m/>
    <m/>
    <m/>
    <s v="Top Performer"/>
    <e v="#NAME?"/>
    <s v="Low Budget"/>
    <n v="0.2"/>
    <s v="Efficient Spend"/>
    <s v="High"/>
  </r>
  <r>
    <s v="MKT1046"/>
    <d v="2024-10-06T00:00:00"/>
    <s v="C224"/>
    <n v="63"/>
    <s v="Other"/>
    <x v="0"/>
    <x v="2"/>
    <x v="3"/>
    <n v="1004.84"/>
    <n v="38048"/>
    <n v="1079"/>
    <n v="77"/>
    <n v="4"/>
    <n v="2.8358915050000002"/>
    <n v="7.1362372570000003"/>
    <n v="4"/>
    <m/>
    <m/>
    <m/>
    <m/>
    <m/>
    <s v="Low Performer"/>
    <e v="#NAME?"/>
    <s v="High Budget"/>
    <n v="0.3"/>
    <s v="Inefficient Spend"/>
    <s v="Medium"/>
  </r>
  <r>
    <s v="MKT1047"/>
    <d v="2024-01-11T00:00:00"/>
    <s v="C377"/>
    <n v="41"/>
    <s v="Other"/>
    <x v="1"/>
    <x v="3"/>
    <x v="0"/>
    <n v="694.66"/>
    <n v="30529"/>
    <n v="26"/>
    <n v="96"/>
    <n v="2"/>
    <n v="8.5164925000000002E-2"/>
    <n v="369.2307692"/>
    <n v="2"/>
    <m/>
    <m/>
    <m/>
    <m/>
    <m/>
    <s v="Low Performer"/>
    <e v="#NAME?"/>
    <s v="Medium Budget"/>
    <n v="0.75"/>
    <s v="Inefficient Spend"/>
    <s v="High"/>
  </r>
  <r>
    <s v="MKT1048"/>
    <d v="2024-08-21T00:00:00"/>
    <s v="C382"/>
    <n v="56"/>
    <s v="Male"/>
    <x v="4"/>
    <x v="1"/>
    <x v="0"/>
    <n v="138.05000000000001"/>
    <n v="17610"/>
    <n v="4239"/>
    <n v="114"/>
    <n v="2"/>
    <n v="24.071550259999999"/>
    <n v="2.689313517"/>
    <n v="2"/>
    <m/>
    <m/>
    <m/>
    <m/>
    <m/>
    <s v="Average Performer"/>
    <e v="#NAME?"/>
    <s v="Low Budget"/>
    <n v="1.2"/>
    <s v="Efficient Spend"/>
    <s v="High"/>
  </r>
  <r>
    <s v="MKT1049"/>
    <d v="2024-10-18T00:00:00"/>
    <s v="C241"/>
    <n v="42"/>
    <s v="Male"/>
    <x v="0"/>
    <x v="1"/>
    <x v="1"/>
    <n v="1288.67"/>
    <n v="33696"/>
    <n v="3552"/>
    <n v="279"/>
    <n v="1"/>
    <n v="10.54131054"/>
    <n v="7.8547297299999999"/>
    <n v="1"/>
    <m/>
    <m/>
    <m/>
    <m/>
    <m/>
    <s v="Top Performer"/>
    <e v="#NAME?"/>
    <s v="High Budget"/>
    <n v="1.2"/>
    <s v="Efficient Spend"/>
    <s v="Medium"/>
  </r>
  <r>
    <s v="MKT1050"/>
    <d v="2024-11-13T00:00:00"/>
    <s v="C217"/>
    <n v="40"/>
    <s v="Other"/>
    <x v="2"/>
    <x v="3"/>
    <x v="0"/>
    <n v="1943.85"/>
    <n v="46596"/>
    <n v="3817"/>
    <n v="121"/>
    <n v="1"/>
    <n v="8.1916902740000008"/>
    <n v="3.170028818"/>
    <n v="1"/>
    <m/>
    <m/>
    <m/>
    <m/>
    <m/>
    <s v="Average Performer"/>
    <e v="#NAME?"/>
    <s v="High Budget"/>
    <n v="0.75"/>
    <s v="Efficient Spend"/>
    <s v="High"/>
  </r>
  <r>
    <s v="MKT1051"/>
    <d v="2024-05-31T00:00:00"/>
    <s v="C368"/>
    <n v="45"/>
    <s v="Male"/>
    <x v="4"/>
    <x v="1"/>
    <x v="1"/>
    <n v="1164.96"/>
    <n v="28535"/>
    <n v="2338"/>
    <n v="326"/>
    <n v="2"/>
    <n v="8.1934466439999998"/>
    <n v="13.943541489999999"/>
    <n v="2"/>
    <m/>
    <m/>
    <m/>
    <m/>
    <m/>
    <s v="Average Performer"/>
    <e v="#NAME?"/>
    <s v="High Budget"/>
    <n v="1.2"/>
    <s v="Efficient Spend"/>
    <s v="Medium"/>
  </r>
  <r>
    <s v="MKT1052"/>
    <d v="2024-04-02T00:00:00"/>
    <s v="C356"/>
    <n v="20"/>
    <s v="Other"/>
    <x v="5"/>
    <x v="3"/>
    <x v="2"/>
    <n v="741.59"/>
    <n v="2451"/>
    <n v="3558"/>
    <n v="296"/>
    <n v="3"/>
    <n v="145.1652387"/>
    <n v="8.3192804949999992"/>
    <n v="3"/>
    <m/>
    <m/>
    <m/>
    <m/>
    <n v="0"/>
    <s v="Top Performer"/>
    <e v="#NAME?"/>
    <s v="Medium Budget"/>
    <n v="0.75"/>
    <s v="Efficient Spend"/>
    <s v="High"/>
  </r>
  <r>
    <s v="MKT1053"/>
    <d v="2024-09-04T00:00:00"/>
    <s v="C340"/>
    <n v="36"/>
    <s v="Other"/>
    <x v="3"/>
    <x v="1"/>
    <x v="2"/>
    <n v="1892.73"/>
    <n v="21272"/>
    <n v="1201"/>
    <n v="365"/>
    <n v="4"/>
    <n v="5.6459195190000004"/>
    <n v="30.391340549999999"/>
    <n v="4"/>
    <m/>
    <m/>
    <m/>
    <m/>
    <m/>
    <s v="Average Performer"/>
    <e v="#NAME?"/>
    <s v="High Budget"/>
    <n v="1.2"/>
    <s v="Inefficient Spend"/>
    <s v="High"/>
  </r>
  <r>
    <s v="MKT1054"/>
    <d v="2024-08-12T00:00:00"/>
    <s v="C299"/>
    <n v="61"/>
    <s v="Male"/>
    <x v="5"/>
    <x v="3"/>
    <x v="2"/>
    <n v="1379.45"/>
    <n v="724"/>
    <n v="229"/>
    <n v="157"/>
    <m/>
    <n v="31.629834249999998"/>
    <n v="68.558951969999995"/>
    <n v="3"/>
    <m/>
    <m/>
    <m/>
    <m/>
    <m/>
    <s v="Low Performer"/>
    <e v="#NAME?"/>
    <s v="High Budget"/>
    <n v="0.75"/>
    <s v="Inefficient Spend"/>
    <s v="High"/>
  </r>
  <r>
    <s v="MKT1055"/>
    <d v="2024-05-29T00:00:00"/>
    <s v="C360"/>
    <n v="55"/>
    <s v="Male"/>
    <x v="1"/>
    <x v="4"/>
    <x v="0"/>
    <n v="355.66"/>
    <n v="1683"/>
    <n v="547"/>
    <n v="299"/>
    <n v="1"/>
    <n v="32.501485440000003"/>
    <n v="54.66179159"/>
    <n v="1"/>
    <m/>
    <m/>
    <m/>
    <m/>
    <m/>
    <s v="Low Performer"/>
    <e v="#NAME?"/>
    <s v="Low Budget"/>
    <n v="0.2"/>
    <s v="Inefficient Spend"/>
    <s v="High"/>
  </r>
  <r>
    <s v="MKT1056"/>
    <d v="2024-12-22T00:00:00"/>
    <s v="C248"/>
    <n v="35"/>
    <s v="Female"/>
    <x v="2"/>
    <x v="3"/>
    <x v="2"/>
    <n v="1233.05"/>
    <n v="43478"/>
    <n v="1045"/>
    <n v="301"/>
    <n v="2"/>
    <n v="2.4035144210000001"/>
    <n v="28.80382775"/>
    <n v="2"/>
    <m/>
    <m/>
    <m/>
    <m/>
    <m/>
    <s v="Average Performer"/>
    <e v="#NAME?"/>
    <s v="High Budget"/>
    <n v="0.75"/>
    <s v="Inefficient Spend"/>
    <s v="High"/>
  </r>
  <r>
    <s v="MKT1057"/>
    <d v="2024-03-08T00:00:00"/>
    <s v="C340"/>
    <n v="35"/>
    <s v="Other"/>
    <x v="4"/>
    <x v="4"/>
    <x v="3"/>
    <n v="1720.54"/>
    <n v="15509"/>
    <n v="1482"/>
    <n v="356"/>
    <n v="3"/>
    <n v="9.5557418270000003"/>
    <n v="24.021592439999999"/>
    <n v="3"/>
    <m/>
    <m/>
    <m/>
    <m/>
    <m/>
    <s v="Average Performer"/>
    <e v="#NAME?"/>
    <s v="High Budget"/>
    <n v="0.2"/>
    <s v="Inefficient Spend"/>
    <s v="Medium"/>
  </r>
  <r>
    <s v="MKT1058"/>
    <d v="2024-08-07T00:00:00"/>
    <s v="C214"/>
    <n v="22"/>
    <s v="Other"/>
    <x v="0"/>
    <x v="3"/>
    <x v="2"/>
    <n v="1566.16"/>
    <n v="28529"/>
    <n v="839"/>
    <n v="361"/>
    <n v="1"/>
    <n v="2.9408671879999999"/>
    <n v="43.027413590000002"/>
    <n v="1"/>
    <m/>
    <m/>
    <m/>
    <m/>
    <m/>
    <s v="Low Performer"/>
    <e v="#NAME?"/>
    <s v="High Budget"/>
    <n v="0.75"/>
    <s v="Inefficient Spend"/>
    <s v="High"/>
  </r>
  <r>
    <s v="MKT1059"/>
    <d v="2024-01-20T00:00:00"/>
    <s v="C363"/>
    <n v="43"/>
    <s v="Male"/>
    <x v="3"/>
    <x v="2"/>
    <x v="2"/>
    <n v="1018.6"/>
    <n v="2989"/>
    <n v="713"/>
    <n v="105"/>
    <n v="5"/>
    <n v="23.854131819999999"/>
    <n v="14.72650771"/>
    <n v="5"/>
    <m/>
    <m/>
    <m/>
    <m/>
    <m/>
    <s v="Low Performer"/>
    <e v="#NAME?"/>
    <s v="High Budget"/>
    <n v="0.3"/>
    <s v="Inefficient Spend"/>
    <s v="High"/>
  </r>
  <r>
    <s v="MKT1060"/>
    <d v="2024-01-05T00:00:00"/>
    <s v="C303"/>
    <n v="47"/>
    <s v="Female"/>
    <x v="1"/>
    <x v="4"/>
    <x v="0"/>
    <n v="1383.45"/>
    <n v="38648"/>
    <n v="2706"/>
    <n v="393"/>
    <n v="2"/>
    <n v="7.001655972"/>
    <n v="14.523281600000001"/>
    <n v="2"/>
    <m/>
    <m/>
    <m/>
    <m/>
    <m/>
    <s v="Average Performer"/>
    <e v="#NAME?"/>
    <s v="High Budget"/>
    <n v="0.2"/>
    <s v="Inefficient Spend"/>
    <s v="High"/>
  </r>
  <r>
    <s v="MKT1061"/>
    <d v="2024-10-02T00:00:00"/>
    <s v="C269"/>
    <n v="29"/>
    <s v="Male"/>
    <x v="5"/>
    <x v="0"/>
    <x v="0"/>
    <n v="1772.21"/>
    <n v="38917"/>
    <n v="4997"/>
    <n v="57"/>
    <n v="1"/>
    <n v="12.84014698"/>
    <n v="1.1406844110000001"/>
    <n v="1"/>
    <m/>
    <m/>
    <m/>
    <m/>
    <m/>
    <s v="Low Performer"/>
    <e v="#NAME?"/>
    <s v="High Budget"/>
    <n v="0.5"/>
    <s v="Efficient Spend"/>
    <s v="High"/>
  </r>
  <r>
    <s v="MKT1062"/>
    <d v="2024-02-03T00:00:00"/>
    <s v="C356"/>
    <n v="55"/>
    <s v="Other"/>
    <x v="1"/>
    <x v="4"/>
    <x v="1"/>
    <n v="1493.49"/>
    <n v="624"/>
    <n v="2762"/>
    <n v="119"/>
    <n v="4"/>
    <n v="442.6282051"/>
    <n v="4.3084721220000004"/>
    <n v="4"/>
    <m/>
    <m/>
    <m/>
    <m/>
    <n v="0"/>
    <s v="Average Performer"/>
    <e v="#NAME?"/>
    <s v="High Budget"/>
    <n v="0.2"/>
    <s v="Inefficient Spend"/>
    <s v="Medium"/>
  </r>
  <r>
    <s v="MKT1063"/>
    <d v="2024-05-03T00:00:00"/>
    <s v="C297"/>
    <n v="49"/>
    <s v="Female"/>
    <x v="3"/>
    <x v="3"/>
    <x v="1"/>
    <n v="1154.26"/>
    <n v="1058"/>
    <n v="2216"/>
    <n v="260"/>
    <m/>
    <n v="209.45179580000001"/>
    <n v="11.73285199"/>
    <n v="3"/>
    <m/>
    <m/>
    <m/>
    <m/>
    <n v="0"/>
    <s v="Average Performer"/>
    <e v="#NAME?"/>
    <s v="High Budget"/>
    <n v="0.75"/>
    <s v="Efficient Spend"/>
    <s v="Medium"/>
  </r>
  <r>
    <s v="MKT1064"/>
    <d v="2024-10-13T00:00:00"/>
    <s v="C244"/>
    <n v="21"/>
    <s v="Other"/>
    <x v="4"/>
    <x v="0"/>
    <x v="3"/>
    <n v="1956.26"/>
    <n v="37867"/>
    <n v="3402"/>
    <n v="382"/>
    <n v="5"/>
    <n v="8.9840758439999995"/>
    <n v="11.22868901"/>
    <n v="5"/>
    <m/>
    <m/>
    <m/>
    <m/>
    <m/>
    <s v="Top Performer"/>
    <e v="#NAME?"/>
    <s v="High Budget"/>
    <n v="0.5"/>
    <s v="Inefficient Spend"/>
    <s v="Medium"/>
  </r>
  <r>
    <s v="MKT1065"/>
    <d v="2024-07-04T00:00:00"/>
    <s v="C267"/>
    <n v="48"/>
    <s v="Male"/>
    <x v="1"/>
    <x v="2"/>
    <x v="0"/>
    <n v="168.77"/>
    <n v="27081"/>
    <n v="2077"/>
    <n v="32"/>
    <m/>
    <n v="7.6695838409999997"/>
    <n v="1.5406836779999999"/>
    <n v="3"/>
    <m/>
    <m/>
    <m/>
    <m/>
    <m/>
    <s v="Low Performer"/>
    <e v="#NAME?"/>
    <s v="Low Budget"/>
    <n v="0.3"/>
    <s v="Efficient Spend"/>
    <s v="High"/>
  </r>
  <r>
    <s v="MKT1066"/>
    <d v="2024-08-17T00:00:00"/>
    <s v="C371"/>
    <n v="31"/>
    <s v="Male"/>
    <x v="2"/>
    <x v="2"/>
    <x v="3"/>
    <n v="661.87"/>
    <n v="11233"/>
    <n v="824"/>
    <n v="10"/>
    <n v="2"/>
    <n v="7.3355292439999999"/>
    <n v="1.213592233"/>
    <n v="2"/>
    <m/>
    <m/>
    <m/>
    <m/>
    <m/>
    <s v="Low Performer"/>
    <e v="#NAME?"/>
    <s v="Medium Budget"/>
    <n v="0.3"/>
    <s v="Inefficient Spend"/>
    <s v="Medium"/>
  </r>
  <r>
    <s v="MKT1067"/>
    <d v="2024-11-25T00:00:00"/>
    <s v="C373"/>
    <n v="23"/>
    <s v="Other"/>
    <x v="5"/>
    <x v="0"/>
    <x v="3"/>
    <n v="1911.99"/>
    <n v="25029"/>
    <n v="4641"/>
    <n v="169"/>
    <n v="3"/>
    <n v="18.542490709999999"/>
    <n v="3.6414565830000001"/>
    <n v="3"/>
    <m/>
    <m/>
    <m/>
    <m/>
    <m/>
    <s v="Average Performer"/>
    <e v="#NAME?"/>
    <s v="High Budget"/>
    <n v="0.5"/>
    <s v="Efficient Spend"/>
    <s v="Medium"/>
  </r>
  <r>
    <s v="MKT1068"/>
    <d v="2024-05-10T00:00:00"/>
    <s v="C367"/>
    <n v="57"/>
    <s v="Male"/>
    <x v="0"/>
    <x v="3"/>
    <x v="2"/>
    <n v="110.41"/>
    <n v="5090"/>
    <n v="3051"/>
    <n v="27"/>
    <n v="5"/>
    <n v="59.941060899999997"/>
    <n v="0.88495575199999998"/>
    <n v="5"/>
    <m/>
    <m/>
    <m/>
    <m/>
    <m/>
    <s v="Low Performer"/>
    <e v="#NAME?"/>
    <s v="Low Budget"/>
    <n v="0.75"/>
    <s v="Efficient Spend"/>
    <s v="High"/>
  </r>
  <r>
    <s v="MKT1069"/>
    <d v="2024-03-24T00:00:00"/>
    <s v="C371"/>
    <n v="18"/>
    <s v="Female"/>
    <x v="0"/>
    <x v="1"/>
    <x v="2"/>
    <n v="1409.27"/>
    <n v="37239"/>
    <n v="2554"/>
    <n v="347"/>
    <m/>
    <n v="6.8584011389999997"/>
    <n v="13.58653093"/>
    <n v="3"/>
    <m/>
    <m/>
    <m/>
    <m/>
    <m/>
    <s v="Average Performer"/>
    <e v="#NAME?"/>
    <s v="High Budget"/>
    <n v="1.2"/>
    <s v="Efficient Spend"/>
    <s v="High"/>
  </r>
  <r>
    <s v="MKT1070"/>
    <d v="2024-01-22T00:00:00"/>
    <s v="C330"/>
    <n v="60"/>
    <s v="Male"/>
    <x v="5"/>
    <x v="3"/>
    <x v="1"/>
    <n v="1082.1300000000001"/>
    <n v="13277"/>
    <n v="4785"/>
    <n v="252"/>
    <n v="1"/>
    <n v="36.039768019999997"/>
    <n v="5.2664576800000003"/>
    <n v="1"/>
    <m/>
    <m/>
    <m/>
    <m/>
    <m/>
    <s v="Top Performer"/>
    <e v="#NAME?"/>
    <s v="High Budget"/>
    <n v="0.75"/>
    <s v="Efficient Spend"/>
    <s v="Medium"/>
  </r>
  <r>
    <s v="MKT1071"/>
    <d v="2024-04-29T00:00:00"/>
    <s v="C350"/>
    <n v="62"/>
    <s v="Female"/>
    <x v="4"/>
    <x v="4"/>
    <x v="3"/>
    <n v="1211.99"/>
    <n v="42354"/>
    <n v="2551"/>
    <n v="8"/>
    <m/>
    <n v="6.0230438680000002"/>
    <n v="0.31360250899999997"/>
    <n v="3"/>
    <m/>
    <m/>
    <m/>
    <m/>
    <m/>
    <s v="Low Performer"/>
    <e v="#NAME?"/>
    <s v="High Budget"/>
    <n v="0.2"/>
    <s v="Inefficient Spend"/>
    <s v="Medium"/>
  </r>
  <r>
    <s v="MKT1072"/>
    <d v="2024-03-08T00:00:00"/>
    <s v="C263"/>
    <n v="33"/>
    <s v="Male"/>
    <x v="5"/>
    <x v="0"/>
    <x v="0"/>
    <n v="191.91"/>
    <n v="7346"/>
    <n v="3172"/>
    <n v="137"/>
    <n v="5"/>
    <n v="43.17996188"/>
    <n v="4.3190416139999996"/>
    <n v="5"/>
    <m/>
    <m/>
    <m/>
    <m/>
    <m/>
    <s v="Average Performer"/>
    <e v="#NAME?"/>
    <s v="Low Budget"/>
    <n v="0.5"/>
    <s v="Efficient Spend"/>
    <s v="High"/>
  </r>
  <r>
    <s v="MKT1073"/>
    <d v="2024-07-22T00:00:00"/>
    <s v="C226"/>
    <n v="41"/>
    <s v="Other"/>
    <x v="6"/>
    <x v="3"/>
    <x v="1"/>
    <n v="65.67"/>
    <n v="4948"/>
    <n v="524"/>
    <n v="10"/>
    <m/>
    <n v="10.59013743"/>
    <n v="1.908396947"/>
    <n v="3"/>
    <m/>
    <m/>
    <m/>
    <m/>
    <m/>
    <s v="Low Performer"/>
    <e v="#NAME?"/>
    <s v="Low Budget"/>
    <n v="0.75"/>
    <s v="Efficient Spend"/>
    <s v="Medium"/>
  </r>
  <r>
    <s v="MKT1074"/>
    <d v="2024-02-17T00:00:00"/>
    <s v="C244"/>
    <n v="62"/>
    <s v="Male"/>
    <x v="5"/>
    <x v="4"/>
    <x v="3"/>
    <n v="676.43"/>
    <n v="14970"/>
    <n v="1249"/>
    <n v="22"/>
    <n v="5"/>
    <n v="8.3433533729999994"/>
    <n v="1.7614091270000001"/>
    <n v="5"/>
    <m/>
    <m/>
    <m/>
    <m/>
    <m/>
    <s v="Low Performer"/>
    <e v="#NAME?"/>
    <s v="Medium Budget"/>
    <n v="0.2"/>
    <s v="Inefficient Spend"/>
    <s v="Medium"/>
  </r>
  <r>
    <s v="MKT1075"/>
    <d v="2024-09-29T00:00:00"/>
    <s v="C338"/>
    <n v="31"/>
    <s v="Female"/>
    <x v="1"/>
    <x v="4"/>
    <x v="1"/>
    <n v="830.1"/>
    <n v="19575"/>
    <n v="1786"/>
    <n v="265"/>
    <n v="4"/>
    <n v="9.1238825030000008"/>
    <n v="14.83762598"/>
    <n v="4"/>
    <m/>
    <m/>
    <m/>
    <m/>
    <m/>
    <s v="Average Performer"/>
    <e v="#NAME?"/>
    <s v="Medium Budget"/>
    <n v="0.2"/>
    <s v="Inefficient Spend"/>
    <s v="Medium"/>
  </r>
  <r>
    <s v="MKT1076"/>
    <d v="2024-01-13T00:00:00"/>
    <s v="C378"/>
    <n v="50"/>
    <s v="Female"/>
    <x v="5"/>
    <x v="3"/>
    <x v="0"/>
    <n v="1279.9100000000001"/>
    <n v="22927"/>
    <n v="4900"/>
    <n v="375"/>
    <n v="5"/>
    <n v="21.372181269999999"/>
    <n v="7.653061224"/>
    <n v="5"/>
    <m/>
    <m/>
    <m/>
    <m/>
    <m/>
    <s v="Top Performer"/>
    <e v="#NAME?"/>
    <s v="High Budget"/>
    <n v="0.75"/>
    <s v="Efficient Spend"/>
    <s v="High"/>
  </r>
  <r>
    <s v="MKT1077"/>
    <d v="2024-12-15T00:00:00"/>
    <s v="C383"/>
    <n v="50"/>
    <s v="Other"/>
    <x v="5"/>
    <x v="3"/>
    <x v="0"/>
    <n v="1108.8599999999999"/>
    <n v="35586"/>
    <n v="3331"/>
    <n v="170"/>
    <n v="2"/>
    <n v="9.3604226379999993"/>
    <n v="5.1035725010000004"/>
    <n v="2"/>
    <m/>
    <m/>
    <m/>
    <m/>
    <m/>
    <s v="Average Performer"/>
    <e v="#NAME?"/>
    <s v="High Budget"/>
    <n v="0.75"/>
    <s v="Efficient Spend"/>
    <s v="High"/>
  </r>
  <r>
    <s v="MKT1078"/>
    <d v="2024-04-17T00:00:00"/>
    <s v="C377"/>
    <n v="29"/>
    <s v="Other"/>
    <x v="3"/>
    <x v="4"/>
    <x v="1"/>
    <n v="166.91"/>
    <n v="22637"/>
    <n v="410"/>
    <n v="109"/>
    <m/>
    <n v="1.8111940630000001"/>
    <n v="26.585365849999999"/>
    <n v="3"/>
    <m/>
    <m/>
    <m/>
    <m/>
    <m/>
    <s v="Low Performer"/>
    <e v="#NAME?"/>
    <s v="Low Budget"/>
    <n v="0.2"/>
    <s v="Inefficient Spend"/>
    <s v="Medium"/>
  </r>
  <r>
    <s v="MKT1079"/>
    <d v="2024-08-21T00:00:00"/>
    <s v="C349"/>
    <n v="61"/>
    <s v="Other"/>
    <x v="2"/>
    <x v="0"/>
    <x v="3"/>
    <n v="154.5"/>
    <n v="3795"/>
    <n v="3554"/>
    <n v="121"/>
    <m/>
    <n v="93.649538870000001"/>
    <n v="3.4046145189999999"/>
    <n v="3"/>
    <m/>
    <m/>
    <m/>
    <m/>
    <m/>
    <s v="Average Performer"/>
    <e v="#NAME?"/>
    <s v="Low Budget"/>
    <n v="0.5"/>
    <s v="Efficient Spend"/>
    <s v="Medium"/>
  </r>
  <r>
    <s v="MKT1080"/>
    <d v="2024-11-28T00:00:00"/>
    <s v="C340"/>
    <n v="41"/>
    <s v="Male"/>
    <x v="6"/>
    <x v="0"/>
    <x v="0"/>
    <n v="1350.27"/>
    <n v="39417"/>
    <n v="3112"/>
    <n v="135"/>
    <m/>
    <n v="7.8950706549999996"/>
    <n v="4.3380462719999997"/>
    <n v="3"/>
    <m/>
    <m/>
    <m/>
    <m/>
    <m/>
    <s v="Average Performer"/>
    <e v="#NAME?"/>
    <s v="High Budget"/>
    <n v="0.5"/>
    <s v="Efficient Spend"/>
    <s v="High"/>
  </r>
  <r>
    <s v="MKT1081"/>
    <d v="2024-11-19T00:00:00"/>
    <s v="C319"/>
    <n v="50"/>
    <s v="Female"/>
    <x v="5"/>
    <x v="4"/>
    <x v="1"/>
    <n v="1695.07"/>
    <n v="20373"/>
    <n v="3361"/>
    <n v="137"/>
    <m/>
    <n v="16.497324890000002"/>
    <n v="4.076167807"/>
    <n v="3"/>
    <m/>
    <m/>
    <m/>
    <m/>
    <m/>
    <s v="Average Performer"/>
    <e v="#NAME?"/>
    <s v="High Budget"/>
    <n v="0.2"/>
    <s v="Inefficient Spend"/>
    <s v="Medium"/>
  </r>
  <r>
    <s v="MKT1082"/>
    <d v="2024-04-20T00:00:00"/>
    <s v="C313"/>
    <n v="57"/>
    <s v="Female"/>
    <x v="2"/>
    <x v="1"/>
    <x v="2"/>
    <n v="998.2"/>
    <n v="25603"/>
    <n v="1337"/>
    <n v="45"/>
    <m/>
    <n v="5.2220442919999996"/>
    <n v="3.3657442030000002"/>
    <n v="3"/>
    <m/>
    <m/>
    <m/>
    <m/>
    <m/>
    <s v="Low Performer"/>
    <e v="#NAME?"/>
    <s v="Medium Budget"/>
    <n v="1.2"/>
    <s v="Efficient Spend"/>
    <s v="High"/>
  </r>
  <r>
    <s v="MKT1083"/>
    <d v="2024-05-22T00:00:00"/>
    <s v="C259"/>
    <n v="24"/>
    <s v="Male"/>
    <x v="1"/>
    <x v="1"/>
    <x v="1"/>
    <n v="512.29999999999995"/>
    <n v="45407"/>
    <n v="609"/>
    <n v="196"/>
    <n v="2"/>
    <n v="1.3412028979999999"/>
    <n v="32.183908049999999"/>
    <n v="2"/>
    <m/>
    <m/>
    <m/>
    <m/>
    <m/>
    <s v="Low Performer"/>
    <e v="#NAME?"/>
    <s v="Medium Budget"/>
    <n v="1.2"/>
    <s v="Efficient Spend"/>
    <s v="Medium"/>
  </r>
  <r>
    <s v="MKT1084"/>
    <d v="2024-05-04T00:00:00"/>
    <s v="C262"/>
    <n v="21"/>
    <s v="Other"/>
    <x v="1"/>
    <x v="2"/>
    <x v="2"/>
    <n v="826.62"/>
    <n v="32518"/>
    <n v="3074"/>
    <n v="169"/>
    <n v="3"/>
    <n v="9.4532259060000001"/>
    <n v="5.4977228370000004"/>
    <n v="3"/>
    <m/>
    <m/>
    <m/>
    <m/>
    <m/>
    <s v="Average Performer"/>
    <e v="#NAME?"/>
    <s v="Medium Budget"/>
    <n v="0.3"/>
    <s v="Efficient Spend"/>
    <s v="High"/>
  </r>
  <r>
    <s v="MKT1085"/>
    <d v="2024-10-03T00:00:00"/>
    <s v="C228"/>
    <n v="56"/>
    <s v="Other"/>
    <x v="3"/>
    <x v="3"/>
    <x v="3"/>
    <n v="162.76"/>
    <n v="26231"/>
    <n v="2329"/>
    <n v="82"/>
    <n v="3"/>
    <n v="8.8788075180000003"/>
    <n v="3.5208243879999999"/>
    <n v="3"/>
    <m/>
    <m/>
    <m/>
    <m/>
    <m/>
    <s v="Low Performer"/>
    <e v="#NAME?"/>
    <s v="Low Budget"/>
    <n v="0.75"/>
    <s v="Efficient Spend"/>
    <s v="Medium"/>
  </r>
  <r>
    <s v="MKT1086"/>
    <d v="2024-11-05T00:00:00"/>
    <s v="C383"/>
    <n v="48"/>
    <s v="Female"/>
    <x v="4"/>
    <x v="3"/>
    <x v="1"/>
    <n v="1452.05"/>
    <n v="32061"/>
    <n v="1216"/>
    <n v="93"/>
    <n v="5"/>
    <n v="3.792770032"/>
    <n v="7.6480263160000002"/>
    <n v="5"/>
    <m/>
    <m/>
    <m/>
    <m/>
    <m/>
    <s v="Low Performer"/>
    <e v="#NAME?"/>
    <s v="High Budget"/>
    <n v="0.75"/>
    <s v="Inefficient Spend"/>
    <s v="Medium"/>
  </r>
  <r>
    <s v="MKT1087"/>
    <d v="2024-11-11T00:00:00"/>
    <s v="C215"/>
    <n v="41"/>
    <s v="Other"/>
    <x v="6"/>
    <x v="1"/>
    <x v="2"/>
    <n v="488.2"/>
    <n v="32198"/>
    <n v="2749"/>
    <n v="105"/>
    <m/>
    <n v="8.5377973790000006"/>
    <n v="3.8195707529999998"/>
    <n v="3"/>
    <m/>
    <m/>
    <m/>
    <m/>
    <m/>
    <s v="Average Performer"/>
    <e v="#NAME?"/>
    <s v="Low Budget"/>
    <n v="1.2"/>
    <s v="Efficient Spend"/>
    <s v="High"/>
  </r>
  <r>
    <s v="MKT1088"/>
    <d v="2024-02-05T00:00:00"/>
    <s v="C205"/>
    <n v="45"/>
    <s v="Other"/>
    <x v="2"/>
    <x v="3"/>
    <x v="3"/>
    <n v="976.33"/>
    <n v="34635"/>
    <n v="472"/>
    <n v="74"/>
    <n v="4"/>
    <n v="1.3627833119999999"/>
    <n v="15.677966100000001"/>
    <n v="4"/>
    <m/>
    <m/>
    <m/>
    <m/>
    <m/>
    <s v="Low Performer"/>
    <e v="#NAME?"/>
    <s v="Medium Budget"/>
    <n v="0.75"/>
    <s v="Inefficient Spend"/>
    <s v="Medium"/>
  </r>
  <r>
    <s v="MKT1089"/>
    <d v="2024-10-31T00:00:00"/>
    <s v="C391"/>
    <n v="58"/>
    <s v="Female"/>
    <x v="3"/>
    <x v="2"/>
    <x v="0"/>
    <n v="615.13"/>
    <n v="23387"/>
    <n v="744"/>
    <n v="275"/>
    <n v="5"/>
    <n v="3.1812545430000001"/>
    <n v="36.962365589999997"/>
    <n v="5"/>
    <m/>
    <m/>
    <m/>
    <m/>
    <m/>
    <s v="Low Performer"/>
    <e v="#NAME?"/>
    <s v="Medium Budget"/>
    <n v="0.3"/>
    <s v="Inefficient Spend"/>
    <s v="High"/>
  </r>
  <r>
    <s v="MKT1090"/>
    <d v="2024-09-17T00:00:00"/>
    <s v="C267"/>
    <n v="48"/>
    <s v="Other"/>
    <x v="3"/>
    <x v="4"/>
    <x v="0"/>
    <n v="770.28"/>
    <n v="44596"/>
    <n v="1852"/>
    <n v="172"/>
    <n v="5"/>
    <n v="4.1528388200000004"/>
    <n v="9.2872570190000001"/>
    <n v="5"/>
    <m/>
    <m/>
    <m/>
    <m/>
    <m/>
    <s v="Average Performer"/>
    <e v="#NAME?"/>
    <s v="Medium Budget"/>
    <n v="0.2"/>
    <s v="Inefficient Spend"/>
    <s v="High"/>
  </r>
  <r>
    <s v="MKT1091"/>
    <d v="2024-10-26T00:00:00"/>
    <s v="C319"/>
    <n v="44"/>
    <s v="Other"/>
    <x v="1"/>
    <x v="2"/>
    <x v="0"/>
    <n v="1041.72"/>
    <n v="44592"/>
    <n v="3671"/>
    <n v="166"/>
    <n v="4"/>
    <n v="8.2324183709999996"/>
    <n v="4.5219286299999997"/>
    <n v="4"/>
    <m/>
    <m/>
    <m/>
    <m/>
    <m/>
    <s v="Average Performer"/>
    <e v="#NAME?"/>
    <s v="High Budget"/>
    <n v="0.3"/>
    <s v="Efficient Spend"/>
    <s v="High"/>
  </r>
  <r>
    <s v="MKT1092"/>
    <d v="2024-09-07T00:00:00"/>
    <s v="C342"/>
    <n v="64"/>
    <s v="Female"/>
    <x v="2"/>
    <x v="3"/>
    <x v="1"/>
    <n v="421.11"/>
    <n v="31096"/>
    <n v="4306"/>
    <n v="203"/>
    <n v="5"/>
    <n v="13.84744019"/>
    <n v="4.7143520670000001"/>
    <n v="5"/>
    <m/>
    <m/>
    <m/>
    <m/>
    <m/>
    <s v="Top Performer"/>
    <e v="#NAME?"/>
    <s v="Low Budget"/>
    <n v="0.75"/>
    <s v="Efficient Spend"/>
    <s v="Medium"/>
  </r>
  <r>
    <s v="MKT1093"/>
    <d v="2024-02-24T00:00:00"/>
    <s v="C206"/>
    <n v="59"/>
    <s v="Female"/>
    <x v="2"/>
    <x v="0"/>
    <x v="2"/>
    <n v="1468.02"/>
    <n v="24815"/>
    <n v="3456"/>
    <n v="76"/>
    <n v="2"/>
    <n v="13.92706025"/>
    <n v="2.1990740739999999"/>
    <n v="2"/>
    <m/>
    <m/>
    <m/>
    <m/>
    <m/>
    <s v="Low Performer"/>
    <e v="#NAME?"/>
    <s v="High Budget"/>
    <n v="0.5"/>
    <s v="Efficient Spend"/>
    <s v="High"/>
  </r>
  <r>
    <s v="MKT1094"/>
    <d v="2024-02-13T00:00:00"/>
    <s v="C242"/>
    <n v="44"/>
    <s v="Other"/>
    <x v="0"/>
    <x v="0"/>
    <x v="2"/>
    <n v="259.36"/>
    <n v="40912"/>
    <n v="3299"/>
    <n v="371"/>
    <n v="3"/>
    <n v="8.0636488069999999"/>
    <n v="11.245832070000001"/>
    <n v="3"/>
    <m/>
    <m/>
    <m/>
    <m/>
    <m/>
    <s v="Top Performer"/>
    <e v="#NAME?"/>
    <s v="Low Budget"/>
    <n v="0.5"/>
    <s v="Efficient Spend"/>
    <s v="High"/>
  </r>
  <r>
    <s v="MKT1095"/>
    <d v="2024-08-03T00:00:00"/>
    <s v="C278"/>
    <n v="45"/>
    <s v="Other"/>
    <x v="0"/>
    <x v="3"/>
    <x v="2"/>
    <n v="1526.56"/>
    <n v="41500"/>
    <n v="2791"/>
    <n v="315"/>
    <n v="5"/>
    <n v="6.7253012050000001"/>
    <n v="11.28627732"/>
    <n v="5"/>
    <m/>
    <m/>
    <m/>
    <m/>
    <m/>
    <s v="Average Performer"/>
    <e v="#NAME?"/>
    <s v="High Budget"/>
    <n v="0.75"/>
    <s v="Efficient Spend"/>
    <s v="High"/>
  </r>
  <r>
    <s v="MKT1096"/>
    <d v="2024-02-09T00:00:00"/>
    <s v="C364"/>
    <n v="43"/>
    <s v="Other"/>
    <x v="0"/>
    <x v="0"/>
    <x v="2"/>
    <n v="140.01"/>
    <n v="42074"/>
    <n v="2387"/>
    <n v="299"/>
    <n v="3"/>
    <n v="5.6733374530000003"/>
    <n v="12.526183489999999"/>
    <n v="3"/>
    <m/>
    <m/>
    <m/>
    <m/>
    <m/>
    <s v="Average Performer"/>
    <e v="#NAME?"/>
    <s v="Low Budget"/>
    <n v="0.5"/>
    <s v="Efficient Spend"/>
    <s v="High"/>
  </r>
  <r>
    <s v="MKT1097"/>
    <d v="2024-05-11T00:00:00"/>
    <s v="C339"/>
    <n v="20"/>
    <s v="Other"/>
    <x v="1"/>
    <x v="1"/>
    <x v="0"/>
    <n v="993.51"/>
    <n v="19930"/>
    <n v="1681"/>
    <n v="299"/>
    <m/>
    <n v="8.4345208229999997"/>
    <n v="17.78703153"/>
    <n v="3"/>
    <m/>
    <m/>
    <m/>
    <m/>
    <m/>
    <s v="Average Performer"/>
    <e v="#NAME?"/>
    <s v="Medium Budget"/>
    <n v="1.2"/>
    <s v="Efficient Spend"/>
    <s v="High"/>
  </r>
  <r>
    <s v="MKT1098"/>
    <d v="2024-12-01T00:00:00"/>
    <s v="C362"/>
    <n v="39"/>
    <s v="Other"/>
    <x v="5"/>
    <x v="4"/>
    <x v="2"/>
    <n v="1203.5"/>
    <n v="39872"/>
    <n v="1246"/>
    <n v="157"/>
    <n v="2"/>
    <n v="3.125"/>
    <n v="12.60032103"/>
    <n v="2"/>
    <m/>
    <m/>
    <m/>
    <m/>
    <m/>
    <s v="Average Performer"/>
    <e v="#NAME?"/>
    <s v="High Budget"/>
    <n v="0.2"/>
    <s v="Inefficient Spend"/>
    <s v="High"/>
  </r>
  <r>
    <s v="MKT1099"/>
    <d v="2024-10-12T00:00:00"/>
    <s v="C361"/>
    <n v="62"/>
    <s v="Male"/>
    <x v="0"/>
    <x v="4"/>
    <x v="2"/>
    <n v="482.54"/>
    <n v="10172"/>
    <n v="2686"/>
    <n v="254"/>
    <n v="3"/>
    <n v="26.405819900000001"/>
    <n v="9.4564408039999996"/>
    <n v="3"/>
    <m/>
    <m/>
    <m/>
    <m/>
    <m/>
    <s v="Average Performer"/>
    <e v="#NAME?"/>
    <s v="Low Budget"/>
    <n v="0.2"/>
    <s v="Efficient Spend"/>
    <s v="High"/>
  </r>
  <r>
    <s v="MKT1100"/>
    <d v="2024-05-16T00:00:00"/>
    <s v="C371"/>
    <n v="38"/>
    <s v="Male"/>
    <x v="0"/>
    <x v="0"/>
    <x v="0"/>
    <n v="114.47"/>
    <n v="38970"/>
    <n v="4808"/>
    <n v="89"/>
    <n v="1"/>
    <n v="12.33769566"/>
    <n v="1.8510815309999999"/>
    <n v="1"/>
    <m/>
    <m/>
    <m/>
    <m/>
    <m/>
    <s v="Low Performer"/>
    <e v="#NAME?"/>
    <s v="Low Budget"/>
    <n v="0.5"/>
    <s v="Efficient Spend"/>
    <s v="High"/>
  </r>
  <r>
    <s v="MKT1101"/>
    <d v="2024-02-24T00:00:00"/>
    <s v="C217"/>
    <n v="28"/>
    <s v="Male"/>
    <x v="2"/>
    <x v="0"/>
    <x v="2"/>
    <n v="1426.75"/>
    <n v="36303"/>
    <n v="3298"/>
    <n v="316"/>
    <n v="2"/>
    <n v="9.0846486520000003"/>
    <n v="9.5815645850000006"/>
    <n v="2"/>
    <m/>
    <m/>
    <m/>
    <m/>
    <m/>
    <s v="Top Performer"/>
    <e v="#NAME?"/>
    <s v="High Budget"/>
    <n v="0.5"/>
    <s v="Efficient Spend"/>
    <s v="High"/>
  </r>
  <r>
    <s v="MKT1102"/>
    <d v="2024-06-15T00:00:00"/>
    <s v="C293"/>
    <n v="51"/>
    <s v="Other"/>
    <x v="0"/>
    <x v="4"/>
    <x v="1"/>
    <n v="1402.89"/>
    <n v="2432"/>
    <n v="2653"/>
    <n v="26"/>
    <n v="1"/>
    <n v="109.08717110000001"/>
    <n v="0.98002261599999996"/>
    <n v="1"/>
    <m/>
    <m/>
    <m/>
    <m/>
    <n v="0"/>
    <s v="Low Performer"/>
    <e v="#NAME?"/>
    <s v="High Budget"/>
    <n v="0.2"/>
    <s v="Inefficient Spend"/>
    <s v="Medium"/>
  </r>
  <r>
    <s v="MKT1103"/>
    <d v="2024-07-17T00:00:00"/>
    <s v="C321"/>
    <n v="55"/>
    <s v="Male"/>
    <x v="3"/>
    <x v="3"/>
    <x v="3"/>
    <n v="107.97"/>
    <n v="35959"/>
    <n v="1021"/>
    <n v="38"/>
    <n v="5"/>
    <n v="2.839344809"/>
    <n v="3.7218413319999999"/>
    <n v="5"/>
    <m/>
    <m/>
    <m/>
    <m/>
    <m/>
    <s v="Low Performer"/>
    <e v="#NAME?"/>
    <s v="Low Budget"/>
    <n v="0.75"/>
    <s v="Efficient Spend"/>
    <s v="Medium"/>
  </r>
  <r>
    <s v="MKT1104"/>
    <d v="2024-05-29T00:00:00"/>
    <s v="C360"/>
    <n v="62"/>
    <s v="Other"/>
    <x v="4"/>
    <x v="4"/>
    <x v="2"/>
    <n v="384.4"/>
    <n v="37506"/>
    <n v="3461"/>
    <n v="118"/>
    <n v="3"/>
    <n v="9.2278568760000006"/>
    <n v="3.4094192429999999"/>
    <n v="3"/>
    <m/>
    <m/>
    <m/>
    <m/>
    <m/>
    <s v="Average Performer"/>
    <e v="#NAME?"/>
    <s v="Low Budget"/>
    <n v="0.2"/>
    <s v="Efficient Spend"/>
    <s v="High"/>
  </r>
  <r>
    <s v="MKT1105"/>
    <d v="2024-02-14T00:00:00"/>
    <s v="C324"/>
    <n v="36"/>
    <s v="Female"/>
    <x v="1"/>
    <x v="2"/>
    <x v="1"/>
    <n v="334.17"/>
    <n v="38386"/>
    <n v="2395"/>
    <n v="121"/>
    <n v="4"/>
    <n v="6.239253895"/>
    <n v="5.052192067"/>
    <n v="4"/>
    <m/>
    <m/>
    <m/>
    <m/>
    <m/>
    <s v="Average Performer"/>
    <e v="#NAME?"/>
    <s v="Low Budget"/>
    <n v="0.3"/>
    <s v="Efficient Spend"/>
    <s v="Medium"/>
  </r>
  <r>
    <s v="MKT1106"/>
    <d v="2024-05-15T00:00:00"/>
    <s v="C264"/>
    <n v="63"/>
    <s v="Male"/>
    <x v="1"/>
    <x v="2"/>
    <x v="3"/>
    <n v="725.13"/>
    <n v="810"/>
    <n v="4954"/>
    <n v="141"/>
    <n v="4"/>
    <n v="611.60493829999996"/>
    <n v="2.846184901"/>
    <n v="4"/>
    <m/>
    <m/>
    <m/>
    <m/>
    <n v="0"/>
    <s v="Average Performer"/>
    <e v="#NAME?"/>
    <s v="Medium Budget"/>
    <n v="0.3"/>
    <s v="Efficient Spend"/>
    <s v="Medium"/>
  </r>
  <r>
    <s v="MKT1107"/>
    <d v="2024-07-28T00:00:00"/>
    <s v="C385"/>
    <n v="35"/>
    <s v="Female"/>
    <x v="0"/>
    <x v="3"/>
    <x v="0"/>
    <n v="361.56"/>
    <n v="3589"/>
    <n v="1477"/>
    <n v="391"/>
    <n v="3"/>
    <n v="41.153524660000002"/>
    <n v="26.472579549999999"/>
    <n v="3"/>
    <m/>
    <m/>
    <m/>
    <m/>
    <m/>
    <s v="Average Performer"/>
    <e v="#NAME?"/>
    <s v="Low Budget"/>
    <n v="0.75"/>
    <s v="Efficient Spend"/>
    <s v="High"/>
  </r>
  <r>
    <s v="MKT1108"/>
    <d v="2024-07-16T00:00:00"/>
    <s v="C226"/>
    <n v="64"/>
    <s v="Male"/>
    <x v="3"/>
    <x v="3"/>
    <x v="0"/>
    <n v="893.1"/>
    <n v="7956"/>
    <n v="2295"/>
    <n v="133"/>
    <n v="4"/>
    <n v="28.84615385"/>
    <n v="5.7952069719999999"/>
    <n v="4"/>
    <m/>
    <m/>
    <m/>
    <m/>
    <m/>
    <s v="Average Performer"/>
    <e v="#NAME?"/>
    <s v="Medium Budget"/>
    <n v="0.75"/>
    <s v="Efficient Spend"/>
    <s v="High"/>
  </r>
  <r>
    <s v="MKT1109"/>
    <d v="2024-04-10T00:00:00"/>
    <s v="C250"/>
    <n v="35"/>
    <s v="Male"/>
    <x v="1"/>
    <x v="0"/>
    <x v="2"/>
    <n v="1463.5"/>
    <n v="42994"/>
    <n v="1143"/>
    <n v="63"/>
    <m/>
    <n v="2.6585104899999998"/>
    <n v="5.511811024"/>
    <n v="3"/>
    <m/>
    <m/>
    <m/>
    <m/>
    <m/>
    <s v="Low Performer"/>
    <e v="#NAME?"/>
    <s v="High Budget"/>
    <n v="0.5"/>
    <s v="Inefficient Spend"/>
    <s v="High"/>
  </r>
  <r>
    <s v="MKT1110"/>
    <d v="2024-06-29T00:00:00"/>
    <s v="C217"/>
    <n v="52"/>
    <s v="Other"/>
    <x v="5"/>
    <x v="1"/>
    <x v="1"/>
    <n v="1633.86"/>
    <n v="24294"/>
    <n v="4522"/>
    <n v="82"/>
    <n v="4"/>
    <n v="18.613649460000001"/>
    <n v="1.8133569220000001"/>
    <n v="4"/>
    <m/>
    <m/>
    <m/>
    <m/>
    <m/>
    <s v="Low Performer"/>
    <e v="#NAME?"/>
    <s v="High Budget"/>
    <n v="1.2"/>
    <s v="Efficient Spend"/>
    <s v="Medium"/>
  </r>
  <r>
    <s v="MKT1111"/>
    <d v="2024-06-18T00:00:00"/>
    <s v="C387"/>
    <n v="26"/>
    <s v="Female"/>
    <x v="4"/>
    <x v="3"/>
    <x v="0"/>
    <n v="1683.74"/>
    <n v="49199"/>
    <n v="1206"/>
    <n v="143"/>
    <n v="1"/>
    <n v="2.4512693350000001"/>
    <n v="11.85737977"/>
    <n v="1"/>
    <m/>
    <m/>
    <m/>
    <m/>
    <m/>
    <s v="Average Performer"/>
    <e v="#NAME?"/>
    <s v="High Budget"/>
    <n v="0.75"/>
    <s v="Inefficient Spend"/>
    <s v="High"/>
  </r>
  <r>
    <s v="MKT1112"/>
    <d v="2024-01-30T00:00:00"/>
    <s v="C375"/>
    <n v="41"/>
    <s v="Other"/>
    <x v="6"/>
    <x v="0"/>
    <x v="2"/>
    <n v="520.96"/>
    <n v="31499"/>
    <n v="2032"/>
    <n v="53"/>
    <m/>
    <n v="6.4509984439999997"/>
    <n v="2.6082677169999999"/>
    <n v="3"/>
    <m/>
    <m/>
    <m/>
    <m/>
    <m/>
    <s v="Low Performer"/>
    <e v="#NAME?"/>
    <s v="Medium Budget"/>
    <n v="0.5"/>
    <s v="Efficient Spend"/>
    <s v="High"/>
  </r>
  <r>
    <s v="MKT1113"/>
    <d v="2024-10-09T00:00:00"/>
    <s v="C327"/>
    <n v="23"/>
    <s v="Male"/>
    <x v="5"/>
    <x v="3"/>
    <x v="0"/>
    <n v="1012.19"/>
    <n v="49830"/>
    <n v="4377"/>
    <n v="47"/>
    <n v="4"/>
    <n v="8.7838651409999997"/>
    <n v="1.0737948369999999"/>
    <n v="4"/>
    <m/>
    <m/>
    <m/>
    <m/>
    <m/>
    <s v="Low Performer"/>
    <e v="#NAME?"/>
    <s v="High Budget"/>
    <n v="0.75"/>
    <s v="Efficient Spend"/>
    <s v="High"/>
  </r>
  <r>
    <s v="MKT1114"/>
    <d v="2024-11-16T00:00:00"/>
    <s v="C244"/>
    <n v="40"/>
    <s v="Female"/>
    <x v="3"/>
    <x v="2"/>
    <x v="0"/>
    <n v="1670.57"/>
    <n v="6743"/>
    <n v="4490"/>
    <n v="267"/>
    <n v="1"/>
    <n v="66.587572300000005"/>
    <n v="5.9465478840000001"/>
    <n v="1"/>
    <m/>
    <m/>
    <m/>
    <m/>
    <m/>
    <s v="Top Performer"/>
    <e v="#NAME?"/>
    <s v="High Budget"/>
    <n v="0.3"/>
    <s v="Inefficient Spend"/>
    <s v="High"/>
  </r>
  <r>
    <s v="MKT1115"/>
    <d v="2024-09-09T00:00:00"/>
    <s v="C349"/>
    <n v="58"/>
    <s v="Female"/>
    <x v="3"/>
    <x v="2"/>
    <x v="1"/>
    <n v="1827.49"/>
    <n v="24691"/>
    <n v="2290"/>
    <n v="231"/>
    <n v="4"/>
    <n v="9.2746344819999997"/>
    <n v="10.087336240000001"/>
    <n v="4"/>
    <m/>
    <m/>
    <m/>
    <m/>
    <m/>
    <s v="Average Performer"/>
    <e v="#NAME?"/>
    <s v="High Budget"/>
    <n v="0.3"/>
    <s v="Inefficient Spend"/>
    <s v="Medium"/>
  </r>
  <r>
    <s v="MKT1116"/>
    <d v="2024-07-09T00:00:00"/>
    <s v="C305"/>
    <n v="36"/>
    <s v="Male"/>
    <x v="0"/>
    <x v="2"/>
    <x v="3"/>
    <n v="1461.83"/>
    <n v="37177"/>
    <n v="2771"/>
    <n v="158"/>
    <m/>
    <n v="7.4535330980000003"/>
    <n v="5.7019126670000002"/>
    <n v="3"/>
    <m/>
    <m/>
    <m/>
    <m/>
    <m/>
    <s v="Average Performer"/>
    <e v="#NAME?"/>
    <s v="High Budget"/>
    <n v="0.3"/>
    <s v="Inefficient Spend"/>
    <s v="Medium"/>
  </r>
  <r>
    <s v="MKT1117"/>
    <d v="2024-08-02T00:00:00"/>
    <s v="C246"/>
    <n v="19"/>
    <s v="Female"/>
    <x v="5"/>
    <x v="4"/>
    <x v="1"/>
    <n v="982.76"/>
    <n v="37435"/>
    <n v="4776"/>
    <n v="312"/>
    <m/>
    <n v="12.75811406"/>
    <n v="6.5326633169999999"/>
    <n v="3"/>
    <m/>
    <m/>
    <m/>
    <m/>
    <m/>
    <s v="Top Performer"/>
    <e v="#NAME?"/>
    <s v="Medium Budget"/>
    <n v="0.2"/>
    <s v="Inefficient Spend"/>
    <s v="Medium"/>
  </r>
  <r>
    <s v="MKT1118"/>
    <d v="2024-08-14T00:00:00"/>
    <s v="C310"/>
    <n v="63"/>
    <s v="Other"/>
    <x v="2"/>
    <x v="0"/>
    <x v="1"/>
    <n v="366.7"/>
    <n v="3377"/>
    <n v="1408"/>
    <n v="95"/>
    <n v="1"/>
    <n v="41.693811070000002"/>
    <n v="6.7471590910000003"/>
    <n v="1"/>
    <m/>
    <m/>
    <m/>
    <m/>
    <m/>
    <s v="Low Performer"/>
    <e v="#NAME?"/>
    <s v="Low Budget"/>
    <n v="0.5"/>
    <s v="Efficient Spend"/>
    <s v="Medium"/>
  </r>
  <r>
    <s v="MKT1119"/>
    <d v="2024-01-13T00:00:00"/>
    <s v="C287"/>
    <n v="50"/>
    <s v="Male"/>
    <x v="3"/>
    <x v="0"/>
    <x v="2"/>
    <n v="1592.51"/>
    <n v="39679"/>
    <n v="4507"/>
    <n v="282"/>
    <n v="4"/>
    <n v="11.35865319"/>
    <n v="6.2569336590000004"/>
    <n v="4"/>
    <m/>
    <m/>
    <m/>
    <m/>
    <m/>
    <s v="Top Performer"/>
    <e v="#NAME?"/>
    <s v="High Budget"/>
    <n v="0.5"/>
    <s v="Efficient Spend"/>
    <s v="High"/>
  </r>
  <r>
    <s v="MKT1120"/>
    <d v="2024-05-14T00:00:00"/>
    <s v="C231"/>
    <n v="25"/>
    <s v="Other"/>
    <x v="5"/>
    <x v="2"/>
    <x v="2"/>
    <n v="606.88"/>
    <n v="23642"/>
    <n v="2061"/>
    <n v="334"/>
    <n v="5"/>
    <n v="8.7175365869999997"/>
    <n v="16.205725380000001"/>
    <n v="5"/>
    <m/>
    <m/>
    <m/>
    <m/>
    <m/>
    <s v="Average Performer"/>
    <e v="#NAME?"/>
    <s v="Medium Budget"/>
    <n v="0.3"/>
    <s v="Efficient Spend"/>
    <s v="High"/>
  </r>
  <r>
    <s v="MKT1121"/>
    <d v="2024-04-16T00:00:00"/>
    <s v="C266"/>
    <n v="22"/>
    <s v="Female"/>
    <x v="5"/>
    <x v="3"/>
    <x v="2"/>
    <n v="371.95"/>
    <n v="31624"/>
    <n v="1475"/>
    <n v="103"/>
    <n v="5"/>
    <n v="4.6641791039999996"/>
    <n v="6.9830508470000003"/>
    <n v="5"/>
    <m/>
    <m/>
    <m/>
    <m/>
    <m/>
    <s v="Average Performer"/>
    <e v="#NAME?"/>
    <s v="Low Budget"/>
    <n v="0.75"/>
    <s v="Efficient Spend"/>
    <s v="High"/>
  </r>
  <r>
    <s v="MKT1122"/>
    <d v="2024-04-20T00:00:00"/>
    <s v="C282"/>
    <n v="47"/>
    <s v="Female"/>
    <x v="3"/>
    <x v="4"/>
    <x v="0"/>
    <n v="406.11"/>
    <n v="6274"/>
    <n v="4683"/>
    <n v="300"/>
    <n v="1"/>
    <n v="74.641377109999993"/>
    <n v="6.4061499040000003"/>
    <n v="1"/>
    <m/>
    <m/>
    <m/>
    <m/>
    <m/>
    <s v="Top Performer"/>
    <e v="#NAME?"/>
    <s v="Low Budget"/>
    <n v="0.2"/>
    <s v="Efficient Spend"/>
    <s v="High"/>
  </r>
  <r>
    <s v="MKT1123"/>
    <d v="2024-12-15T00:00:00"/>
    <s v="C239"/>
    <n v="30"/>
    <s v="Female"/>
    <x v="1"/>
    <x v="4"/>
    <x v="3"/>
    <n v="1414.99"/>
    <n v="36111"/>
    <n v="1260"/>
    <n v="176"/>
    <n v="1"/>
    <n v="3.4892415049999999"/>
    <n v="13.968253969999999"/>
    <n v="1"/>
    <m/>
    <m/>
    <m/>
    <m/>
    <m/>
    <s v="Average Performer"/>
    <e v="#NAME?"/>
    <s v="High Budget"/>
    <n v="0.2"/>
    <s v="Inefficient Spend"/>
    <s v="Medium"/>
  </r>
  <r>
    <s v="MKT1124"/>
    <d v="2024-08-22T00:00:00"/>
    <s v="C255"/>
    <n v="54"/>
    <s v="Other"/>
    <x v="4"/>
    <x v="2"/>
    <x v="3"/>
    <n v="1846.41"/>
    <n v="37794"/>
    <n v="2188"/>
    <n v="245"/>
    <m/>
    <n v="5.7892787209999996"/>
    <n v="11.197440589999999"/>
    <n v="3"/>
    <m/>
    <m/>
    <m/>
    <m/>
    <m/>
    <s v="Average Performer"/>
    <e v="#NAME?"/>
    <s v="High Budget"/>
    <n v="0.3"/>
    <s v="Inefficient Spend"/>
    <s v="Medium"/>
  </r>
  <r>
    <s v="MKT1125"/>
    <d v="2024-01-18T00:00:00"/>
    <s v="C271"/>
    <n v="18"/>
    <s v="Other"/>
    <x v="1"/>
    <x v="0"/>
    <x v="0"/>
    <n v="311.69"/>
    <n v="43403"/>
    <n v="2605"/>
    <n v="101"/>
    <n v="3"/>
    <n v="6.0018892700000004"/>
    <n v="3.8771593090000001"/>
    <n v="3"/>
    <m/>
    <m/>
    <m/>
    <m/>
    <m/>
    <s v="Average Performer"/>
    <e v="#NAME?"/>
    <s v="Low Budget"/>
    <n v="0.5"/>
    <s v="Efficient Spend"/>
    <s v="High"/>
  </r>
  <r>
    <s v="MKT1126"/>
    <d v="2024-01-06T00:00:00"/>
    <s v="C351"/>
    <n v="41"/>
    <s v="Male"/>
    <x v="6"/>
    <x v="2"/>
    <x v="1"/>
    <n v="1961.14"/>
    <n v="25099"/>
    <n v="4902"/>
    <n v="85"/>
    <m/>
    <n v="19.530658590000002"/>
    <n v="1.733986128"/>
    <n v="3"/>
    <m/>
    <m/>
    <m/>
    <m/>
    <m/>
    <s v="Low Performer"/>
    <e v="#NAME?"/>
    <s v="High Budget"/>
    <n v="0.3"/>
    <s v="Inefficient Spend"/>
    <s v="Medium"/>
  </r>
  <r>
    <s v="MKT1127"/>
    <d v="2024-12-01T00:00:00"/>
    <s v="C271"/>
    <n v="20"/>
    <s v="Female"/>
    <x v="3"/>
    <x v="4"/>
    <x v="3"/>
    <n v="1555.39"/>
    <n v="31478"/>
    <n v="4363"/>
    <n v="34"/>
    <n v="5"/>
    <n v="13.86047398"/>
    <n v="0.77928031200000003"/>
    <n v="5"/>
    <m/>
    <m/>
    <m/>
    <m/>
    <m/>
    <s v="Low Performer"/>
    <e v="#NAME?"/>
    <s v="High Budget"/>
    <n v="0.2"/>
    <s v="Inefficient Spend"/>
    <s v="Medium"/>
  </r>
  <r>
    <s v="MKT1128"/>
    <d v="2024-02-19T00:00:00"/>
    <s v="C365"/>
    <n v="39"/>
    <s v="Female"/>
    <x v="0"/>
    <x v="2"/>
    <x v="1"/>
    <n v="731.27"/>
    <n v="12521"/>
    <n v="4634"/>
    <n v="372"/>
    <n v="5"/>
    <n v="37.009823500000003"/>
    <n v="8.027621925"/>
    <n v="5"/>
    <m/>
    <m/>
    <m/>
    <m/>
    <m/>
    <s v="Top Performer"/>
    <e v="#NAME?"/>
    <s v="Medium Budget"/>
    <n v="0.3"/>
    <s v="Efficient Spend"/>
    <s v="Medium"/>
  </r>
  <r>
    <s v="MKT1129"/>
    <d v="2024-11-28T00:00:00"/>
    <s v="C304"/>
    <n v="40"/>
    <s v="Female"/>
    <x v="1"/>
    <x v="1"/>
    <x v="2"/>
    <n v="178.21"/>
    <n v="10056"/>
    <n v="1992"/>
    <n v="322"/>
    <n v="1"/>
    <n v="19.809069210000001"/>
    <n v="16.164658630000002"/>
    <n v="1"/>
    <m/>
    <m/>
    <m/>
    <m/>
    <m/>
    <s v="Average Performer"/>
    <e v="#NAME?"/>
    <s v="Low Budget"/>
    <n v="1.2"/>
    <s v="Efficient Spend"/>
    <s v="High"/>
  </r>
  <r>
    <s v="MKT1130"/>
    <d v="2024-04-15T00:00:00"/>
    <s v="C247"/>
    <n v="41"/>
    <s v="Other"/>
    <x v="6"/>
    <x v="4"/>
    <x v="1"/>
    <n v="858.1"/>
    <n v="16509"/>
    <n v="1411"/>
    <n v="139"/>
    <m/>
    <n v="8.5468532320000001"/>
    <n v="9.8511693830000002"/>
    <n v="3"/>
    <m/>
    <m/>
    <m/>
    <m/>
    <m/>
    <s v="Average Performer"/>
    <e v="#NAME?"/>
    <s v="Medium Budget"/>
    <n v="0.2"/>
    <s v="Inefficient Spend"/>
    <s v="Medium"/>
  </r>
  <r>
    <s v="MKT1131"/>
    <d v="2024-07-01T00:00:00"/>
    <s v="C277"/>
    <n v="48"/>
    <s v="Female"/>
    <x v="3"/>
    <x v="1"/>
    <x v="2"/>
    <n v="1106.97"/>
    <n v="23254"/>
    <n v="4996"/>
    <n v="131"/>
    <n v="3"/>
    <n v="21.484475790000001"/>
    <n v="2.6220976779999998"/>
    <n v="3"/>
    <m/>
    <m/>
    <m/>
    <m/>
    <m/>
    <s v="Average Performer"/>
    <e v="#NAME?"/>
    <s v="High Budget"/>
    <n v="1.2"/>
    <s v="Efficient Spend"/>
    <s v="High"/>
  </r>
  <r>
    <s v="MKT1132"/>
    <d v="2024-06-24T00:00:00"/>
    <s v="C313"/>
    <n v="40"/>
    <s v="Female"/>
    <x v="0"/>
    <x v="0"/>
    <x v="2"/>
    <n v="732.38"/>
    <n v="9318"/>
    <n v="108"/>
    <n v="280"/>
    <n v="2"/>
    <n v="1.159047006"/>
    <n v="259.2592593"/>
    <n v="2"/>
    <m/>
    <m/>
    <m/>
    <m/>
    <m/>
    <s v="Low Performer"/>
    <e v="#NAME?"/>
    <s v="Medium Budget"/>
    <n v="0.5"/>
    <s v="Inefficient Spend"/>
    <s v="High"/>
  </r>
  <r>
    <s v="MKT1133"/>
    <d v="2024-03-28T00:00:00"/>
    <s v="C361"/>
    <n v="41"/>
    <s v="Male"/>
    <x v="5"/>
    <x v="2"/>
    <x v="3"/>
    <n v="1635.18"/>
    <n v="33244"/>
    <n v="1876"/>
    <n v="83"/>
    <n v="4"/>
    <n v="5.6431235710000003"/>
    <n v="4.4243070360000001"/>
    <n v="4"/>
    <m/>
    <m/>
    <m/>
    <m/>
    <m/>
    <s v="Low Performer"/>
    <e v="#NAME?"/>
    <s v="High Budget"/>
    <n v="0.3"/>
    <s v="Inefficient Spend"/>
    <s v="Medium"/>
  </r>
  <r>
    <s v="MKT1134"/>
    <d v="2024-05-29T00:00:00"/>
    <s v="C247"/>
    <n v="61"/>
    <s v="Male"/>
    <x v="2"/>
    <x v="4"/>
    <x v="0"/>
    <n v="785.86"/>
    <n v="35340"/>
    <n v="2350"/>
    <n v="367"/>
    <n v="4"/>
    <n v="6.649688738"/>
    <n v="15.617021279999999"/>
    <n v="4"/>
    <m/>
    <m/>
    <m/>
    <m/>
    <m/>
    <s v="Average Performer"/>
    <e v="#NAME?"/>
    <s v="Medium Budget"/>
    <n v="0.2"/>
    <s v="Inefficient Spend"/>
    <s v="High"/>
  </r>
  <r>
    <s v="MKT1135"/>
    <d v="2024-09-17T00:00:00"/>
    <s v="C214"/>
    <n v="28"/>
    <s v="Other"/>
    <x v="4"/>
    <x v="1"/>
    <x v="2"/>
    <n v="1086.05"/>
    <n v="6621"/>
    <n v="720"/>
    <n v="329"/>
    <n v="4"/>
    <n v="10.87449026"/>
    <n v="45.694444439999998"/>
    <n v="4"/>
    <m/>
    <m/>
    <m/>
    <m/>
    <m/>
    <s v="Low Performer"/>
    <e v="#NAME?"/>
    <s v="High Budget"/>
    <n v="1.2"/>
    <s v="Inefficient Spend"/>
    <s v="High"/>
  </r>
  <r>
    <s v="MKT1136"/>
    <d v="2024-03-17T00:00:00"/>
    <s v="C350"/>
    <n v="26"/>
    <s v="Male"/>
    <x v="0"/>
    <x v="1"/>
    <x v="2"/>
    <n v="1176.19"/>
    <n v="26486"/>
    <n v="3603"/>
    <n v="38"/>
    <n v="1"/>
    <n v="13.603413120000001"/>
    <n v="1.054676658"/>
    <n v="1"/>
    <m/>
    <m/>
    <m/>
    <m/>
    <m/>
    <s v="Low Performer"/>
    <e v="#NAME?"/>
    <s v="High Budget"/>
    <n v="1.2"/>
    <s v="Efficient Spend"/>
    <s v="High"/>
  </r>
  <r>
    <s v="MKT1137"/>
    <d v="2024-08-21T00:00:00"/>
    <s v="C267"/>
    <n v="29"/>
    <s v="Other"/>
    <x v="0"/>
    <x v="2"/>
    <x v="3"/>
    <n v="1581.66"/>
    <n v="42855"/>
    <n v="236"/>
    <n v="38"/>
    <n v="4"/>
    <n v="0.55069420099999999"/>
    <n v="16.10169492"/>
    <n v="4"/>
    <m/>
    <m/>
    <m/>
    <m/>
    <m/>
    <s v="Low Performer"/>
    <e v="#NAME?"/>
    <s v="High Budget"/>
    <n v="0.3"/>
    <s v="Inefficient Spend"/>
    <s v="Medium"/>
  </r>
  <r>
    <s v="MKT1138"/>
    <d v="2024-11-27T00:00:00"/>
    <s v="C365"/>
    <n v="57"/>
    <s v="Male"/>
    <x v="5"/>
    <x v="3"/>
    <x v="1"/>
    <n v="236.13"/>
    <n v="47941"/>
    <n v="1296"/>
    <n v="304"/>
    <n v="3"/>
    <n v="2.7033228340000002"/>
    <n v="23.456790120000001"/>
    <n v="3"/>
    <m/>
    <m/>
    <m/>
    <m/>
    <m/>
    <s v="Average Performer"/>
    <e v="#NAME?"/>
    <s v="Low Budget"/>
    <n v="0.75"/>
    <s v="Efficient Spend"/>
    <s v="Medium"/>
  </r>
  <r>
    <s v="MKT1139"/>
    <d v="2024-09-19T00:00:00"/>
    <s v="C306"/>
    <n v="21"/>
    <s v="Male"/>
    <x v="1"/>
    <x v="1"/>
    <x v="2"/>
    <n v="1679.21"/>
    <n v="514"/>
    <n v="4015"/>
    <n v="292"/>
    <n v="4"/>
    <n v="781.12840470000003"/>
    <n v="7.2727272730000001"/>
    <n v="4"/>
    <m/>
    <m/>
    <m/>
    <m/>
    <n v="0"/>
    <s v="Top Performer"/>
    <e v="#NAME?"/>
    <s v="High Budget"/>
    <n v="1.2"/>
    <s v="Efficient Spend"/>
    <s v="High"/>
  </r>
  <r>
    <s v="MKT1140"/>
    <d v="2024-08-13T00:00:00"/>
    <s v="C360"/>
    <n v="25"/>
    <s v="Male"/>
    <x v="4"/>
    <x v="0"/>
    <x v="0"/>
    <n v="1194.81"/>
    <n v="27254"/>
    <n v="2450"/>
    <n v="306"/>
    <n v="5"/>
    <n v="8.9895061280000004"/>
    <n v="12.489795920000001"/>
    <n v="5"/>
    <m/>
    <m/>
    <m/>
    <m/>
    <m/>
    <s v="Average Performer"/>
    <e v="#NAME?"/>
    <s v="High Budget"/>
    <n v="0.5"/>
    <s v="Efficient Spend"/>
    <s v="High"/>
  </r>
  <r>
    <s v="MKT1141"/>
    <d v="2024-03-26T00:00:00"/>
    <s v="C287"/>
    <n v="34"/>
    <s v="Male"/>
    <x v="2"/>
    <x v="4"/>
    <x v="3"/>
    <n v="1672.02"/>
    <n v="21176"/>
    <n v="4692"/>
    <n v="80"/>
    <n v="3"/>
    <n v="22.157159050000001"/>
    <n v="1.705029838"/>
    <n v="3"/>
    <m/>
    <m/>
    <m/>
    <m/>
    <m/>
    <s v="Low Performer"/>
    <e v="#NAME?"/>
    <s v="High Budget"/>
    <n v="0.2"/>
    <s v="Inefficient Spend"/>
    <s v="Medium"/>
  </r>
  <r>
    <s v="MKT1142"/>
    <d v="2024-06-07T00:00:00"/>
    <s v="C292"/>
    <n v="24"/>
    <s v="Female"/>
    <x v="0"/>
    <x v="3"/>
    <x v="3"/>
    <n v="1023.46"/>
    <n v="9697"/>
    <n v="2536"/>
    <n v="376"/>
    <n v="4"/>
    <n v="26.152418269999998"/>
    <n v="14.82649842"/>
    <n v="4"/>
    <m/>
    <m/>
    <m/>
    <m/>
    <m/>
    <s v="Average Performer"/>
    <e v="#NAME?"/>
    <s v="High Budget"/>
    <n v="0.75"/>
    <s v="Efficient Spend"/>
    <s v="Medium"/>
  </r>
  <r>
    <s v="MKT1143"/>
    <d v="2024-12-29T00:00:00"/>
    <s v="C341"/>
    <n v="25"/>
    <s v="Female"/>
    <x v="3"/>
    <x v="1"/>
    <x v="3"/>
    <n v="1146.9000000000001"/>
    <n v="22595"/>
    <n v="3499"/>
    <n v="373"/>
    <n v="1"/>
    <n v="15.48572693"/>
    <n v="10.66018863"/>
    <n v="1"/>
    <m/>
    <m/>
    <m/>
    <m/>
    <m/>
    <s v="Top Performer"/>
    <e v="#NAME?"/>
    <s v="High Budget"/>
    <n v="1.2"/>
    <s v="Efficient Spend"/>
    <s v="Medium"/>
  </r>
  <r>
    <s v="MKT1144"/>
    <d v="2024-11-08T00:00:00"/>
    <s v="C262"/>
    <n v="31"/>
    <s v="Female"/>
    <x v="4"/>
    <x v="1"/>
    <x v="3"/>
    <n v="1868.56"/>
    <n v="23299"/>
    <n v="3404"/>
    <n v="125"/>
    <n v="4"/>
    <n v="14.6100691"/>
    <n v="3.6721504110000001"/>
    <n v="4"/>
    <m/>
    <m/>
    <m/>
    <m/>
    <m/>
    <s v="Average Performer"/>
    <e v="#NAME?"/>
    <s v="High Budget"/>
    <n v="1.2"/>
    <s v="Efficient Spend"/>
    <s v="Medium"/>
  </r>
  <r>
    <s v="MKT1145"/>
    <d v="2024-11-03T00:00:00"/>
    <s v="C279"/>
    <n v="34"/>
    <s v="Female"/>
    <x v="0"/>
    <x v="0"/>
    <x v="0"/>
    <n v="1263.78"/>
    <n v="34090"/>
    <n v="2015"/>
    <n v="14"/>
    <n v="3"/>
    <n v="5.9108242889999998"/>
    <n v="0.694789082"/>
    <n v="3"/>
    <m/>
    <m/>
    <m/>
    <m/>
    <m/>
    <s v="Low Performer"/>
    <e v="#NAME?"/>
    <s v="High Budget"/>
    <n v="0.5"/>
    <s v="Inefficient Spend"/>
    <s v="High"/>
  </r>
  <r>
    <s v="MKT1146"/>
    <d v="2024-09-04T00:00:00"/>
    <s v="C276"/>
    <n v="20"/>
    <s v="Male"/>
    <x v="4"/>
    <x v="4"/>
    <x v="1"/>
    <n v="1308.43"/>
    <n v="18719"/>
    <n v="894"/>
    <n v="173"/>
    <n v="4"/>
    <n v="4.7758961480000002"/>
    <n v="19.351230430000001"/>
    <n v="4"/>
    <m/>
    <m/>
    <m/>
    <m/>
    <m/>
    <s v="Low Performer"/>
    <e v="#NAME?"/>
    <s v="High Budget"/>
    <n v="0.2"/>
    <s v="Inefficient Spend"/>
    <s v="Medium"/>
  </r>
  <r>
    <s v="MKT1147"/>
    <d v="2024-07-02T00:00:00"/>
    <s v="C284"/>
    <n v="57"/>
    <s v="Female"/>
    <x v="0"/>
    <x v="1"/>
    <x v="0"/>
    <n v="1682.99"/>
    <n v="11667"/>
    <n v="779"/>
    <n v="301"/>
    <n v="1"/>
    <n v="6.6769520870000001"/>
    <n v="38.639281130000001"/>
    <n v="1"/>
    <m/>
    <m/>
    <m/>
    <m/>
    <m/>
    <s v="Low Performer"/>
    <e v="#NAME?"/>
    <s v="High Budget"/>
    <n v="1.2"/>
    <s v="Inefficient Spend"/>
    <s v="High"/>
  </r>
  <r>
    <s v="MKT1148"/>
    <d v="2024-05-01T00:00:00"/>
    <s v="C336"/>
    <n v="22"/>
    <s v="Female"/>
    <x v="4"/>
    <x v="4"/>
    <x v="3"/>
    <n v="1821.16"/>
    <n v="48120"/>
    <n v="3814"/>
    <n v="380"/>
    <n v="2"/>
    <n v="7.9260182879999999"/>
    <n v="9.9632931310000004"/>
    <n v="2"/>
    <m/>
    <m/>
    <m/>
    <m/>
    <m/>
    <s v="Top Performer"/>
    <e v="#NAME?"/>
    <s v="High Budget"/>
    <n v="0.2"/>
    <s v="Inefficient Spend"/>
    <s v="Medium"/>
  </r>
  <r>
    <s v="MKT1149"/>
    <d v="2024-03-17T00:00:00"/>
    <s v="C207"/>
    <n v="20"/>
    <s v="Male"/>
    <x v="0"/>
    <x v="4"/>
    <x v="3"/>
    <n v="525.1"/>
    <n v="28975"/>
    <n v="3451"/>
    <n v="226"/>
    <n v="3"/>
    <n v="11.910267470000001"/>
    <n v="6.5488264269999998"/>
    <n v="3"/>
    <m/>
    <m/>
    <m/>
    <m/>
    <m/>
    <s v="Top Performer"/>
    <e v="#NAME?"/>
    <s v="Medium Budget"/>
    <n v="0.2"/>
    <s v="Efficient Spend"/>
    <s v="Medium"/>
  </r>
  <r>
    <s v="MKT1150"/>
    <d v="2024-07-18T00:00:00"/>
    <s v="C344"/>
    <n v="47"/>
    <s v="Other"/>
    <x v="0"/>
    <x v="4"/>
    <x v="3"/>
    <n v="1341.12"/>
    <n v="44838"/>
    <n v="513"/>
    <n v="116"/>
    <n v="3"/>
    <n v="1.1441188280000001"/>
    <n v="22.61208577"/>
    <n v="3"/>
    <m/>
    <m/>
    <m/>
    <m/>
    <m/>
    <s v="Low Performer"/>
    <e v="#NAME?"/>
    <s v="High Budget"/>
    <n v="0.2"/>
    <s v="Inefficient Spend"/>
    <s v="Medium"/>
  </r>
  <r>
    <s v="MKT1151"/>
    <d v="2024-03-26T00:00:00"/>
    <s v="C340"/>
    <n v="55"/>
    <s v="Male"/>
    <x v="4"/>
    <x v="2"/>
    <x v="1"/>
    <n v="284.70999999999998"/>
    <n v="14614"/>
    <n v="4094"/>
    <n v="350"/>
    <n v="1"/>
    <n v="28.014232929999999"/>
    <n v="8.5490962380000006"/>
    <n v="1"/>
    <m/>
    <m/>
    <m/>
    <m/>
    <m/>
    <s v="Top Performer"/>
    <e v="#NAME?"/>
    <s v="Low Budget"/>
    <n v="0.3"/>
    <s v="Efficient Spend"/>
    <s v="Medium"/>
  </r>
  <r>
    <s v="MKT1152"/>
    <d v="2024-07-05T00:00:00"/>
    <s v="C208"/>
    <n v="31"/>
    <s v="Male"/>
    <x v="4"/>
    <x v="2"/>
    <x v="0"/>
    <n v="177.34"/>
    <n v="46988"/>
    <n v="1878"/>
    <n v="165"/>
    <n v="1"/>
    <n v="3.9967651320000002"/>
    <n v="8.7859424920000002"/>
    <n v="1"/>
    <m/>
    <m/>
    <m/>
    <m/>
    <m/>
    <s v="Average Performer"/>
    <e v="#NAME?"/>
    <s v="Low Budget"/>
    <n v="0.3"/>
    <s v="Efficient Spend"/>
    <s v="High"/>
  </r>
  <r>
    <s v="MKT1153"/>
    <d v="2024-10-24T00:00:00"/>
    <s v="C266"/>
    <n v="41"/>
    <s v="Other"/>
    <x v="6"/>
    <x v="3"/>
    <x v="1"/>
    <n v="1292.6099999999999"/>
    <n v="5323"/>
    <n v="874"/>
    <n v="48"/>
    <m/>
    <n v="16.419312420000001"/>
    <n v="5.4919908470000003"/>
    <n v="3"/>
    <m/>
    <m/>
    <m/>
    <m/>
    <m/>
    <s v="Low Performer"/>
    <e v="#NAME?"/>
    <s v="High Budget"/>
    <n v="0.75"/>
    <s v="Inefficient Spend"/>
    <s v="Medium"/>
  </r>
  <r>
    <s v="MKT1154"/>
    <d v="2024-08-18T00:00:00"/>
    <s v="C258"/>
    <n v="18"/>
    <s v="Female"/>
    <x v="1"/>
    <x v="3"/>
    <x v="3"/>
    <n v="1005.88"/>
    <n v="2393"/>
    <n v="478"/>
    <n v="251"/>
    <n v="3"/>
    <n v="19.974926870000001"/>
    <n v="52.510460250000001"/>
    <n v="3"/>
    <m/>
    <m/>
    <m/>
    <m/>
    <m/>
    <s v="Low Performer"/>
    <e v="#NAME?"/>
    <s v="High Budget"/>
    <n v="0.75"/>
    <s v="Inefficient Spend"/>
    <s v="Medium"/>
  </r>
  <r>
    <s v="MKT1155"/>
    <d v="2024-10-26T00:00:00"/>
    <s v="C226"/>
    <n v="39"/>
    <s v="Female"/>
    <x v="5"/>
    <x v="0"/>
    <x v="0"/>
    <n v="1768.56"/>
    <n v="33373"/>
    <n v="4445"/>
    <n v="17"/>
    <n v="1"/>
    <n v="13.31915021"/>
    <n v="0.382452193"/>
    <n v="1"/>
    <m/>
    <m/>
    <m/>
    <m/>
    <m/>
    <s v="Low Performer"/>
    <e v="#NAME?"/>
    <s v="High Budget"/>
    <n v="0.5"/>
    <s v="Efficient Spend"/>
    <s v="High"/>
  </r>
  <r>
    <s v="MKT1156"/>
    <d v="2024-11-11T00:00:00"/>
    <s v="C240"/>
    <n v="53"/>
    <s v="Male"/>
    <x v="4"/>
    <x v="1"/>
    <x v="0"/>
    <n v="769.37"/>
    <n v="10164"/>
    <n v="2399"/>
    <n v="81"/>
    <n v="3"/>
    <n v="23.602912239999998"/>
    <n v="3.3764068360000001"/>
    <n v="3"/>
    <m/>
    <m/>
    <m/>
    <m/>
    <m/>
    <s v="Low Performer"/>
    <e v="#NAME?"/>
    <s v="Medium Budget"/>
    <n v="1.2"/>
    <s v="Efficient Spend"/>
    <s v="High"/>
  </r>
  <r>
    <s v="MKT1157"/>
    <d v="2024-12-04T00:00:00"/>
    <s v="C309"/>
    <n v="41"/>
    <s v="Female"/>
    <x v="6"/>
    <x v="2"/>
    <x v="0"/>
    <n v="1716.19"/>
    <n v="23319"/>
    <n v="3525"/>
    <n v="263"/>
    <m/>
    <n v="15.11642866"/>
    <n v="7.4609929079999997"/>
    <n v="3"/>
    <m/>
    <m/>
    <m/>
    <m/>
    <m/>
    <s v="Top Performer"/>
    <e v="#NAME?"/>
    <s v="High Budget"/>
    <n v="0.3"/>
    <s v="Inefficient Spend"/>
    <s v="High"/>
  </r>
  <r>
    <s v="MKT1158"/>
    <d v="2024-03-04T00:00:00"/>
    <s v="C238"/>
    <n v="44"/>
    <s v="Male"/>
    <x v="2"/>
    <x v="2"/>
    <x v="0"/>
    <n v="1538"/>
    <n v="44434"/>
    <n v="4867"/>
    <n v="300"/>
    <m/>
    <n v="10.953324029999999"/>
    <n v="6.1639613730000002"/>
    <n v="3"/>
    <m/>
    <m/>
    <m/>
    <m/>
    <m/>
    <s v="Top Performer"/>
    <e v="#NAME?"/>
    <s v="High Budget"/>
    <n v="0.3"/>
    <s v="Inefficient Spend"/>
    <s v="High"/>
  </r>
  <r>
    <s v="MKT1159"/>
    <d v="2024-02-05T00:00:00"/>
    <s v="C344"/>
    <n v="47"/>
    <s v="Male"/>
    <x v="2"/>
    <x v="3"/>
    <x v="3"/>
    <n v="684.45"/>
    <n v="30615"/>
    <n v="4526"/>
    <n v="325"/>
    <m/>
    <n v="14.78360281"/>
    <n v="7.1807335400000003"/>
    <n v="3"/>
    <m/>
    <m/>
    <m/>
    <m/>
    <m/>
    <s v="Top Performer"/>
    <e v="#NAME?"/>
    <s v="Medium Budget"/>
    <n v="0.75"/>
    <s v="Efficient Spend"/>
    <s v="Medium"/>
  </r>
  <r>
    <s v="MKT1160"/>
    <d v="2024-03-18T00:00:00"/>
    <s v="C301"/>
    <n v="33"/>
    <s v="Female"/>
    <x v="2"/>
    <x v="1"/>
    <x v="0"/>
    <n v="592.63"/>
    <n v="17339"/>
    <n v="3613"/>
    <n v="72"/>
    <m/>
    <n v="20.837418540000002"/>
    <n v="1.992803764"/>
    <n v="3"/>
    <m/>
    <m/>
    <m/>
    <m/>
    <m/>
    <s v="Low Performer"/>
    <e v="#NAME?"/>
    <s v="Medium Budget"/>
    <n v="1.2"/>
    <s v="Efficient Spend"/>
    <s v="High"/>
  </r>
  <r>
    <s v="MKT1161"/>
    <d v="2024-10-15T00:00:00"/>
    <s v="C339"/>
    <n v="22"/>
    <s v="Female"/>
    <x v="5"/>
    <x v="2"/>
    <x v="0"/>
    <n v="1433.46"/>
    <n v="42777"/>
    <n v="2839"/>
    <n v="264"/>
    <n v="3"/>
    <n v="6.6367440450000004"/>
    <n v="9.2990489610000004"/>
    <n v="3"/>
    <m/>
    <m/>
    <m/>
    <m/>
    <m/>
    <s v="Average Performer"/>
    <e v="#NAME?"/>
    <s v="High Budget"/>
    <n v="0.3"/>
    <s v="Inefficient Spend"/>
    <s v="High"/>
  </r>
  <r>
    <s v="MKT1162"/>
    <d v="2024-04-27T00:00:00"/>
    <s v="C359"/>
    <n v="39"/>
    <s v="Female"/>
    <x v="2"/>
    <x v="1"/>
    <x v="0"/>
    <n v="1562.84"/>
    <n v="36265"/>
    <n v="2424"/>
    <n v="343"/>
    <n v="1"/>
    <n v="6.6841307050000003"/>
    <n v="14.150165019999999"/>
    <n v="1"/>
    <m/>
    <m/>
    <m/>
    <m/>
    <m/>
    <s v="Average Performer"/>
    <e v="#NAME?"/>
    <s v="High Budget"/>
    <n v="1.2"/>
    <s v="Efficient Spend"/>
    <s v="High"/>
  </r>
  <r>
    <s v="MKT1163"/>
    <d v="2024-08-03T00:00:00"/>
    <s v="C361"/>
    <n v="64"/>
    <s v="Male"/>
    <x v="3"/>
    <x v="1"/>
    <x v="1"/>
    <n v="1173.8699999999999"/>
    <n v="21220"/>
    <n v="4446"/>
    <n v="247"/>
    <m/>
    <n v="20.95193214"/>
    <n v="5.5555555559999998"/>
    <n v="3"/>
    <m/>
    <m/>
    <m/>
    <m/>
    <m/>
    <s v="Top Performer"/>
    <e v="#NAME?"/>
    <s v="High Budget"/>
    <n v="1.2"/>
    <s v="Efficient Spend"/>
    <s v="Medium"/>
  </r>
  <r>
    <s v="MKT1164"/>
    <d v="2024-06-10T00:00:00"/>
    <s v="C309"/>
    <n v="45"/>
    <s v="Female"/>
    <x v="4"/>
    <x v="1"/>
    <x v="2"/>
    <n v="316.95999999999998"/>
    <n v="42898"/>
    <n v="2113"/>
    <n v="267"/>
    <n v="1"/>
    <n v="4.9256375590000001"/>
    <n v="12.636062470000001"/>
    <n v="1"/>
    <m/>
    <m/>
    <m/>
    <m/>
    <m/>
    <s v="Average Performer"/>
    <e v="#NAME?"/>
    <s v="Low Budget"/>
    <n v="1.2"/>
    <s v="Efficient Spend"/>
    <s v="High"/>
  </r>
  <r>
    <s v="MKT1165"/>
    <d v="2024-02-15T00:00:00"/>
    <s v="C209"/>
    <n v="62"/>
    <s v="Female"/>
    <x v="2"/>
    <x v="0"/>
    <x v="3"/>
    <n v="1607.24"/>
    <n v="7128"/>
    <n v="3584"/>
    <n v="371"/>
    <n v="2"/>
    <n v="50.280583610000001"/>
    <n v="10.3515625"/>
    <n v="2"/>
    <m/>
    <m/>
    <m/>
    <m/>
    <m/>
    <s v="Top Performer"/>
    <e v="#NAME?"/>
    <s v="High Budget"/>
    <n v="0.5"/>
    <s v="Efficient Spend"/>
    <s v="Medium"/>
  </r>
  <r>
    <s v="MKT1166"/>
    <d v="2024-04-26T00:00:00"/>
    <s v="C371"/>
    <n v="28"/>
    <s v="Male"/>
    <x v="3"/>
    <x v="1"/>
    <x v="2"/>
    <n v="1275.19"/>
    <n v="30571"/>
    <n v="1296"/>
    <n v="132"/>
    <n v="1"/>
    <n v="4.2393117660000001"/>
    <n v="10.18518519"/>
    <n v="1"/>
    <m/>
    <m/>
    <m/>
    <m/>
    <m/>
    <s v="Average Performer"/>
    <e v="#NAME?"/>
    <s v="High Budget"/>
    <n v="1.2"/>
    <s v="Efficient Spend"/>
    <s v="High"/>
  </r>
  <r>
    <s v="MKT1167"/>
    <d v="2024-02-15T00:00:00"/>
    <s v="C351"/>
    <n v="45"/>
    <s v="Female"/>
    <x v="5"/>
    <x v="0"/>
    <x v="2"/>
    <n v="1302.56"/>
    <n v="45017"/>
    <n v="251"/>
    <n v="50"/>
    <m/>
    <n v="0.55756714100000004"/>
    <n v="19.920318730000002"/>
    <n v="3"/>
    <m/>
    <m/>
    <m/>
    <m/>
    <m/>
    <s v="Low Performer"/>
    <e v="#NAME?"/>
    <s v="High Budget"/>
    <n v="0.5"/>
    <s v="Inefficient Spend"/>
    <s v="High"/>
  </r>
  <r>
    <s v="MKT1168"/>
    <d v="2024-12-27T00:00:00"/>
    <s v="C300"/>
    <n v="18"/>
    <s v="Other"/>
    <x v="5"/>
    <x v="2"/>
    <x v="3"/>
    <n v="1092.58"/>
    <n v="41758"/>
    <n v="4051"/>
    <n v="84"/>
    <n v="4"/>
    <n v="9.7011351119999993"/>
    <n v="2.0735620830000001"/>
    <n v="4"/>
    <m/>
    <m/>
    <m/>
    <m/>
    <m/>
    <s v="Low Performer"/>
    <e v="#NAME?"/>
    <s v="High Budget"/>
    <n v="0.3"/>
    <s v="Efficient Spend"/>
    <s v="Medium"/>
  </r>
  <r>
    <s v="MKT1169"/>
    <d v="2024-02-12T00:00:00"/>
    <s v="C245"/>
    <n v="39"/>
    <s v="Other"/>
    <x v="3"/>
    <x v="1"/>
    <x v="2"/>
    <n v="835.42"/>
    <n v="7997"/>
    <n v="2332"/>
    <n v="117"/>
    <n v="1"/>
    <n v="29.160935349999999"/>
    <n v="5.0171526589999997"/>
    <n v="1"/>
    <m/>
    <m/>
    <m/>
    <m/>
    <m/>
    <s v="Average Performer"/>
    <e v="#NAME?"/>
    <s v="Medium Budget"/>
    <n v="1.2"/>
    <s v="Efficient Spend"/>
    <s v="High"/>
  </r>
  <r>
    <s v="MKT1170"/>
    <d v="2024-12-18T00:00:00"/>
    <s v="C359"/>
    <n v="41"/>
    <s v="Other"/>
    <x v="6"/>
    <x v="4"/>
    <x v="2"/>
    <n v="1636.97"/>
    <n v="24481"/>
    <n v="2827"/>
    <n v="93"/>
    <m/>
    <n v="11.54773089"/>
    <n v="3.2897064029999998"/>
    <n v="3"/>
    <m/>
    <m/>
    <m/>
    <m/>
    <m/>
    <s v="Low Performer"/>
    <e v="#NAME?"/>
    <s v="High Budget"/>
    <n v="0.2"/>
    <s v="Inefficient Spend"/>
    <s v="High"/>
  </r>
  <r>
    <s v="MKT1171"/>
    <d v="2024-10-17T00:00:00"/>
    <s v="C289"/>
    <n v="63"/>
    <s v="Female"/>
    <x v="5"/>
    <x v="1"/>
    <x v="0"/>
    <n v="1077.04"/>
    <n v="4347"/>
    <n v="3382"/>
    <n v="163"/>
    <n v="2"/>
    <n v="77.800782150000003"/>
    <n v="4.8196333530000004"/>
    <n v="2"/>
    <m/>
    <m/>
    <m/>
    <m/>
    <m/>
    <s v="Average Performer"/>
    <e v="#NAME?"/>
    <s v="High Budget"/>
    <n v="1.2"/>
    <s v="Efficient Spend"/>
    <s v="High"/>
  </r>
  <r>
    <s v="MKT1172"/>
    <d v="2024-04-05T00:00:00"/>
    <s v="C396"/>
    <n v="21"/>
    <s v="Female"/>
    <x v="3"/>
    <x v="2"/>
    <x v="2"/>
    <n v="1509.02"/>
    <n v="39791"/>
    <n v="3198"/>
    <n v="283"/>
    <n v="2"/>
    <n v="8.0369932899999998"/>
    <n v="8.8492808010000008"/>
    <n v="2"/>
    <m/>
    <m/>
    <m/>
    <m/>
    <m/>
    <s v="Top Performer"/>
    <e v="#NAME?"/>
    <s v="High Budget"/>
    <n v="0.3"/>
    <s v="Inefficient Spend"/>
    <s v="High"/>
  </r>
  <r>
    <s v="MKT1173"/>
    <d v="2024-07-02T00:00:00"/>
    <s v="C315"/>
    <n v="23"/>
    <s v="Female"/>
    <x v="4"/>
    <x v="0"/>
    <x v="2"/>
    <n v="1057.3399999999999"/>
    <n v="3895"/>
    <n v="1298"/>
    <n v="218"/>
    <n v="5"/>
    <n v="33.324775350000003"/>
    <n v="16.795069340000001"/>
    <n v="5"/>
    <m/>
    <m/>
    <m/>
    <m/>
    <m/>
    <s v="Average Performer"/>
    <e v="#NAME?"/>
    <s v="High Budget"/>
    <n v="0.5"/>
    <s v="Inefficient Spend"/>
    <s v="High"/>
  </r>
  <r>
    <s v="MKT1174"/>
    <d v="2024-08-18T00:00:00"/>
    <s v="C276"/>
    <n v="18"/>
    <s v="Other"/>
    <x v="0"/>
    <x v="1"/>
    <x v="1"/>
    <n v="317.67"/>
    <n v="23696"/>
    <n v="2329"/>
    <n v="341"/>
    <n v="5"/>
    <n v="9.8286630650000006"/>
    <n v="14.641477030000001"/>
    <n v="5"/>
    <m/>
    <m/>
    <m/>
    <m/>
    <m/>
    <s v="Average Performer"/>
    <e v="#NAME?"/>
    <s v="Low Budget"/>
    <n v="1.2"/>
    <s v="Efficient Spend"/>
    <s v="Medium"/>
  </r>
  <r>
    <s v="MKT1175"/>
    <d v="2024-09-22T00:00:00"/>
    <s v="C293"/>
    <n v="63"/>
    <s v="Female"/>
    <x v="5"/>
    <x v="1"/>
    <x v="0"/>
    <n v="285.07"/>
    <n v="38068"/>
    <n v="2716"/>
    <n v="243"/>
    <n v="4"/>
    <n v="7.1346012400000003"/>
    <n v="8.9469808539999995"/>
    <n v="4"/>
    <m/>
    <m/>
    <m/>
    <m/>
    <m/>
    <s v="Average Performer"/>
    <e v="#NAME?"/>
    <s v="Low Budget"/>
    <n v="1.2"/>
    <s v="Efficient Spend"/>
    <s v="High"/>
  </r>
  <r>
    <s v="MKT1176"/>
    <d v="2024-09-26T00:00:00"/>
    <s v="C301"/>
    <n v="35"/>
    <s v="Male"/>
    <x v="1"/>
    <x v="0"/>
    <x v="0"/>
    <n v="110.33"/>
    <n v="30034"/>
    <n v="2366"/>
    <n v="97"/>
    <n v="3"/>
    <n v="7.8777385630000003"/>
    <n v="4.0997464069999996"/>
    <n v="3"/>
    <m/>
    <m/>
    <m/>
    <m/>
    <m/>
    <s v="Low Performer"/>
    <e v="#NAME?"/>
    <s v="Low Budget"/>
    <n v="0.5"/>
    <s v="Efficient Spend"/>
    <s v="High"/>
  </r>
  <r>
    <s v="MKT1177"/>
    <d v="2024-12-07T00:00:00"/>
    <s v="C225"/>
    <n v="28"/>
    <s v="Other"/>
    <x v="2"/>
    <x v="1"/>
    <x v="3"/>
    <n v="641.88"/>
    <n v="33060"/>
    <n v="560"/>
    <n v="331"/>
    <n v="1"/>
    <n v="1.693889897"/>
    <n v="59.107142860000003"/>
    <n v="1"/>
    <m/>
    <m/>
    <m/>
    <m/>
    <m/>
    <s v="Low Performer"/>
    <e v="#NAME?"/>
    <s v="Medium Budget"/>
    <n v="1.2"/>
    <s v="Efficient Spend"/>
    <s v="Medium"/>
  </r>
  <r>
    <s v="MKT1178"/>
    <d v="2024-01-02T00:00:00"/>
    <s v="C342"/>
    <n v="57"/>
    <s v="Other"/>
    <x v="5"/>
    <x v="2"/>
    <x v="3"/>
    <n v="304.58999999999997"/>
    <n v="9742"/>
    <n v="2808"/>
    <n v="397"/>
    <n v="2"/>
    <n v="28.823650170000001"/>
    <n v="14.138176639999999"/>
    <n v="2"/>
    <m/>
    <m/>
    <m/>
    <m/>
    <m/>
    <s v="Average Performer"/>
    <e v="#NAME?"/>
    <s v="Low Budget"/>
    <n v="0.3"/>
    <s v="Efficient Spend"/>
    <s v="Medium"/>
  </r>
  <r>
    <s v="MKT1179"/>
    <d v="2024-10-14T00:00:00"/>
    <s v="C331"/>
    <n v="41"/>
    <s v="Female"/>
    <x v="6"/>
    <x v="4"/>
    <x v="0"/>
    <n v="1625.89"/>
    <n v="737"/>
    <n v="1817"/>
    <n v="42"/>
    <m/>
    <n v="246.5400271"/>
    <n v="2.3115024769999999"/>
    <n v="3"/>
    <m/>
    <m/>
    <m/>
    <m/>
    <n v="0"/>
    <s v="Low Performer"/>
    <e v="#NAME?"/>
    <s v="High Budget"/>
    <n v="0.2"/>
    <s v="Inefficient Spend"/>
    <s v="High"/>
  </r>
  <r>
    <s v="MKT1180"/>
    <d v="2024-07-27T00:00:00"/>
    <s v="C329"/>
    <n v="57"/>
    <s v="Male"/>
    <x v="1"/>
    <x v="3"/>
    <x v="1"/>
    <n v="1031.83"/>
    <n v="41302"/>
    <n v="1392"/>
    <n v="289"/>
    <m/>
    <n v="3.3702968379999998"/>
    <n v="20.761494249999998"/>
    <n v="3"/>
    <m/>
    <m/>
    <m/>
    <m/>
    <m/>
    <s v="Average Performer"/>
    <e v="#NAME?"/>
    <s v="High Budget"/>
    <n v="0.75"/>
    <s v="Efficient Spend"/>
    <s v="Medium"/>
  </r>
  <r>
    <s v="MKT1181"/>
    <d v="2024-02-18T00:00:00"/>
    <s v="C234"/>
    <n v="20"/>
    <s v="Male"/>
    <x v="2"/>
    <x v="3"/>
    <x v="0"/>
    <n v="1164.83"/>
    <n v="27872"/>
    <n v="3872"/>
    <n v="354"/>
    <n v="2"/>
    <n v="13.89207807"/>
    <n v="9.1425619830000002"/>
    <n v="2"/>
    <m/>
    <m/>
    <m/>
    <m/>
    <m/>
    <s v="Top Performer"/>
    <e v="#NAME?"/>
    <s v="High Budget"/>
    <n v="0.75"/>
    <s v="Efficient Spend"/>
    <s v="High"/>
  </r>
  <r>
    <s v="MKT1182"/>
    <d v="2024-06-02T00:00:00"/>
    <s v="C275"/>
    <n v="37"/>
    <s v="Other"/>
    <x v="0"/>
    <x v="1"/>
    <x v="3"/>
    <n v="945.56"/>
    <n v="11853"/>
    <n v="81"/>
    <n v="206"/>
    <m/>
    <n v="0.68337129799999996"/>
    <n v="254.32098769999999"/>
    <n v="3"/>
    <m/>
    <m/>
    <m/>
    <m/>
    <m/>
    <s v="Low Performer"/>
    <e v="#NAME?"/>
    <s v="Medium Budget"/>
    <n v="1.2"/>
    <s v="Inefficient Spend"/>
    <s v="Medium"/>
  </r>
  <r>
    <s v="MKT1183"/>
    <d v="2024-06-10T00:00:00"/>
    <s v="C219"/>
    <n v="40"/>
    <s v="Female"/>
    <x v="1"/>
    <x v="4"/>
    <x v="2"/>
    <n v="1340.52"/>
    <n v="49606"/>
    <n v="2365"/>
    <n v="10"/>
    <n v="2"/>
    <n v="4.7675684389999997"/>
    <n v="0.422832981"/>
    <n v="2"/>
    <m/>
    <m/>
    <m/>
    <m/>
    <m/>
    <s v="Low Performer"/>
    <e v="#NAME?"/>
    <s v="High Budget"/>
    <n v="0.2"/>
    <s v="Inefficient Spend"/>
    <s v="High"/>
  </r>
  <r>
    <s v="MKT1184"/>
    <d v="2024-09-12T00:00:00"/>
    <s v="C332"/>
    <n v="30"/>
    <s v="Male"/>
    <x v="1"/>
    <x v="2"/>
    <x v="2"/>
    <n v="1071.8800000000001"/>
    <n v="19159"/>
    <n v="4763"/>
    <n v="302"/>
    <m/>
    <n v="24.86037893"/>
    <n v="6.3405416749999999"/>
    <n v="3"/>
    <m/>
    <m/>
    <m/>
    <m/>
    <m/>
    <s v="Top Performer"/>
    <e v="#NAME?"/>
    <s v="High Budget"/>
    <n v="0.3"/>
    <s v="Efficient Spend"/>
    <s v="High"/>
  </r>
  <r>
    <s v="MKT1185"/>
    <d v="2024-12-04T00:00:00"/>
    <s v="C296"/>
    <n v="42"/>
    <s v="Male"/>
    <x v="0"/>
    <x v="1"/>
    <x v="2"/>
    <n v="1871.86"/>
    <n v="5843"/>
    <n v="4548"/>
    <n v="317"/>
    <n v="5"/>
    <n v="77.836727710000005"/>
    <n v="6.9700967460000003"/>
    <n v="5"/>
    <m/>
    <m/>
    <m/>
    <m/>
    <m/>
    <s v="Top Performer"/>
    <e v="#NAME?"/>
    <s v="High Budget"/>
    <n v="1.2"/>
    <s v="Efficient Spend"/>
    <s v="High"/>
  </r>
  <r>
    <s v="MKT1186"/>
    <d v="2024-03-05T00:00:00"/>
    <s v="C282"/>
    <n v="20"/>
    <s v="Male"/>
    <x v="0"/>
    <x v="2"/>
    <x v="1"/>
    <n v="1691.24"/>
    <n v="32091"/>
    <n v="2988"/>
    <n v="222"/>
    <m/>
    <n v="9.3110217819999992"/>
    <n v="7.4297188759999999"/>
    <n v="3"/>
    <m/>
    <m/>
    <m/>
    <m/>
    <m/>
    <s v="Average Performer"/>
    <e v="#NAME?"/>
    <s v="High Budget"/>
    <n v="0.3"/>
    <s v="Inefficient Spend"/>
    <s v="Medium"/>
  </r>
  <r>
    <s v="MKT1187"/>
    <d v="2024-11-10T00:00:00"/>
    <s v="C282"/>
    <n v="25"/>
    <s v="Female"/>
    <x v="4"/>
    <x v="3"/>
    <x v="1"/>
    <n v="412"/>
    <n v="40238"/>
    <n v="4935"/>
    <n v="376"/>
    <n v="4"/>
    <n v="12.264526070000001"/>
    <n v="7.6190476189999998"/>
    <n v="4"/>
    <m/>
    <m/>
    <m/>
    <m/>
    <m/>
    <s v="Top Performer"/>
    <e v="#NAME?"/>
    <s v="Low Budget"/>
    <n v="0.75"/>
    <s v="Efficient Spend"/>
    <s v="Medium"/>
  </r>
  <r>
    <s v="MKT1188"/>
    <d v="2024-09-23T00:00:00"/>
    <s v="C309"/>
    <n v="46"/>
    <s v="Other"/>
    <x v="4"/>
    <x v="0"/>
    <x v="2"/>
    <n v="1753.45"/>
    <n v="46250"/>
    <n v="243"/>
    <n v="87"/>
    <n v="5"/>
    <n v="0.52540540499999999"/>
    <n v="35.802469139999999"/>
    <n v="5"/>
    <m/>
    <m/>
    <m/>
    <m/>
    <m/>
    <s v="Low Performer"/>
    <e v="#NAME?"/>
    <s v="High Budget"/>
    <n v="0.5"/>
    <s v="Inefficient Spend"/>
    <s v="High"/>
  </r>
  <r>
    <s v="MKT1189"/>
    <d v="2024-01-28T00:00:00"/>
    <s v="C203"/>
    <n v="55"/>
    <s v="Female"/>
    <x v="3"/>
    <x v="2"/>
    <x v="1"/>
    <n v="965.48"/>
    <n v="7358"/>
    <n v="1985"/>
    <n v="57"/>
    <n v="4"/>
    <n v="26.977439520000001"/>
    <n v="2.8715365240000001"/>
    <n v="4"/>
    <m/>
    <m/>
    <m/>
    <m/>
    <m/>
    <s v="Low Performer"/>
    <e v="#NAME?"/>
    <s v="Medium Budget"/>
    <n v="0.3"/>
    <s v="Inefficient Spend"/>
    <s v="Medium"/>
  </r>
  <r>
    <s v="MKT1190"/>
    <d v="2024-06-05T00:00:00"/>
    <s v="C329"/>
    <n v="25"/>
    <s v="Other"/>
    <x v="5"/>
    <x v="0"/>
    <x v="0"/>
    <n v="1938.03"/>
    <n v="40841"/>
    <n v="32"/>
    <n v="55"/>
    <n v="1"/>
    <n v="7.8352636000000003E-2"/>
    <n v="171.875"/>
    <n v="1"/>
    <m/>
    <m/>
    <m/>
    <m/>
    <m/>
    <s v="Low Performer"/>
    <e v="#NAME?"/>
    <s v="High Budget"/>
    <n v="0.5"/>
    <s v="Inefficient Spend"/>
    <s v="High"/>
  </r>
  <r>
    <s v="MKT1191"/>
    <d v="2024-01-09T00:00:00"/>
    <s v="C269"/>
    <n v="41"/>
    <s v="Female"/>
    <x v="6"/>
    <x v="0"/>
    <x v="2"/>
    <n v="1216.25"/>
    <n v="33832"/>
    <n v="3981"/>
    <n v="132"/>
    <m/>
    <n v="11.76696619"/>
    <n v="3.315749812"/>
    <n v="3"/>
    <m/>
    <m/>
    <m/>
    <m/>
    <m/>
    <s v="Average Performer"/>
    <e v="#NAME?"/>
    <s v="High Budget"/>
    <n v="0.5"/>
    <s v="Efficient Spend"/>
    <s v="High"/>
  </r>
  <r>
    <s v="MKT1192"/>
    <d v="2024-09-04T00:00:00"/>
    <s v="C221"/>
    <n v="53"/>
    <s v="Other"/>
    <x v="5"/>
    <x v="3"/>
    <x v="1"/>
    <n v="50.16"/>
    <n v="3704"/>
    <n v="160"/>
    <n v="246"/>
    <n v="5"/>
    <n v="4.3196544279999998"/>
    <n v="153.75"/>
    <n v="5"/>
    <m/>
    <m/>
    <m/>
    <m/>
    <m/>
    <s v="Low Performer"/>
    <e v="#NAME?"/>
    <s v="Low Budget"/>
    <n v="0.75"/>
    <s v="Efficient Spend"/>
    <s v="Medium"/>
  </r>
  <r>
    <s v="MKT1193"/>
    <d v="2024-04-10T00:00:00"/>
    <s v="C324"/>
    <n v="50"/>
    <s v="Female"/>
    <x v="0"/>
    <x v="4"/>
    <x v="0"/>
    <n v="67.47"/>
    <n v="26963"/>
    <n v="4916"/>
    <n v="303"/>
    <n v="5"/>
    <n v="18.232392539999999"/>
    <n v="6.1635476000000002"/>
    <n v="5"/>
    <m/>
    <m/>
    <m/>
    <m/>
    <m/>
    <s v="Top Performer"/>
    <e v="#NAME?"/>
    <s v="Low Budget"/>
    <n v="0.2"/>
    <s v="Efficient Spend"/>
    <s v="High"/>
  </r>
  <r>
    <s v="MKT1194"/>
    <d v="2024-09-11T00:00:00"/>
    <s v="C382"/>
    <n v="43"/>
    <s v="Male"/>
    <x v="4"/>
    <x v="4"/>
    <x v="0"/>
    <n v="575.80999999999995"/>
    <n v="44295"/>
    <n v="1494"/>
    <n v="159"/>
    <n v="4"/>
    <n v="3.3728411779999998"/>
    <n v="10.642570279999999"/>
    <n v="4"/>
    <m/>
    <m/>
    <m/>
    <m/>
    <m/>
    <s v="Average Performer"/>
    <e v="#NAME?"/>
    <s v="Medium Budget"/>
    <n v="0.2"/>
    <s v="Inefficient Spend"/>
    <s v="High"/>
  </r>
  <r>
    <s v="MKT1195"/>
    <d v="2024-11-06T00:00:00"/>
    <s v="C273"/>
    <n v="59"/>
    <s v="Other"/>
    <x v="2"/>
    <x v="1"/>
    <x v="1"/>
    <n v="1655.32"/>
    <n v="8094"/>
    <n v="199"/>
    <n v="396"/>
    <m/>
    <n v="2.4586113169999999"/>
    <n v="198.99497489999999"/>
    <n v="3"/>
    <m/>
    <m/>
    <m/>
    <m/>
    <m/>
    <s v="Low Performer"/>
    <e v="#NAME?"/>
    <s v="High Budget"/>
    <n v="1.2"/>
    <s v="Inefficient Spend"/>
    <s v="Medium"/>
  </r>
  <r>
    <s v="MKT1196"/>
    <d v="2024-10-25T00:00:00"/>
    <s v="C240"/>
    <n v="38"/>
    <s v="Male"/>
    <x v="5"/>
    <x v="1"/>
    <x v="0"/>
    <n v="1129.2"/>
    <n v="45497"/>
    <n v="4281"/>
    <n v="186"/>
    <n v="1"/>
    <n v="9.4094116099999994"/>
    <n v="4.3447792569999999"/>
    <n v="1"/>
    <m/>
    <m/>
    <m/>
    <m/>
    <m/>
    <s v="Average Performer"/>
    <e v="#NAME?"/>
    <s v="High Budget"/>
    <n v="1.2"/>
    <s v="Efficient Spend"/>
    <s v="High"/>
  </r>
  <r>
    <s v="MKT1197"/>
    <d v="2024-12-14T00:00:00"/>
    <s v="C337"/>
    <n v="23"/>
    <s v="Female"/>
    <x v="2"/>
    <x v="2"/>
    <x v="3"/>
    <n v="209.89"/>
    <n v="10841"/>
    <n v="4314"/>
    <n v="232"/>
    <m/>
    <n v="39.793376989999999"/>
    <n v="5.3778395919999999"/>
    <n v="3"/>
    <m/>
    <m/>
    <m/>
    <m/>
    <m/>
    <s v="Top Performer"/>
    <e v="#NAME?"/>
    <s v="Low Budget"/>
    <n v="0.3"/>
    <s v="Efficient Spend"/>
    <s v="Medium"/>
  </r>
  <r>
    <s v="MKT1198"/>
    <d v="2024-01-08T00:00:00"/>
    <s v="C250"/>
    <n v="53"/>
    <s v="Male"/>
    <x v="1"/>
    <x v="2"/>
    <x v="1"/>
    <n v="1009.29"/>
    <n v="17431"/>
    <n v="1641"/>
    <n v="28"/>
    <m/>
    <n v="9.414261947"/>
    <n v="1.706276661"/>
    <n v="3"/>
    <m/>
    <m/>
    <m/>
    <m/>
    <m/>
    <s v="Low Performer"/>
    <e v="#NAME?"/>
    <s v="High Budget"/>
    <n v="0.3"/>
    <s v="Inefficient Spend"/>
    <s v="Medium"/>
  </r>
  <r>
    <s v="MKT1199"/>
    <d v="2024-08-29T00:00:00"/>
    <s v="C363"/>
    <n v="33"/>
    <s v="Male"/>
    <x v="3"/>
    <x v="2"/>
    <x v="0"/>
    <n v="464.01"/>
    <n v="39208"/>
    <n v="2198"/>
    <n v="25"/>
    <n v="5"/>
    <n v="5.6059987759999999"/>
    <n v="1.137397634"/>
    <n v="5"/>
    <m/>
    <m/>
    <m/>
    <m/>
    <m/>
    <s v="Low Performer"/>
    <e v="#NAME?"/>
    <s v="Low Budget"/>
    <n v="0.3"/>
    <s v="Efficient Spend"/>
    <s v="High"/>
  </r>
  <r>
    <s v="MKT1200"/>
    <d v="2024-05-23T00:00:00"/>
    <s v="C287"/>
    <n v="58"/>
    <s v="Female"/>
    <x v="0"/>
    <x v="2"/>
    <x v="3"/>
    <n v="155.44999999999999"/>
    <n v="22674"/>
    <n v="928"/>
    <n v="24"/>
    <n v="2"/>
    <n v="4.0927935079999997"/>
    <n v="2.5862068969999998"/>
    <n v="2"/>
    <m/>
    <m/>
    <m/>
    <m/>
    <m/>
    <s v="Low Performer"/>
    <e v="#NAME?"/>
    <s v="Low Budget"/>
    <n v="0.3"/>
    <s v="Efficient Spend"/>
    <s v="Medium"/>
  </r>
  <r>
    <s v="MKT1201"/>
    <d v="2024-05-08T00:00:00"/>
    <s v="C307"/>
    <n v="22"/>
    <s v="Other"/>
    <x v="3"/>
    <x v="1"/>
    <x v="1"/>
    <n v="748.87"/>
    <n v="4168"/>
    <n v="3750"/>
    <n v="180"/>
    <n v="3"/>
    <n v="89.971209209999998"/>
    <n v="4.8"/>
    <n v="3"/>
    <m/>
    <m/>
    <m/>
    <m/>
    <m/>
    <s v="Average Performer"/>
    <e v="#NAME?"/>
    <s v="Medium Budget"/>
    <n v="1.2"/>
    <s v="Efficient Spend"/>
    <s v="Medium"/>
  </r>
  <r>
    <s v="MKT1202"/>
    <d v="2024-07-29T00:00:00"/>
    <s v="C235"/>
    <n v="45"/>
    <s v="Female"/>
    <x v="1"/>
    <x v="2"/>
    <x v="2"/>
    <n v="408.12"/>
    <n v="4512"/>
    <n v="2509"/>
    <n v="363"/>
    <m/>
    <n v="55.607269500000001"/>
    <n v="14.4679155"/>
    <n v="3"/>
    <m/>
    <m/>
    <m/>
    <m/>
    <m/>
    <s v="Average Performer"/>
    <e v="#NAME?"/>
    <s v="Low Budget"/>
    <n v="0.3"/>
    <s v="Efficient Spend"/>
    <s v="High"/>
  </r>
  <r>
    <s v="MKT1203"/>
    <d v="2024-08-19T00:00:00"/>
    <s v="C309"/>
    <n v="26"/>
    <s v="Female"/>
    <x v="5"/>
    <x v="1"/>
    <x v="3"/>
    <n v="402.39"/>
    <n v="26391"/>
    <n v="2056"/>
    <n v="238"/>
    <n v="2"/>
    <n v="7.7905346519999998"/>
    <n v="11.57587549"/>
    <n v="2"/>
    <m/>
    <m/>
    <m/>
    <m/>
    <m/>
    <s v="Average Performer"/>
    <e v="#NAME?"/>
    <s v="Low Budget"/>
    <n v="1.2"/>
    <s v="Efficient Spend"/>
    <s v="Medium"/>
  </r>
  <r>
    <s v="MKT1204"/>
    <d v="2024-06-25T00:00:00"/>
    <s v="C307"/>
    <n v="19"/>
    <s v="Female"/>
    <x v="1"/>
    <x v="2"/>
    <x v="2"/>
    <n v="1074.33"/>
    <n v="26900"/>
    <n v="2876"/>
    <n v="166"/>
    <n v="4"/>
    <n v="10.69144981"/>
    <n v="5.7719054239999998"/>
    <n v="4"/>
    <m/>
    <m/>
    <m/>
    <m/>
    <m/>
    <s v="Average Performer"/>
    <e v="#NAME?"/>
    <s v="High Budget"/>
    <n v="0.3"/>
    <s v="Inefficient Spend"/>
    <s v="High"/>
  </r>
  <r>
    <s v="MKT1205"/>
    <d v="2024-02-14T00:00:00"/>
    <s v="C367"/>
    <n v="38"/>
    <s v="Female"/>
    <x v="2"/>
    <x v="3"/>
    <x v="2"/>
    <n v="1503.97"/>
    <n v="33466"/>
    <n v="3898"/>
    <n v="169"/>
    <m/>
    <n v="11.647642380000001"/>
    <n v="4.3355566960000003"/>
    <n v="3"/>
    <m/>
    <m/>
    <m/>
    <m/>
    <m/>
    <s v="Average Performer"/>
    <e v="#NAME?"/>
    <s v="High Budget"/>
    <n v="0.75"/>
    <s v="Efficient Spend"/>
    <s v="High"/>
  </r>
  <r>
    <s v="MKT1206"/>
    <d v="2024-01-10T00:00:00"/>
    <s v="C220"/>
    <n v="20"/>
    <s v="Female"/>
    <x v="2"/>
    <x v="2"/>
    <x v="0"/>
    <n v="1987.15"/>
    <n v="23853"/>
    <n v="3607"/>
    <n v="263"/>
    <m/>
    <n v="15.121787619999999"/>
    <n v="7.2913778760000003"/>
    <n v="3"/>
    <m/>
    <m/>
    <m/>
    <m/>
    <m/>
    <s v="Top Performer"/>
    <e v="#NAME?"/>
    <s v="High Budget"/>
    <n v="0.3"/>
    <s v="Inefficient Spend"/>
    <s v="High"/>
  </r>
  <r>
    <s v="MKT1207"/>
    <d v="2024-10-29T00:00:00"/>
    <s v="C209"/>
    <n v="64"/>
    <s v="Female"/>
    <x v="1"/>
    <x v="2"/>
    <x v="2"/>
    <n v="1418.37"/>
    <n v="4546"/>
    <n v="4425"/>
    <n v="72"/>
    <n v="1"/>
    <n v="97.338319400000003"/>
    <n v="1.6271186440000001"/>
    <n v="1"/>
    <m/>
    <m/>
    <m/>
    <m/>
    <m/>
    <s v="Low Performer"/>
    <e v="#NAME?"/>
    <s v="High Budget"/>
    <n v="0.3"/>
    <s v="Inefficient Spend"/>
    <s v="High"/>
  </r>
  <r>
    <s v="MKT1208"/>
    <d v="2024-06-25T00:00:00"/>
    <s v="C268"/>
    <n v="61"/>
    <s v="Other"/>
    <x v="5"/>
    <x v="1"/>
    <x v="0"/>
    <n v="330.82"/>
    <n v="42577"/>
    <n v="30"/>
    <n v="260"/>
    <n v="3"/>
    <n v="7.0460576999999996E-2"/>
    <n v="866.66666669999995"/>
    <n v="3"/>
    <m/>
    <m/>
    <m/>
    <m/>
    <m/>
    <s v="Low Performer"/>
    <e v="#NAME?"/>
    <s v="Low Budget"/>
    <n v="1.2"/>
    <s v="Inefficient Spend"/>
    <s v="High"/>
  </r>
  <r>
    <s v="MKT1209"/>
    <d v="2024-05-07T00:00:00"/>
    <s v="C365"/>
    <n v="31"/>
    <s v="Female"/>
    <x v="1"/>
    <x v="1"/>
    <x v="1"/>
    <n v="1247.71"/>
    <n v="37476"/>
    <n v="4398"/>
    <n v="171"/>
    <n v="1"/>
    <n v="11.73551073"/>
    <n v="3.8881309690000001"/>
    <n v="1"/>
    <m/>
    <m/>
    <m/>
    <m/>
    <m/>
    <s v="Average Performer"/>
    <e v="#NAME?"/>
    <s v="High Budget"/>
    <n v="1.2"/>
    <s v="Efficient Spend"/>
    <s v="Medium"/>
  </r>
  <r>
    <s v="MKT1210"/>
    <d v="2024-01-06T00:00:00"/>
    <s v="C271"/>
    <n v="26"/>
    <s v="Other"/>
    <x v="5"/>
    <x v="1"/>
    <x v="3"/>
    <n v="422.85"/>
    <n v="24238"/>
    <n v="1730"/>
    <n v="105"/>
    <n v="3"/>
    <n v="7.1375526029999996"/>
    <n v="6.0693641620000003"/>
    <n v="3"/>
    <m/>
    <m/>
    <m/>
    <m/>
    <m/>
    <s v="Average Performer"/>
    <e v="#NAME?"/>
    <s v="Low Budget"/>
    <n v="1.2"/>
    <s v="Efficient Spend"/>
    <s v="Medium"/>
  </r>
  <r>
    <s v="MKT1211"/>
    <d v="2024-05-24T00:00:00"/>
    <s v="C205"/>
    <n v="41"/>
    <s v="Male"/>
    <x v="6"/>
    <x v="0"/>
    <x v="2"/>
    <n v="701.34"/>
    <n v="4023"/>
    <n v="200"/>
    <n v="110"/>
    <m/>
    <n v="4.9714143670000004"/>
    <n v="55"/>
    <n v="3"/>
    <m/>
    <m/>
    <m/>
    <m/>
    <m/>
    <s v="Low Performer"/>
    <e v="#NAME?"/>
    <s v="Medium Budget"/>
    <n v="0.5"/>
    <s v="Inefficient Spend"/>
    <s v="High"/>
  </r>
  <r>
    <s v="MKT1212"/>
    <d v="2024-01-12T00:00:00"/>
    <s v="C315"/>
    <n v="29"/>
    <s v="Male"/>
    <x v="5"/>
    <x v="4"/>
    <x v="1"/>
    <n v="1298.1600000000001"/>
    <n v="33502"/>
    <n v="4060"/>
    <n v="107"/>
    <n v="1"/>
    <n v="12.118679480000001"/>
    <n v="2.63546798"/>
    <n v="1"/>
    <m/>
    <m/>
    <m/>
    <m/>
    <m/>
    <s v="Average Performer"/>
    <e v="#NAME?"/>
    <s v="High Budget"/>
    <n v="0.2"/>
    <s v="Inefficient Spend"/>
    <s v="Medium"/>
  </r>
  <r>
    <s v="MKT1213"/>
    <d v="2024-12-28T00:00:00"/>
    <s v="C360"/>
    <n v="18"/>
    <s v="Male"/>
    <x v="4"/>
    <x v="1"/>
    <x v="0"/>
    <n v="1665.49"/>
    <n v="40141"/>
    <n v="4874"/>
    <n v="219"/>
    <n v="1"/>
    <n v="12.14219875"/>
    <n v="4.4932293799999998"/>
    <n v="1"/>
    <m/>
    <m/>
    <m/>
    <m/>
    <m/>
    <s v="Top Performer"/>
    <e v="#NAME?"/>
    <s v="High Budget"/>
    <n v="1.2"/>
    <s v="Efficient Spend"/>
    <s v="High"/>
  </r>
  <r>
    <s v="MKT1214"/>
    <d v="2024-06-09T00:00:00"/>
    <s v="C206"/>
    <n v="28"/>
    <s v="Male"/>
    <x v="3"/>
    <x v="3"/>
    <x v="3"/>
    <n v="746.58"/>
    <n v="48288"/>
    <n v="2590"/>
    <n v="263"/>
    <n v="1"/>
    <n v="5.3636514249999996"/>
    <n v="10.154440149999999"/>
    <n v="1"/>
    <m/>
    <m/>
    <m/>
    <m/>
    <m/>
    <s v="Average Performer"/>
    <e v="#NAME?"/>
    <s v="Medium Budget"/>
    <n v="0.75"/>
    <s v="Efficient Spend"/>
    <s v="Medium"/>
  </r>
  <r>
    <s v="MKT1215"/>
    <d v="2024-10-23T00:00:00"/>
    <s v="C258"/>
    <n v="59"/>
    <s v="Female"/>
    <x v="5"/>
    <x v="2"/>
    <x v="0"/>
    <n v="492.7"/>
    <n v="10581"/>
    <n v="389"/>
    <n v="280"/>
    <n v="1"/>
    <n v="3.6764010960000002"/>
    <n v="71.979434449999999"/>
    <n v="1"/>
    <m/>
    <m/>
    <m/>
    <m/>
    <m/>
    <s v="Low Performer"/>
    <e v="#NAME?"/>
    <s v="Low Budget"/>
    <n v="0.3"/>
    <s v="Inefficient Spend"/>
    <s v="High"/>
  </r>
  <r>
    <s v="MKT1216"/>
    <d v="2024-02-06T00:00:00"/>
    <s v="C326"/>
    <n v="51"/>
    <s v="Other"/>
    <x v="5"/>
    <x v="4"/>
    <x v="2"/>
    <n v="262.14999999999998"/>
    <n v="26738"/>
    <n v="4256"/>
    <n v="287"/>
    <n v="4"/>
    <n v="15.9174209"/>
    <n v="6.7434210529999996"/>
    <n v="4"/>
    <m/>
    <m/>
    <m/>
    <m/>
    <m/>
    <s v="Top Performer"/>
    <e v="#NAME?"/>
    <s v="Low Budget"/>
    <n v="0.2"/>
    <s v="Efficient Spend"/>
    <s v="High"/>
  </r>
  <r>
    <s v="MKT1217"/>
    <d v="2024-03-10T00:00:00"/>
    <s v="C368"/>
    <n v="45"/>
    <s v="Male"/>
    <x v="2"/>
    <x v="4"/>
    <x v="1"/>
    <n v="1158.22"/>
    <n v="36951"/>
    <n v="478"/>
    <n v="103"/>
    <n v="2"/>
    <n v="1.2936050450000001"/>
    <n v="21.548117149999999"/>
    <n v="2"/>
    <m/>
    <m/>
    <m/>
    <m/>
    <m/>
    <s v="Low Performer"/>
    <e v="#NAME?"/>
    <s v="High Budget"/>
    <n v="0.2"/>
    <s v="Inefficient Spend"/>
    <s v="Medium"/>
  </r>
  <r>
    <s v="MKT1218"/>
    <d v="2024-12-29T00:00:00"/>
    <s v="C371"/>
    <n v="49"/>
    <s v="Male"/>
    <x v="3"/>
    <x v="3"/>
    <x v="1"/>
    <n v="1935.02"/>
    <n v="13246"/>
    <n v="2792"/>
    <n v="362"/>
    <n v="2"/>
    <n v="21.078061300000002"/>
    <n v="12.96561605"/>
    <n v="2"/>
    <m/>
    <m/>
    <m/>
    <m/>
    <m/>
    <s v="Average Performer"/>
    <e v="#NAME?"/>
    <s v="High Budget"/>
    <n v="0.75"/>
    <s v="Efficient Spend"/>
    <s v="Medium"/>
  </r>
  <r>
    <s v="MKT1219"/>
    <d v="2024-04-03T00:00:00"/>
    <s v="C248"/>
    <n v="29"/>
    <s v="Male"/>
    <x v="4"/>
    <x v="4"/>
    <x v="1"/>
    <n v="1108.98"/>
    <n v="42457"/>
    <n v="2556"/>
    <n v="22"/>
    <m/>
    <n v="6.0202086819999998"/>
    <n v="0.86071987500000002"/>
    <n v="3"/>
    <m/>
    <m/>
    <m/>
    <m/>
    <m/>
    <s v="Low Performer"/>
    <e v="#NAME?"/>
    <s v="High Budget"/>
    <n v="0.2"/>
    <s v="Inefficient Spend"/>
    <s v="Medium"/>
  </r>
  <r>
    <s v="MKT1220"/>
    <d v="2024-02-19T00:00:00"/>
    <s v="C345"/>
    <n v="49"/>
    <s v="Male"/>
    <x v="0"/>
    <x v="0"/>
    <x v="1"/>
    <n v="112.84"/>
    <n v="23139"/>
    <n v="508"/>
    <n v="395"/>
    <n v="3"/>
    <n v="2.195427633"/>
    <n v="77.755905510000005"/>
    <n v="3"/>
    <m/>
    <m/>
    <m/>
    <m/>
    <m/>
    <s v="Low Performer"/>
    <e v="#NAME?"/>
    <s v="Low Budget"/>
    <n v="0.5"/>
    <s v="Efficient Spend"/>
    <s v="Medium"/>
  </r>
  <r>
    <s v="MKT1221"/>
    <d v="2024-11-13T00:00:00"/>
    <s v="C237"/>
    <n v="54"/>
    <s v="Female"/>
    <x v="3"/>
    <x v="3"/>
    <x v="1"/>
    <n v="651.14"/>
    <n v="17054"/>
    <n v="2952"/>
    <n v="319"/>
    <n v="4"/>
    <n v="17.309722059999999"/>
    <n v="10.80623306"/>
    <n v="4"/>
    <m/>
    <m/>
    <m/>
    <m/>
    <m/>
    <s v="Average Performer"/>
    <e v="#NAME?"/>
    <s v="Medium Budget"/>
    <n v="0.75"/>
    <s v="Efficient Spend"/>
    <s v="Medium"/>
  </r>
  <r>
    <s v="MKT1222"/>
    <d v="2024-08-11T00:00:00"/>
    <s v="C256"/>
    <n v="51"/>
    <s v="Female"/>
    <x v="3"/>
    <x v="3"/>
    <x v="3"/>
    <n v="1451.52"/>
    <n v="45447"/>
    <n v="1539"/>
    <n v="371"/>
    <n v="5"/>
    <n v="3.3863621359999998"/>
    <n v="24.106562700000001"/>
    <n v="5"/>
    <m/>
    <m/>
    <m/>
    <m/>
    <m/>
    <s v="Average Performer"/>
    <e v="#NAME?"/>
    <s v="High Budget"/>
    <n v="0.75"/>
    <s v="Inefficient Spend"/>
    <s v="Medium"/>
  </r>
  <r>
    <s v="MKT1223"/>
    <d v="2024-05-15T00:00:00"/>
    <s v="C255"/>
    <n v="27"/>
    <s v="Female"/>
    <x v="5"/>
    <x v="2"/>
    <x v="1"/>
    <n v="1895.22"/>
    <n v="30197"/>
    <n v="296"/>
    <n v="36"/>
    <m/>
    <n v="0.98022982400000003"/>
    <n v="12.162162159999999"/>
    <n v="3"/>
    <m/>
    <m/>
    <m/>
    <m/>
    <m/>
    <s v="Low Performer"/>
    <e v="#NAME?"/>
    <s v="High Budget"/>
    <n v="0.3"/>
    <s v="Inefficient Spend"/>
    <s v="Medium"/>
  </r>
  <r>
    <s v="MKT1224"/>
    <d v="2024-04-02T00:00:00"/>
    <s v="C217"/>
    <n v="47"/>
    <s v="Male"/>
    <x v="3"/>
    <x v="3"/>
    <x v="3"/>
    <n v="336.05"/>
    <n v="5603"/>
    <n v="734"/>
    <n v="44"/>
    <n v="1"/>
    <n v="13.10012493"/>
    <n v="5.9945504090000004"/>
    <n v="1"/>
    <m/>
    <m/>
    <m/>
    <m/>
    <m/>
    <s v="Low Performer"/>
    <e v="#NAME?"/>
    <s v="Low Budget"/>
    <n v="0.75"/>
    <s v="Efficient Spend"/>
    <s v="Medium"/>
  </r>
  <r>
    <s v="MKT1225"/>
    <d v="2024-11-10T00:00:00"/>
    <s v="C277"/>
    <n v="32"/>
    <s v="Female"/>
    <x v="2"/>
    <x v="3"/>
    <x v="3"/>
    <n v="1731.3"/>
    <n v="43938"/>
    <n v="4680"/>
    <n v="297"/>
    <m/>
    <n v="10.651372390000001"/>
    <n v="6.346153846"/>
    <n v="3"/>
    <m/>
    <m/>
    <m/>
    <m/>
    <m/>
    <s v="Top Performer"/>
    <e v="#NAME?"/>
    <s v="High Budget"/>
    <n v="0.75"/>
    <s v="Efficient Spend"/>
    <s v="Medium"/>
  </r>
  <r>
    <s v="MKT1226"/>
    <d v="2024-06-27T00:00:00"/>
    <s v="C390"/>
    <n v="20"/>
    <s v="Male"/>
    <x v="3"/>
    <x v="2"/>
    <x v="1"/>
    <n v="1564.51"/>
    <n v="18743"/>
    <n v="4432"/>
    <n v="314"/>
    <n v="3"/>
    <n v="23.646161230000001"/>
    <n v="7.0848375450000001"/>
    <n v="3"/>
    <m/>
    <m/>
    <m/>
    <m/>
    <m/>
    <s v="Top Performer"/>
    <e v="#NAME?"/>
    <s v="High Budget"/>
    <n v="0.3"/>
    <s v="Inefficient Spend"/>
    <s v="Medium"/>
  </r>
  <r>
    <s v="MKT1227"/>
    <d v="2024-06-25T00:00:00"/>
    <s v="C323"/>
    <n v="27"/>
    <s v="Female"/>
    <x v="1"/>
    <x v="4"/>
    <x v="3"/>
    <n v="884.06"/>
    <n v="33765"/>
    <n v="3602"/>
    <n v="71"/>
    <n v="2"/>
    <n v="10.66785133"/>
    <n v="1.971127152"/>
    <n v="2"/>
    <m/>
    <m/>
    <m/>
    <m/>
    <m/>
    <s v="Low Performer"/>
    <e v="#NAME?"/>
    <s v="Medium Budget"/>
    <n v="0.2"/>
    <s v="Inefficient Spend"/>
    <s v="Medium"/>
  </r>
  <r>
    <s v="MKT1228"/>
    <d v="2024-11-30T00:00:00"/>
    <s v="C285"/>
    <n v="29"/>
    <s v="Other"/>
    <x v="3"/>
    <x v="2"/>
    <x v="1"/>
    <n v="1875.48"/>
    <n v="32952"/>
    <n v="901"/>
    <n v="392"/>
    <n v="4"/>
    <n v="2.7342801649999999"/>
    <n v="43.507214210000001"/>
    <n v="4"/>
    <m/>
    <m/>
    <m/>
    <m/>
    <m/>
    <s v="Low Performer"/>
    <e v="#NAME?"/>
    <s v="High Budget"/>
    <n v="0.3"/>
    <s v="Inefficient Spend"/>
    <s v="Medium"/>
  </r>
  <r>
    <s v="MKT1229"/>
    <d v="2024-02-17T00:00:00"/>
    <s v="C247"/>
    <n v="19"/>
    <s v="Other"/>
    <x v="4"/>
    <x v="0"/>
    <x v="3"/>
    <n v="1087.97"/>
    <n v="20564"/>
    <n v="534"/>
    <n v="6"/>
    <n v="5"/>
    <n v="2.5967710560000001"/>
    <n v="1.123595506"/>
    <n v="5"/>
    <m/>
    <m/>
    <m/>
    <m/>
    <m/>
    <s v="Low Performer"/>
    <e v="#NAME?"/>
    <s v="High Budget"/>
    <n v="0.5"/>
    <s v="Inefficient Spend"/>
    <s v="Medium"/>
  </r>
  <r>
    <s v="MKT1230"/>
    <d v="2024-05-06T00:00:00"/>
    <s v="C309"/>
    <n v="52"/>
    <s v="Female"/>
    <x v="0"/>
    <x v="2"/>
    <x v="0"/>
    <n v="715.4"/>
    <n v="47785"/>
    <n v="3256"/>
    <n v="314"/>
    <m/>
    <n v="6.81385372"/>
    <n v="9.6437346440000002"/>
    <n v="3"/>
    <m/>
    <m/>
    <m/>
    <m/>
    <m/>
    <s v="Top Performer"/>
    <e v="#NAME?"/>
    <s v="Medium Budget"/>
    <n v="0.3"/>
    <s v="Efficient Spend"/>
    <s v="High"/>
  </r>
  <r>
    <s v="MKT1231"/>
    <d v="2024-07-30T00:00:00"/>
    <s v="C306"/>
    <n v="35"/>
    <s v="Female"/>
    <x v="5"/>
    <x v="2"/>
    <x v="2"/>
    <n v="867.52"/>
    <n v="23149"/>
    <n v="3981"/>
    <n v="71"/>
    <n v="5"/>
    <n v="17.19728714"/>
    <n v="1.7834714899999999"/>
    <n v="5"/>
    <m/>
    <m/>
    <m/>
    <m/>
    <m/>
    <s v="Low Performer"/>
    <e v="#NAME?"/>
    <s v="Medium Budget"/>
    <n v="0.3"/>
    <s v="Efficient Spend"/>
    <s v="High"/>
  </r>
  <r>
    <s v="MKT1232"/>
    <d v="2024-04-15T00:00:00"/>
    <s v="C344"/>
    <n v="23"/>
    <s v="Male"/>
    <x v="2"/>
    <x v="2"/>
    <x v="1"/>
    <n v="526.45000000000005"/>
    <n v="24687"/>
    <n v="3886"/>
    <n v="260"/>
    <n v="5"/>
    <n v="15.7410783"/>
    <n v="6.6906845080000004"/>
    <n v="5"/>
    <m/>
    <m/>
    <m/>
    <m/>
    <m/>
    <s v="Top Performer"/>
    <e v="#NAME?"/>
    <s v="Medium Budget"/>
    <n v="0.3"/>
    <s v="Efficient Spend"/>
    <s v="Medium"/>
  </r>
  <r>
    <s v="MKT1233"/>
    <d v="2024-03-18T00:00:00"/>
    <s v="C326"/>
    <n v="56"/>
    <s v="Female"/>
    <x v="2"/>
    <x v="3"/>
    <x v="0"/>
    <n v="880.74"/>
    <n v="1867"/>
    <n v="4531"/>
    <n v="230"/>
    <n v="4"/>
    <n v="242.68880559999999"/>
    <n v="5.0761421320000002"/>
    <n v="4"/>
    <m/>
    <m/>
    <m/>
    <m/>
    <n v="0"/>
    <s v="Top Performer"/>
    <e v="#NAME?"/>
    <s v="Medium Budget"/>
    <n v="0.75"/>
    <s v="Efficient Spend"/>
    <s v="High"/>
  </r>
  <r>
    <s v="MKT1234"/>
    <d v="2024-01-25T00:00:00"/>
    <s v="C377"/>
    <n v="49"/>
    <s v="Other"/>
    <x v="4"/>
    <x v="3"/>
    <x v="0"/>
    <n v="1305.48"/>
    <n v="48180"/>
    <n v="3428"/>
    <n v="235"/>
    <n v="3"/>
    <n v="7.1149854709999998"/>
    <n v="6.8553092180000004"/>
    <n v="3"/>
    <m/>
    <m/>
    <m/>
    <m/>
    <m/>
    <s v="Top Performer"/>
    <e v="#NAME?"/>
    <s v="High Budget"/>
    <n v="0.75"/>
    <s v="Efficient Spend"/>
    <s v="High"/>
  </r>
  <r>
    <s v="MKT1235"/>
    <d v="2024-03-08T00:00:00"/>
    <s v="C246"/>
    <n v="32"/>
    <s v="Female"/>
    <x v="4"/>
    <x v="4"/>
    <x v="1"/>
    <n v="785.75"/>
    <n v="12360"/>
    <n v="830"/>
    <n v="338"/>
    <n v="3"/>
    <n v="6.715210356"/>
    <n v="40.722891570000002"/>
    <n v="3"/>
    <m/>
    <m/>
    <m/>
    <m/>
    <m/>
    <s v="Low Performer"/>
    <e v="#NAME?"/>
    <s v="Medium Budget"/>
    <n v="0.2"/>
    <s v="Inefficient Spend"/>
    <s v="Medium"/>
  </r>
  <r>
    <s v="MKT1236"/>
    <d v="2024-02-19T00:00:00"/>
    <s v="C388"/>
    <n v="35"/>
    <s v="Male"/>
    <x v="4"/>
    <x v="1"/>
    <x v="3"/>
    <n v="307.75"/>
    <n v="37454"/>
    <n v="2046"/>
    <n v="25"/>
    <n v="3"/>
    <n v="5.4627009129999999"/>
    <n v="1.221896383"/>
    <n v="3"/>
    <m/>
    <m/>
    <m/>
    <m/>
    <m/>
    <s v="Low Performer"/>
    <e v="#NAME?"/>
    <s v="Low Budget"/>
    <n v="1.2"/>
    <s v="Efficient Spend"/>
    <s v="Medium"/>
  </r>
  <r>
    <s v="MKT1237"/>
    <d v="2024-02-03T00:00:00"/>
    <s v="C394"/>
    <n v="40"/>
    <s v="Female"/>
    <x v="1"/>
    <x v="0"/>
    <x v="0"/>
    <n v="1845.67"/>
    <n v="29637"/>
    <n v="3427"/>
    <n v="256"/>
    <n v="2"/>
    <n v="11.563248639999999"/>
    <n v="7.4700904579999996"/>
    <n v="2"/>
    <m/>
    <m/>
    <m/>
    <m/>
    <m/>
    <s v="Top Performer"/>
    <e v="#NAME?"/>
    <s v="High Budget"/>
    <n v="0.5"/>
    <s v="Inefficient Spend"/>
    <s v="High"/>
  </r>
  <r>
    <s v="MKT1238"/>
    <d v="2024-11-27T00:00:00"/>
    <s v="C268"/>
    <n v="34"/>
    <s v="Male"/>
    <x v="4"/>
    <x v="3"/>
    <x v="2"/>
    <n v="1466.41"/>
    <n v="40785"/>
    <n v="294"/>
    <n v="309"/>
    <n v="5"/>
    <n v="0.72085325499999997"/>
    <n v="105.1020408"/>
    <n v="5"/>
    <m/>
    <m/>
    <m/>
    <m/>
    <m/>
    <s v="Low Performer"/>
    <e v="#NAME?"/>
    <s v="High Budget"/>
    <n v="0.75"/>
    <s v="Inefficient Spend"/>
    <s v="High"/>
  </r>
  <r>
    <s v="MKT1239"/>
    <d v="2024-12-13T00:00:00"/>
    <s v="C389"/>
    <n v="41"/>
    <s v="Male"/>
    <x v="6"/>
    <x v="2"/>
    <x v="0"/>
    <n v="394.75"/>
    <n v="39706"/>
    <n v="3487"/>
    <n v="331"/>
    <m/>
    <n v="8.7820480530000005"/>
    <n v="9.492400344"/>
    <n v="3"/>
    <m/>
    <m/>
    <m/>
    <m/>
    <m/>
    <s v="Top Performer"/>
    <e v="#NAME?"/>
    <s v="Low Budget"/>
    <n v="0.3"/>
    <s v="Efficient Spend"/>
    <s v="High"/>
  </r>
  <r>
    <s v="MKT1240"/>
    <d v="2024-03-09T00:00:00"/>
    <s v="C227"/>
    <n v="57"/>
    <s v="Male"/>
    <x v="4"/>
    <x v="3"/>
    <x v="2"/>
    <n v="1661.73"/>
    <n v="32350"/>
    <n v="4136"/>
    <n v="82"/>
    <n v="5"/>
    <n v="12.785162290000001"/>
    <n v="1.9825918760000001"/>
    <n v="5"/>
    <m/>
    <m/>
    <m/>
    <m/>
    <m/>
    <s v="Low Performer"/>
    <e v="#NAME?"/>
    <s v="High Budget"/>
    <n v="0.75"/>
    <s v="Efficient Spend"/>
    <s v="High"/>
  </r>
  <r>
    <s v="MKT1241"/>
    <d v="2024-08-18T00:00:00"/>
    <s v="C362"/>
    <n v="41"/>
    <s v="Male"/>
    <x v="6"/>
    <x v="1"/>
    <x v="2"/>
    <n v="1903.52"/>
    <n v="7720"/>
    <n v="2503"/>
    <n v="312"/>
    <m/>
    <n v="32.422279789999997"/>
    <n v="12.46504195"/>
    <n v="3"/>
    <m/>
    <m/>
    <m/>
    <m/>
    <m/>
    <s v="Average Performer"/>
    <e v="#NAME?"/>
    <s v="High Budget"/>
    <n v="1.2"/>
    <s v="Efficient Spend"/>
    <s v="High"/>
  </r>
  <r>
    <s v="MKT1242"/>
    <d v="2024-04-05T00:00:00"/>
    <s v="C287"/>
    <n v="20"/>
    <s v="Male"/>
    <x v="2"/>
    <x v="0"/>
    <x v="2"/>
    <n v="598.57000000000005"/>
    <n v="30323"/>
    <n v="2913"/>
    <n v="265"/>
    <n v="1"/>
    <n v="9.6065692709999997"/>
    <n v="9.0971507040000006"/>
    <n v="1"/>
    <m/>
    <m/>
    <m/>
    <m/>
    <m/>
    <s v="Average Performer"/>
    <e v="#NAME?"/>
    <s v="Medium Budget"/>
    <n v="0.5"/>
    <s v="Efficient Spend"/>
    <s v="High"/>
  </r>
  <r>
    <s v="MKT1243"/>
    <d v="2024-05-05T00:00:00"/>
    <s v="C229"/>
    <n v="40"/>
    <s v="Other"/>
    <x v="2"/>
    <x v="1"/>
    <x v="2"/>
    <n v="1099.93"/>
    <n v="35184"/>
    <n v="2740"/>
    <n v="31"/>
    <n v="3"/>
    <n v="7.7876307410000001"/>
    <n v="1.131386861"/>
    <n v="3"/>
    <m/>
    <m/>
    <m/>
    <m/>
    <m/>
    <s v="Low Performer"/>
    <e v="#NAME?"/>
    <s v="High Budget"/>
    <n v="1.2"/>
    <s v="Efficient Spend"/>
    <s v="High"/>
  </r>
  <r>
    <s v="MKT1244"/>
    <d v="2024-09-08T00:00:00"/>
    <s v="C329"/>
    <n v="22"/>
    <s v="Male"/>
    <x v="3"/>
    <x v="3"/>
    <x v="3"/>
    <n v="1870.23"/>
    <n v="4858"/>
    <n v="2255"/>
    <n v="205"/>
    <m/>
    <n v="46.418279130000002"/>
    <n v="9.0909090910000003"/>
    <n v="3"/>
    <m/>
    <m/>
    <m/>
    <m/>
    <m/>
    <s v="Average Performer"/>
    <e v="#NAME?"/>
    <s v="High Budget"/>
    <n v="0.75"/>
    <s v="Inefficient Spend"/>
    <s v="Medium"/>
  </r>
  <r>
    <s v="MKT1245"/>
    <d v="2024-03-02T00:00:00"/>
    <s v="C329"/>
    <n v="64"/>
    <s v="Male"/>
    <x v="0"/>
    <x v="4"/>
    <x v="1"/>
    <n v="699.4"/>
    <n v="16566"/>
    <n v="4254"/>
    <n v="29"/>
    <n v="1"/>
    <n v="25.679101769999999"/>
    <n v="0.68171133100000003"/>
    <n v="1"/>
    <m/>
    <m/>
    <m/>
    <m/>
    <m/>
    <s v="Low Performer"/>
    <e v="#NAME?"/>
    <s v="Medium Budget"/>
    <n v="0.2"/>
    <s v="Efficient Spend"/>
    <s v="Medium"/>
  </r>
  <r>
    <s v="MKT1246"/>
    <d v="2024-12-16T00:00:00"/>
    <s v="C318"/>
    <n v="51"/>
    <s v="Other"/>
    <x v="3"/>
    <x v="0"/>
    <x v="3"/>
    <n v="758.46"/>
    <n v="34903"/>
    <n v="1492"/>
    <n v="340"/>
    <n v="5"/>
    <n v="4.2747041799999996"/>
    <n v="22.788203750000001"/>
    <n v="5"/>
    <m/>
    <m/>
    <m/>
    <m/>
    <m/>
    <s v="Average Performer"/>
    <e v="#NAME?"/>
    <s v="Medium Budget"/>
    <n v="0.5"/>
    <s v="Inefficient Spend"/>
    <s v="Medium"/>
  </r>
  <r>
    <s v="MKT1247"/>
    <d v="2024-03-19T00:00:00"/>
    <s v="C269"/>
    <n v="57"/>
    <s v="Female"/>
    <x v="0"/>
    <x v="0"/>
    <x v="0"/>
    <n v="411.03"/>
    <n v="5499"/>
    <n v="1550"/>
    <n v="18"/>
    <n v="3"/>
    <n v="28.186943079999999"/>
    <n v="1.161290323"/>
    <n v="3"/>
    <m/>
    <m/>
    <m/>
    <m/>
    <m/>
    <s v="Low Performer"/>
    <e v="#NAME?"/>
    <s v="Low Budget"/>
    <n v="0.5"/>
    <s v="Efficient Spend"/>
    <s v="High"/>
  </r>
  <r>
    <s v="MKT1248"/>
    <d v="2024-12-30T00:00:00"/>
    <s v="C337"/>
    <n v="50"/>
    <s v="Other"/>
    <x v="0"/>
    <x v="1"/>
    <x v="0"/>
    <n v="946.44"/>
    <n v="30703"/>
    <n v="2607"/>
    <n v="289"/>
    <n v="4"/>
    <n v="8.4910269350000007"/>
    <n v="11.08553893"/>
    <n v="4"/>
    <m/>
    <m/>
    <m/>
    <m/>
    <m/>
    <s v="Average Performer"/>
    <e v="#NAME?"/>
    <s v="Medium Budget"/>
    <n v="1.2"/>
    <s v="Efficient Spend"/>
    <s v="High"/>
  </r>
  <r>
    <s v="MKT1249"/>
    <d v="2024-03-17T00:00:00"/>
    <s v="C391"/>
    <n v="42"/>
    <s v="Male"/>
    <x v="5"/>
    <x v="0"/>
    <x v="0"/>
    <n v="1811.41"/>
    <n v="23980"/>
    <n v="1485"/>
    <n v="384"/>
    <m/>
    <n v="6.1926605500000003"/>
    <n v="25.858585860000002"/>
    <n v="3"/>
    <m/>
    <m/>
    <m/>
    <m/>
    <m/>
    <s v="Average Performer"/>
    <e v="#NAME?"/>
    <s v="High Budget"/>
    <n v="0.5"/>
    <s v="Inefficient Spend"/>
    <s v="High"/>
  </r>
  <r>
    <s v="MKT1250"/>
    <d v="2024-05-02T00:00:00"/>
    <s v="C261"/>
    <n v="28"/>
    <s v="Other"/>
    <x v="5"/>
    <x v="2"/>
    <x v="1"/>
    <n v="1934.61"/>
    <n v="7195"/>
    <n v="3150"/>
    <n v="324"/>
    <m/>
    <n v="43.780403059999998"/>
    <n v="10.28571429"/>
    <n v="3"/>
    <m/>
    <m/>
    <m/>
    <m/>
    <m/>
    <s v="Top Performer"/>
    <e v="#NAME?"/>
    <s v="High Budget"/>
    <n v="0.3"/>
    <s v="Inefficient Spend"/>
    <s v="Medium"/>
  </r>
  <r>
    <s v="MKT1251"/>
    <d v="2024-12-19T00:00:00"/>
    <s v="C313"/>
    <n v="34"/>
    <s v="Other"/>
    <x v="4"/>
    <x v="3"/>
    <x v="1"/>
    <n v="359.82"/>
    <n v="29915"/>
    <n v="1376"/>
    <n v="360"/>
    <n v="3"/>
    <n v="4.599699148"/>
    <n v="26.162790699999999"/>
    <n v="3"/>
    <m/>
    <m/>
    <m/>
    <m/>
    <m/>
    <s v="Average Performer"/>
    <e v="#NAME?"/>
    <s v="Low Budget"/>
    <n v="0.75"/>
    <s v="Efficient Spend"/>
    <s v="Medium"/>
  </r>
  <r>
    <s v="MKT1252"/>
    <d v="2024-01-09T00:00:00"/>
    <s v="C377"/>
    <n v="59"/>
    <s v="Female"/>
    <x v="1"/>
    <x v="1"/>
    <x v="0"/>
    <n v="1861.2"/>
    <n v="22153"/>
    <n v="1966"/>
    <n v="127"/>
    <n v="2"/>
    <n v="8.8746445180000002"/>
    <n v="6.4598168869999997"/>
    <n v="2"/>
    <m/>
    <m/>
    <m/>
    <m/>
    <m/>
    <s v="Average Performer"/>
    <e v="#NAME?"/>
    <s v="High Budget"/>
    <n v="1.2"/>
    <s v="Efficient Spend"/>
    <s v="High"/>
  </r>
  <r>
    <s v="MKT1253"/>
    <d v="2024-06-29T00:00:00"/>
    <s v="C334"/>
    <n v="50"/>
    <s v="Male"/>
    <x v="2"/>
    <x v="3"/>
    <x v="0"/>
    <n v="431.94"/>
    <n v="13414"/>
    <n v="1643"/>
    <n v="22"/>
    <n v="4"/>
    <n v="12.248397199999999"/>
    <n v="1.3390139990000001"/>
    <n v="4"/>
    <m/>
    <m/>
    <m/>
    <m/>
    <m/>
    <s v="Low Performer"/>
    <e v="#NAME?"/>
    <s v="Low Budget"/>
    <n v="0.75"/>
    <s v="Efficient Spend"/>
    <s v="High"/>
  </r>
  <r>
    <s v="MKT1254"/>
    <d v="2024-04-04T00:00:00"/>
    <s v="C251"/>
    <n v="61"/>
    <s v="Female"/>
    <x v="0"/>
    <x v="0"/>
    <x v="2"/>
    <n v="1762.48"/>
    <n v="32047"/>
    <n v="3075"/>
    <n v="15"/>
    <m/>
    <n v="9.5952819300000005"/>
    <n v="0.487804878"/>
    <n v="3"/>
    <m/>
    <m/>
    <m/>
    <m/>
    <m/>
    <s v="Low Performer"/>
    <e v="#NAME?"/>
    <s v="High Budget"/>
    <n v="0.5"/>
    <s v="Inefficient Spend"/>
    <s v="High"/>
  </r>
  <r>
    <s v="MKT1255"/>
    <d v="2024-12-19T00:00:00"/>
    <s v="C370"/>
    <n v="37"/>
    <s v="Other"/>
    <x v="1"/>
    <x v="3"/>
    <x v="2"/>
    <n v="1601.81"/>
    <n v="26123"/>
    <n v="4979"/>
    <n v="229"/>
    <n v="2"/>
    <n v="19.059832329999999"/>
    <n v="4.5993171320000004"/>
    <n v="2"/>
    <m/>
    <m/>
    <m/>
    <m/>
    <m/>
    <s v="Top Performer"/>
    <e v="#NAME?"/>
    <s v="High Budget"/>
    <n v="0.75"/>
    <s v="Efficient Spend"/>
    <s v="High"/>
  </r>
  <r>
    <s v="MKT1256"/>
    <d v="2024-07-26T00:00:00"/>
    <s v="C361"/>
    <n v="36"/>
    <s v="Male"/>
    <x v="0"/>
    <x v="1"/>
    <x v="3"/>
    <n v="109.48"/>
    <n v="27149"/>
    <n v="2463"/>
    <n v="229"/>
    <n v="3"/>
    <n v="9.0721573539999998"/>
    <n v="9.2976045470000006"/>
    <n v="3"/>
    <m/>
    <m/>
    <m/>
    <m/>
    <m/>
    <s v="Average Performer"/>
    <e v="#NAME?"/>
    <s v="Low Budget"/>
    <n v="1.2"/>
    <s v="Efficient Spend"/>
    <s v="Medium"/>
  </r>
  <r>
    <s v="MKT1257"/>
    <d v="2024-07-03T00:00:00"/>
    <s v="C297"/>
    <n v="62"/>
    <s v="Other"/>
    <x v="2"/>
    <x v="1"/>
    <x v="1"/>
    <n v="776.48"/>
    <n v="34102"/>
    <n v="3834"/>
    <n v="81"/>
    <n v="2"/>
    <n v="11.242742359999999"/>
    <n v="2.1126760560000002"/>
    <n v="2"/>
    <m/>
    <m/>
    <m/>
    <m/>
    <m/>
    <s v="Low Performer"/>
    <e v="#NAME?"/>
    <s v="Medium Budget"/>
    <n v="1.2"/>
    <s v="Efficient Spend"/>
    <s v="Medium"/>
  </r>
  <r>
    <s v="MKT1258"/>
    <d v="2024-06-30T00:00:00"/>
    <s v="C326"/>
    <n v="36"/>
    <s v="Male"/>
    <x v="5"/>
    <x v="3"/>
    <x v="2"/>
    <n v="615.96"/>
    <n v="28673"/>
    <n v="2909"/>
    <n v="5"/>
    <m/>
    <n v="10.14543299"/>
    <n v="0.171880371"/>
    <n v="3"/>
    <m/>
    <m/>
    <m/>
    <m/>
    <m/>
    <s v="Low Performer"/>
    <e v="#NAME?"/>
    <s v="Medium Budget"/>
    <n v="0.75"/>
    <s v="Efficient Spend"/>
    <s v="High"/>
  </r>
  <r>
    <s v="MKT1259"/>
    <d v="2024-02-04T00:00:00"/>
    <s v="C378"/>
    <n v="18"/>
    <s v="Other"/>
    <x v="3"/>
    <x v="2"/>
    <x v="2"/>
    <n v="1706.15"/>
    <n v="24320"/>
    <n v="19"/>
    <n v="332"/>
    <m/>
    <n v="7.8125E-2"/>
    <n v="1747.3684209999999"/>
    <n v="3"/>
    <m/>
    <m/>
    <m/>
    <m/>
    <m/>
    <s v="Low Performer"/>
    <e v="#NAME?"/>
    <s v="High Budget"/>
    <n v="0.3"/>
    <s v="Inefficient Spend"/>
    <s v="High"/>
  </r>
  <r>
    <s v="MKT1260"/>
    <d v="2024-09-25T00:00:00"/>
    <s v="C263"/>
    <n v="30"/>
    <s v="Other"/>
    <x v="5"/>
    <x v="1"/>
    <x v="0"/>
    <n v="517.16"/>
    <n v="47225"/>
    <n v="983"/>
    <n v="254"/>
    <n v="2"/>
    <n v="2.0815246159999998"/>
    <n v="25.839267549999999"/>
    <n v="2"/>
    <m/>
    <m/>
    <m/>
    <m/>
    <m/>
    <s v="Low Performer"/>
    <e v="#NAME?"/>
    <s v="Medium Budget"/>
    <n v="1.2"/>
    <s v="Efficient Spend"/>
    <s v="High"/>
  </r>
  <r>
    <s v="MKT1261"/>
    <d v="2024-09-17T00:00:00"/>
    <s v="C276"/>
    <n v="63"/>
    <s v="Female"/>
    <x v="1"/>
    <x v="4"/>
    <x v="2"/>
    <n v="948.55"/>
    <n v="41270"/>
    <n v="3422"/>
    <n v="106"/>
    <n v="3"/>
    <n v="8.2917373390000009"/>
    <n v="3.0976037409999999"/>
    <n v="3"/>
    <m/>
    <m/>
    <m/>
    <m/>
    <m/>
    <s v="Average Performer"/>
    <e v="#NAME?"/>
    <s v="Medium Budget"/>
    <n v="0.2"/>
    <s v="Inefficient Spend"/>
    <s v="High"/>
  </r>
  <r>
    <s v="MKT1262"/>
    <d v="2024-02-14T00:00:00"/>
    <s v="C319"/>
    <n v="39"/>
    <s v="Female"/>
    <x v="0"/>
    <x v="1"/>
    <x v="2"/>
    <n v="1451.79"/>
    <n v="5135"/>
    <n v="275"/>
    <n v="340"/>
    <n v="2"/>
    <n v="5.3554040900000004"/>
    <n v="123.6363636"/>
    <n v="2"/>
    <m/>
    <m/>
    <m/>
    <m/>
    <m/>
    <s v="Low Performer"/>
    <e v="#NAME?"/>
    <s v="High Budget"/>
    <n v="1.2"/>
    <s v="Inefficient Spend"/>
    <s v="High"/>
  </r>
  <r>
    <s v="MKT1263"/>
    <d v="2024-11-07T00:00:00"/>
    <s v="C305"/>
    <n v="34"/>
    <s v="Female"/>
    <x v="1"/>
    <x v="0"/>
    <x v="3"/>
    <n v="1998.65"/>
    <n v="40015"/>
    <n v="2666"/>
    <n v="160"/>
    <m/>
    <n v="6.6625015620000001"/>
    <n v="6.001500375"/>
    <n v="3"/>
    <m/>
    <m/>
    <m/>
    <m/>
    <m/>
    <s v="Average Performer"/>
    <e v="#NAME?"/>
    <s v="High Budget"/>
    <n v="0.5"/>
    <s v="Inefficient Spend"/>
    <s v="Medium"/>
  </r>
  <r>
    <s v="MKT1264"/>
    <d v="2024-10-03T00:00:00"/>
    <s v="C288"/>
    <n v="64"/>
    <s v="Female"/>
    <x v="3"/>
    <x v="0"/>
    <x v="2"/>
    <n v="758.2"/>
    <n v="25415"/>
    <n v="457"/>
    <n v="357"/>
    <n v="5"/>
    <n v="1.7981506979999999"/>
    <n v="78.118161929999999"/>
    <n v="5"/>
    <m/>
    <m/>
    <m/>
    <m/>
    <m/>
    <s v="Low Performer"/>
    <e v="#NAME?"/>
    <s v="Medium Budget"/>
    <n v="0.5"/>
    <s v="Inefficient Spend"/>
    <s v="High"/>
  </r>
  <r>
    <s v="MKT1265"/>
    <d v="2024-10-26T00:00:00"/>
    <s v="C280"/>
    <n v="45"/>
    <s v="Female"/>
    <x v="1"/>
    <x v="0"/>
    <x v="0"/>
    <n v="698.36"/>
    <n v="4391"/>
    <n v="2248"/>
    <n v="40"/>
    <n v="2"/>
    <n v="51.195627420000001"/>
    <n v="1.779359431"/>
    <n v="2"/>
    <m/>
    <m/>
    <m/>
    <m/>
    <m/>
    <s v="Low Performer"/>
    <e v="#NAME?"/>
    <s v="Medium Budget"/>
    <n v="0.5"/>
    <s v="Efficient Spend"/>
    <s v="High"/>
  </r>
  <r>
    <s v="MKT1266"/>
    <d v="2024-10-01T00:00:00"/>
    <s v="C280"/>
    <n v="36"/>
    <s v="Female"/>
    <x v="4"/>
    <x v="3"/>
    <x v="3"/>
    <n v="1089.8499999999999"/>
    <n v="7470"/>
    <n v="4068"/>
    <n v="33"/>
    <n v="4"/>
    <n v="54.457831329999998"/>
    <n v="0.81120943999999995"/>
    <n v="4"/>
    <m/>
    <m/>
    <m/>
    <m/>
    <m/>
    <s v="Low Performer"/>
    <e v="#NAME?"/>
    <s v="High Budget"/>
    <n v="0.75"/>
    <s v="Efficient Spend"/>
    <s v="Medium"/>
  </r>
  <r>
    <s v="MKT1267"/>
    <d v="2024-07-03T00:00:00"/>
    <s v="C322"/>
    <n v="33"/>
    <s v="Female"/>
    <x v="0"/>
    <x v="3"/>
    <x v="1"/>
    <n v="1846.83"/>
    <n v="39373"/>
    <n v="2905"/>
    <n v="167"/>
    <n v="2"/>
    <n v="7.3781525410000004"/>
    <n v="5.7487091220000002"/>
    <n v="2"/>
    <m/>
    <m/>
    <m/>
    <m/>
    <m/>
    <s v="Average Performer"/>
    <e v="#NAME?"/>
    <s v="High Budget"/>
    <n v="0.75"/>
    <s v="Efficient Spend"/>
    <s v="Medium"/>
  </r>
  <r>
    <s v="MKT1268"/>
    <d v="2024-05-29T00:00:00"/>
    <s v="C226"/>
    <n v="60"/>
    <s v="Other"/>
    <x v="1"/>
    <x v="0"/>
    <x v="3"/>
    <n v="1987.42"/>
    <n v="41458"/>
    <n v="3867"/>
    <n v="202"/>
    <n v="2"/>
    <n v="9.3275121809999995"/>
    <n v="5.2236876130000001"/>
    <n v="2"/>
    <m/>
    <m/>
    <m/>
    <m/>
    <m/>
    <s v="Top Performer"/>
    <e v="#NAME?"/>
    <s v="High Budget"/>
    <n v="0.5"/>
    <s v="Inefficient Spend"/>
    <s v="Medium"/>
  </r>
  <r>
    <s v="MKT1269"/>
    <d v="2024-05-01T00:00:00"/>
    <s v="C380"/>
    <n v="46"/>
    <s v="Other"/>
    <x v="1"/>
    <x v="1"/>
    <x v="2"/>
    <n v="607.95000000000005"/>
    <n v="10972"/>
    <n v="2613"/>
    <n v="373"/>
    <n v="4"/>
    <n v="23.815165879999999"/>
    <n v="14.274779949999999"/>
    <n v="4"/>
    <m/>
    <m/>
    <m/>
    <m/>
    <m/>
    <s v="Average Performer"/>
    <e v="#NAME?"/>
    <s v="Medium Budget"/>
    <n v="1.2"/>
    <s v="Efficient Spend"/>
    <s v="High"/>
  </r>
  <r>
    <s v="MKT1270"/>
    <d v="2024-01-19T00:00:00"/>
    <s v="C326"/>
    <n v="37"/>
    <s v="Male"/>
    <x v="5"/>
    <x v="4"/>
    <x v="0"/>
    <n v="966.22"/>
    <n v="3400"/>
    <n v="3943"/>
    <n v="142"/>
    <n v="2"/>
    <n v="115.97058819999999"/>
    <n v="3.6013187929999999"/>
    <n v="2"/>
    <m/>
    <m/>
    <m/>
    <m/>
    <n v="0"/>
    <s v="Average Performer"/>
    <e v="#NAME?"/>
    <s v="Medium Budget"/>
    <n v="0.2"/>
    <s v="Inefficient Spend"/>
    <s v="High"/>
  </r>
  <r>
    <s v="MKT1271"/>
    <d v="2024-12-25T00:00:00"/>
    <s v="C365"/>
    <n v="28"/>
    <s v="Other"/>
    <x v="0"/>
    <x v="1"/>
    <x v="2"/>
    <n v="1344.32"/>
    <n v="39311"/>
    <n v="86"/>
    <n v="320"/>
    <n v="5"/>
    <n v="0.21876828400000001"/>
    <n v="372.09302330000003"/>
    <n v="5"/>
    <m/>
    <m/>
    <m/>
    <m/>
    <m/>
    <s v="Low Performer"/>
    <e v="#NAME?"/>
    <s v="High Budget"/>
    <n v="1.2"/>
    <s v="Inefficient Spend"/>
    <s v="High"/>
  </r>
  <r>
    <s v="MKT1272"/>
    <d v="2024-09-04T00:00:00"/>
    <s v="C327"/>
    <n v="62"/>
    <s v="Male"/>
    <x v="1"/>
    <x v="3"/>
    <x v="1"/>
    <n v="417.52"/>
    <n v="5397"/>
    <n v="2231"/>
    <n v="380"/>
    <n v="4"/>
    <n v="41.337780250000002"/>
    <n v="17.032720749999999"/>
    <n v="4"/>
    <m/>
    <m/>
    <m/>
    <m/>
    <m/>
    <s v="Average Performer"/>
    <e v="#NAME?"/>
    <s v="Low Budget"/>
    <n v="0.75"/>
    <s v="Efficient Spend"/>
    <s v="Medium"/>
  </r>
  <r>
    <s v="MKT1273"/>
    <d v="2024-01-06T00:00:00"/>
    <s v="C298"/>
    <n v="61"/>
    <s v="Other"/>
    <x v="3"/>
    <x v="4"/>
    <x v="1"/>
    <n v="379.51"/>
    <n v="47022"/>
    <n v="2647"/>
    <n v="175"/>
    <n v="1"/>
    <n v="5.6292799120000003"/>
    <n v="6.611258028"/>
    <n v="1"/>
    <m/>
    <m/>
    <m/>
    <m/>
    <m/>
    <s v="Average Performer"/>
    <e v="#NAME?"/>
    <s v="Low Budget"/>
    <n v="0.2"/>
    <s v="Efficient Spend"/>
    <s v="Medium"/>
  </r>
  <r>
    <s v="MKT1274"/>
    <d v="2024-05-13T00:00:00"/>
    <s v="C397"/>
    <n v="43"/>
    <s v="Male"/>
    <x v="3"/>
    <x v="3"/>
    <x v="0"/>
    <n v="698.4"/>
    <n v="6481"/>
    <n v="2419"/>
    <n v="111"/>
    <n v="2"/>
    <n v="37.324486960000002"/>
    <n v="4.5886730050000004"/>
    <n v="2"/>
    <m/>
    <m/>
    <m/>
    <m/>
    <m/>
    <s v="Average Performer"/>
    <e v="#NAME?"/>
    <s v="Medium Budget"/>
    <n v="0.75"/>
    <s v="Efficient Spend"/>
    <s v="High"/>
  </r>
  <r>
    <s v="MKT1275"/>
    <d v="2024-11-22T00:00:00"/>
    <s v="C220"/>
    <n v="18"/>
    <s v="Male"/>
    <x v="4"/>
    <x v="4"/>
    <x v="3"/>
    <n v="1570.77"/>
    <n v="32930"/>
    <n v="3206"/>
    <n v="252"/>
    <m/>
    <n v="9.7358032189999992"/>
    <n v="7.8602620090000004"/>
    <n v="3"/>
    <m/>
    <m/>
    <m/>
    <m/>
    <m/>
    <s v="Top Performer"/>
    <e v="#NAME?"/>
    <s v="High Budget"/>
    <n v="0.2"/>
    <s v="Inefficient Spend"/>
    <s v="Medium"/>
  </r>
  <r>
    <s v="MKT1276"/>
    <d v="2024-06-06T00:00:00"/>
    <s v="C362"/>
    <n v="42"/>
    <s v="Male"/>
    <x v="1"/>
    <x v="4"/>
    <x v="2"/>
    <n v="101.55"/>
    <n v="24515"/>
    <n v="3342"/>
    <n v="165"/>
    <n v="4"/>
    <n v="13.63246992"/>
    <n v="4.9371633749999999"/>
    <n v="4"/>
    <m/>
    <m/>
    <m/>
    <m/>
    <m/>
    <s v="Average Performer"/>
    <e v="#NAME?"/>
    <s v="Low Budget"/>
    <n v="0.2"/>
    <s v="Efficient Spend"/>
    <s v="High"/>
  </r>
  <r>
    <s v="MKT1277"/>
    <d v="2024-09-03T00:00:00"/>
    <s v="C267"/>
    <n v="50"/>
    <s v="Female"/>
    <x v="5"/>
    <x v="2"/>
    <x v="3"/>
    <n v="1911.15"/>
    <n v="36008"/>
    <n v="2636"/>
    <n v="236"/>
    <n v="1"/>
    <n v="7.3205954230000003"/>
    <n v="8.9529590290000005"/>
    <n v="1"/>
    <m/>
    <m/>
    <m/>
    <m/>
    <m/>
    <s v="Average Performer"/>
    <e v="#NAME?"/>
    <s v="High Budget"/>
    <n v="0.3"/>
    <s v="Inefficient Spend"/>
    <s v="Medium"/>
  </r>
  <r>
    <s v="MKT1278"/>
    <d v="2024-03-09T00:00:00"/>
    <s v="C347"/>
    <n v="57"/>
    <s v="Male"/>
    <x v="5"/>
    <x v="2"/>
    <x v="1"/>
    <n v="906.53"/>
    <n v="11617"/>
    <n v="4182"/>
    <n v="58"/>
    <n v="5"/>
    <n v="35.998967030000003"/>
    <n v="1.3868962220000001"/>
    <n v="5"/>
    <m/>
    <m/>
    <m/>
    <m/>
    <m/>
    <s v="Low Performer"/>
    <e v="#NAME?"/>
    <s v="Medium Budget"/>
    <n v="0.3"/>
    <s v="Efficient Spend"/>
    <s v="Medium"/>
  </r>
  <r>
    <s v="MKT1279"/>
    <d v="2024-08-26T00:00:00"/>
    <s v="C390"/>
    <n v="32"/>
    <s v="Female"/>
    <x v="1"/>
    <x v="0"/>
    <x v="3"/>
    <n v="1288.8900000000001"/>
    <n v="20561"/>
    <n v="132"/>
    <n v="70"/>
    <n v="4"/>
    <n v="0.64199212100000003"/>
    <n v="53.030303029999999"/>
    <n v="4"/>
    <m/>
    <m/>
    <m/>
    <m/>
    <m/>
    <s v="Low Performer"/>
    <e v="#NAME?"/>
    <s v="High Budget"/>
    <n v="0.5"/>
    <s v="Inefficient Spend"/>
    <s v="Medium"/>
  </r>
  <r>
    <s v="MKT1280"/>
    <d v="2024-04-12T00:00:00"/>
    <s v="C262"/>
    <n v="55"/>
    <s v="Male"/>
    <x v="5"/>
    <x v="3"/>
    <x v="2"/>
    <n v="893.86"/>
    <n v="41057"/>
    <n v="80"/>
    <n v="303"/>
    <n v="4"/>
    <n v="0.19485106099999999"/>
    <n v="378.75"/>
    <n v="4"/>
    <m/>
    <m/>
    <m/>
    <m/>
    <m/>
    <s v="Low Performer"/>
    <e v="#NAME?"/>
    <s v="Medium Budget"/>
    <n v="0.75"/>
    <s v="Inefficient Spend"/>
    <s v="High"/>
  </r>
  <r>
    <s v="MKT1281"/>
    <d v="2024-07-24T00:00:00"/>
    <s v="C339"/>
    <n v="57"/>
    <s v="Male"/>
    <x v="3"/>
    <x v="1"/>
    <x v="0"/>
    <n v="793.31"/>
    <n v="49542"/>
    <n v="2177"/>
    <n v="60"/>
    <n v="3"/>
    <n v="4.3942513419999996"/>
    <n v="2.756086357"/>
    <n v="3"/>
    <m/>
    <m/>
    <m/>
    <m/>
    <m/>
    <s v="Low Performer"/>
    <e v="#NAME?"/>
    <s v="Medium Budget"/>
    <n v="1.2"/>
    <s v="Efficient Spend"/>
    <s v="High"/>
  </r>
  <r>
    <s v="MKT1282"/>
    <d v="2024-11-06T00:00:00"/>
    <s v="C270"/>
    <n v="32"/>
    <s v="Female"/>
    <x v="0"/>
    <x v="1"/>
    <x v="0"/>
    <n v="353.31"/>
    <n v="25212"/>
    <n v="2092"/>
    <n v="185"/>
    <n v="3"/>
    <n v="8.2976360459999992"/>
    <n v="8.8432122369999995"/>
    <n v="3"/>
    <m/>
    <m/>
    <m/>
    <m/>
    <m/>
    <s v="Average Performer"/>
    <e v="#NAME?"/>
    <s v="Low Budget"/>
    <n v="1.2"/>
    <s v="Efficient Spend"/>
    <s v="High"/>
  </r>
  <r>
    <s v="MKT1283"/>
    <d v="2024-03-29T00:00:00"/>
    <s v="C207"/>
    <n v="45"/>
    <s v="Other"/>
    <x v="5"/>
    <x v="3"/>
    <x v="2"/>
    <n v="1594"/>
    <n v="39454"/>
    <n v="4754"/>
    <n v="29"/>
    <n v="2"/>
    <n v="12.049475340000001"/>
    <n v="0.61001262099999998"/>
    <n v="2"/>
    <m/>
    <m/>
    <m/>
    <m/>
    <m/>
    <s v="Low Performer"/>
    <e v="#NAME?"/>
    <s v="High Budget"/>
    <n v="0.75"/>
    <s v="Efficient Spend"/>
    <s v="High"/>
  </r>
  <r>
    <s v="MKT1284"/>
    <d v="2024-04-01T00:00:00"/>
    <s v="C269"/>
    <n v="20"/>
    <s v="Other"/>
    <x v="5"/>
    <x v="1"/>
    <x v="2"/>
    <n v="1752.29"/>
    <n v="31606"/>
    <n v="672"/>
    <n v="183"/>
    <m/>
    <n v="2.1261785739999999"/>
    <n v="27.23214286"/>
    <n v="3"/>
    <m/>
    <m/>
    <m/>
    <m/>
    <m/>
    <s v="Low Performer"/>
    <e v="#NAME?"/>
    <s v="High Budget"/>
    <n v="1.2"/>
    <s v="Inefficient Spend"/>
    <s v="High"/>
  </r>
  <r>
    <s v="MKT1285"/>
    <d v="2024-01-17T00:00:00"/>
    <s v="C385"/>
    <n v="35"/>
    <s v="Female"/>
    <x v="4"/>
    <x v="3"/>
    <x v="3"/>
    <n v="193.59"/>
    <n v="22693"/>
    <n v="1026"/>
    <n v="373"/>
    <n v="5"/>
    <n v="4.5212179969999999"/>
    <n v="36.354775830000001"/>
    <n v="5"/>
    <m/>
    <m/>
    <m/>
    <m/>
    <m/>
    <s v="Average Performer"/>
    <e v="#NAME?"/>
    <s v="Low Budget"/>
    <n v="0.75"/>
    <s v="Efficient Spend"/>
    <s v="Medium"/>
  </r>
  <r>
    <s v="MKT1286"/>
    <d v="2024-05-13T00:00:00"/>
    <s v="C356"/>
    <n v="19"/>
    <s v="Male"/>
    <x v="4"/>
    <x v="0"/>
    <x v="2"/>
    <n v="1588.33"/>
    <n v="7116"/>
    <n v="3602"/>
    <n v="117"/>
    <n v="4"/>
    <n v="50.618324899999998"/>
    <n v="3.2481954470000001"/>
    <n v="4"/>
    <m/>
    <m/>
    <m/>
    <m/>
    <m/>
    <s v="Average Performer"/>
    <e v="#NAME?"/>
    <s v="High Budget"/>
    <n v="0.5"/>
    <s v="Efficient Spend"/>
    <s v="High"/>
  </r>
  <r>
    <s v="MKT1287"/>
    <d v="2024-04-14T00:00:00"/>
    <s v="C302"/>
    <n v="64"/>
    <s v="Other"/>
    <x v="2"/>
    <x v="1"/>
    <x v="3"/>
    <n v="182.5"/>
    <n v="7864"/>
    <n v="4423"/>
    <n v="371"/>
    <n v="5"/>
    <n v="56.243641910000001"/>
    <n v="8.3879719650000002"/>
    <n v="5"/>
    <m/>
    <m/>
    <m/>
    <m/>
    <m/>
    <s v="Top Performer"/>
    <e v="#NAME?"/>
    <s v="Low Budget"/>
    <n v="1.2"/>
    <s v="Efficient Spend"/>
    <s v="Medium"/>
  </r>
  <r>
    <s v="MKT1288"/>
    <d v="2024-04-03T00:00:00"/>
    <s v="C399"/>
    <n v="20"/>
    <s v="Female"/>
    <x v="3"/>
    <x v="3"/>
    <x v="1"/>
    <n v="950.76"/>
    <n v="25485"/>
    <n v="3308"/>
    <n v="50"/>
    <n v="2"/>
    <n v="12.980184420000001"/>
    <n v="1.5114873040000001"/>
    <n v="2"/>
    <m/>
    <m/>
    <m/>
    <m/>
    <m/>
    <s v="Low Performer"/>
    <e v="#NAME?"/>
    <s v="Medium Budget"/>
    <n v="0.75"/>
    <s v="Efficient Spend"/>
    <s v="Medium"/>
  </r>
  <r>
    <s v="MKT1289"/>
    <d v="2024-03-14T00:00:00"/>
    <s v="C358"/>
    <n v="48"/>
    <s v="Other"/>
    <x v="3"/>
    <x v="2"/>
    <x v="3"/>
    <n v="679.15"/>
    <n v="14524"/>
    <n v="653"/>
    <n v="48"/>
    <n v="4"/>
    <n v="4.4960066100000002"/>
    <n v="7.3506891269999999"/>
    <n v="4"/>
    <m/>
    <m/>
    <m/>
    <m/>
    <m/>
    <s v="Low Performer"/>
    <e v="#NAME?"/>
    <s v="Medium Budget"/>
    <n v="0.3"/>
    <s v="Inefficient Spend"/>
    <s v="Medium"/>
  </r>
  <r>
    <s v="MKT1290"/>
    <d v="2024-07-02T00:00:00"/>
    <s v="C281"/>
    <n v="27"/>
    <s v="Female"/>
    <x v="0"/>
    <x v="4"/>
    <x v="1"/>
    <n v="233.28"/>
    <n v="22861"/>
    <n v="2657"/>
    <n v="298"/>
    <m/>
    <n v="11.622413720000001"/>
    <n v="11.21565676"/>
    <n v="3"/>
    <m/>
    <m/>
    <m/>
    <m/>
    <m/>
    <s v="Average Performer"/>
    <e v="#NAME?"/>
    <s v="Low Budget"/>
    <n v="0.2"/>
    <s v="Efficient Spend"/>
    <s v="Medium"/>
  </r>
  <r>
    <s v="MKT1291"/>
    <d v="2024-10-22T00:00:00"/>
    <s v="C361"/>
    <n v="41"/>
    <s v="Male"/>
    <x v="6"/>
    <x v="0"/>
    <x v="2"/>
    <n v="1175.3499999999999"/>
    <n v="18946"/>
    <n v="838"/>
    <n v="10"/>
    <m/>
    <n v="4.4230972240000002"/>
    <n v="1.193317422"/>
    <n v="3"/>
    <m/>
    <m/>
    <m/>
    <m/>
    <m/>
    <s v="Low Performer"/>
    <e v="#NAME?"/>
    <s v="High Budget"/>
    <n v="0.5"/>
    <s v="Inefficient Spend"/>
    <s v="High"/>
  </r>
  <r>
    <s v="MKT1292"/>
    <d v="2024-07-25T00:00:00"/>
    <s v="C332"/>
    <n v="22"/>
    <s v="Other"/>
    <x v="0"/>
    <x v="2"/>
    <x v="1"/>
    <n v="1163.9000000000001"/>
    <n v="29133"/>
    <n v="559"/>
    <n v="327"/>
    <n v="3"/>
    <n v="1.918786256"/>
    <n v="58.497316640000001"/>
    <n v="3"/>
    <m/>
    <m/>
    <m/>
    <m/>
    <m/>
    <s v="Low Performer"/>
    <e v="#NAME?"/>
    <s v="High Budget"/>
    <n v="0.3"/>
    <s v="Inefficient Spend"/>
    <s v="Medium"/>
  </r>
  <r>
    <s v="MKT1293"/>
    <d v="2024-07-09T00:00:00"/>
    <s v="C325"/>
    <n v="63"/>
    <s v="Other"/>
    <x v="3"/>
    <x v="4"/>
    <x v="3"/>
    <n v="1193.5999999999999"/>
    <n v="34719"/>
    <n v="2037"/>
    <n v="287"/>
    <n v="4"/>
    <n v="5.8671044669999999"/>
    <n v="14.08934708"/>
    <n v="4"/>
    <m/>
    <m/>
    <m/>
    <m/>
    <m/>
    <s v="Average Performer"/>
    <e v="#NAME?"/>
    <s v="High Budget"/>
    <n v="0.2"/>
    <s v="Inefficient Spend"/>
    <s v="Medium"/>
  </r>
  <r>
    <s v="MKT1294"/>
    <d v="2024-02-07T00:00:00"/>
    <s v="C325"/>
    <n v="62"/>
    <s v="Male"/>
    <x v="3"/>
    <x v="2"/>
    <x v="2"/>
    <n v="941.1"/>
    <n v="33872"/>
    <n v="372"/>
    <n v="191"/>
    <n v="2"/>
    <n v="1.098252244"/>
    <n v="51.344086019999999"/>
    <n v="2"/>
    <m/>
    <m/>
    <m/>
    <m/>
    <m/>
    <s v="Low Performer"/>
    <e v="#NAME?"/>
    <s v="Medium Budget"/>
    <n v="0.3"/>
    <s v="Inefficient Spend"/>
    <s v="High"/>
  </r>
  <r>
    <s v="MKT1295"/>
    <d v="2024-12-08T00:00:00"/>
    <s v="C280"/>
    <n v="54"/>
    <s v="Female"/>
    <x v="0"/>
    <x v="3"/>
    <x v="1"/>
    <n v="1971.95"/>
    <n v="11792"/>
    <n v="4428"/>
    <n v="60"/>
    <n v="5"/>
    <n v="37.550881949999997"/>
    <n v="1.35501355"/>
    <n v="5"/>
    <m/>
    <m/>
    <m/>
    <m/>
    <m/>
    <s v="Low Performer"/>
    <e v="#NAME?"/>
    <s v="High Budget"/>
    <n v="0.75"/>
    <s v="Efficient Spend"/>
    <s v="Medium"/>
  </r>
  <r>
    <s v="MKT1296"/>
    <d v="2024-08-29T00:00:00"/>
    <s v="C262"/>
    <n v="48"/>
    <s v="Other"/>
    <x v="0"/>
    <x v="2"/>
    <x v="2"/>
    <n v="640.09"/>
    <n v="28230"/>
    <n v="3058"/>
    <n v="324"/>
    <n v="5"/>
    <n v="10.83244775"/>
    <n v="10.59516024"/>
    <n v="5"/>
    <m/>
    <m/>
    <m/>
    <m/>
    <m/>
    <s v="Top Performer"/>
    <e v="#NAME?"/>
    <s v="Medium Budget"/>
    <n v="0.3"/>
    <s v="Efficient Spend"/>
    <s v="High"/>
  </r>
  <r>
    <s v="MKT1297"/>
    <d v="2024-10-29T00:00:00"/>
    <s v="C341"/>
    <n v="34"/>
    <s v="Female"/>
    <x v="5"/>
    <x v="2"/>
    <x v="0"/>
    <n v="1245.4100000000001"/>
    <n v="14446"/>
    <n v="4601"/>
    <n v="315"/>
    <n v="3"/>
    <n v="31.849646960000001"/>
    <n v="6.8463377530000002"/>
    <n v="3"/>
    <m/>
    <m/>
    <m/>
    <m/>
    <m/>
    <s v="Top Performer"/>
    <e v="#NAME?"/>
    <s v="High Budget"/>
    <n v="0.3"/>
    <s v="Efficient Spend"/>
    <s v="High"/>
  </r>
  <r>
    <s v="MKT1298"/>
    <d v="2024-09-22T00:00:00"/>
    <s v="C201"/>
    <n v="23"/>
    <s v="Male"/>
    <x v="0"/>
    <x v="4"/>
    <x v="0"/>
    <n v="199.16"/>
    <n v="33698"/>
    <n v="4008"/>
    <n v="344"/>
    <n v="4"/>
    <n v="11.893880940000001"/>
    <n v="8.5828343310000008"/>
    <n v="4"/>
    <m/>
    <m/>
    <m/>
    <m/>
    <m/>
    <s v="Top Performer"/>
    <e v="#NAME?"/>
    <s v="Low Budget"/>
    <n v="0.2"/>
    <s v="Efficient Spend"/>
    <s v="High"/>
  </r>
  <r>
    <s v="MKT1299"/>
    <d v="2024-06-12T00:00:00"/>
    <s v="C256"/>
    <n v="57"/>
    <s v="Other"/>
    <x v="2"/>
    <x v="0"/>
    <x v="3"/>
    <n v="145.68"/>
    <n v="19221"/>
    <n v="404"/>
    <n v="22"/>
    <n v="5"/>
    <n v="2.1018677490000002"/>
    <n v="5.4455445539999996"/>
    <n v="5"/>
    <m/>
    <m/>
    <m/>
    <m/>
    <m/>
    <s v="Low Performer"/>
    <e v="#NAME?"/>
    <s v="Low Budget"/>
    <n v="0.5"/>
    <s v="Efficient Spend"/>
    <s v="Medium"/>
  </r>
  <r>
    <s v="MKT1300"/>
    <d v="2024-01-16T00:00:00"/>
    <s v="C390"/>
    <n v="63"/>
    <s v="Male"/>
    <x v="0"/>
    <x v="1"/>
    <x v="3"/>
    <n v="1982.36"/>
    <n v="47781"/>
    <n v="4092"/>
    <n v="25"/>
    <n v="4"/>
    <n v="8.5640735859999992"/>
    <n v="0.61094819199999995"/>
    <n v="4"/>
    <m/>
    <m/>
    <m/>
    <m/>
    <m/>
    <s v="Low Performer"/>
    <e v="#NAME?"/>
    <s v="High Budget"/>
    <n v="1.2"/>
    <s v="Efficient Spend"/>
    <s v="Medium"/>
  </r>
  <r>
    <s v="MKT1301"/>
    <d v="2024-06-09T00:00:00"/>
    <s v="C242"/>
    <n v="19"/>
    <s v="Female"/>
    <x v="5"/>
    <x v="1"/>
    <x v="1"/>
    <n v="1223.1400000000001"/>
    <n v="1853"/>
    <n v="3700"/>
    <n v="150"/>
    <n v="3"/>
    <n v="199.6762008"/>
    <n v="4.0540540539999999"/>
    <n v="3"/>
    <m/>
    <m/>
    <m/>
    <m/>
    <n v="0"/>
    <s v="Average Performer"/>
    <e v="#NAME?"/>
    <s v="High Budget"/>
    <n v="1.2"/>
    <s v="Efficient Spend"/>
    <s v="Medium"/>
  </r>
  <r>
    <s v="MKT1302"/>
    <d v="2024-12-21T00:00:00"/>
    <s v="C330"/>
    <n v="44"/>
    <s v="Other"/>
    <x v="4"/>
    <x v="3"/>
    <x v="1"/>
    <n v="362.4"/>
    <n v="7548"/>
    <n v="896"/>
    <n v="352"/>
    <n v="4"/>
    <n v="11.870694220000001"/>
    <n v="39.285714290000001"/>
    <n v="4"/>
    <m/>
    <m/>
    <m/>
    <m/>
    <m/>
    <s v="Low Performer"/>
    <e v="#NAME?"/>
    <s v="Low Budget"/>
    <n v="0.75"/>
    <s v="Efficient Spend"/>
    <s v="Medium"/>
  </r>
  <r>
    <s v="MKT1303"/>
    <d v="2024-07-17T00:00:00"/>
    <s v="C240"/>
    <n v="50"/>
    <s v="Male"/>
    <x v="0"/>
    <x v="2"/>
    <x v="3"/>
    <n v="682.86"/>
    <n v="21436"/>
    <n v="3402"/>
    <n v="55"/>
    <n v="1"/>
    <n v="15.870498230000001"/>
    <n v="1.6166960610000001"/>
    <n v="1"/>
    <m/>
    <m/>
    <m/>
    <m/>
    <m/>
    <s v="Low Performer"/>
    <e v="#NAME?"/>
    <s v="Medium Budget"/>
    <n v="0.3"/>
    <s v="Efficient Spend"/>
    <s v="Medium"/>
  </r>
  <r>
    <s v="MKT1304"/>
    <d v="2024-07-31T00:00:00"/>
    <s v="C391"/>
    <n v="31"/>
    <s v="Female"/>
    <x v="4"/>
    <x v="0"/>
    <x v="0"/>
    <n v="1844.59"/>
    <n v="5522"/>
    <n v="1730"/>
    <n v="326"/>
    <n v="1"/>
    <n v="31.329228539999999"/>
    <n v="18.84393064"/>
    <n v="1"/>
    <m/>
    <m/>
    <m/>
    <m/>
    <m/>
    <s v="Average Performer"/>
    <e v="#NAME?"/>
    <s v="High Budget"/>
    <n v="0.5"/>
    <s v="Inefficient Spend"/>
    <s v="High"/>
  </r>
  <r>
    <s v="MKT1305"/>
    <d v="2024-02-03T00:00:00"/>
    <s v="C388"/>
    <n v="29"/>
    <s v="Other"/>
    <x v="0"/>
    <x v="3"/>
    <x v="2"/>
    <n v="550.41"/>
    <n v="4042"/>
    <n v="600"/>
    <n v="370"/>
    <n v="1"/>
    <n v="14.84413657"/>
    <n v="61.666666669999998"/>
    <n v="1"/>
    <m/>
    <m/>
    <m/>
    <m/>
    <m/>
    <s v="Low Performer"/>
    <e v="#NAME?"/>
    <s v="Medium Budget"/>
    <n v="0.75"/>
    <s v="Inefficient Spend"/>
    <s v="High"/>
  </r>
  <r>
    <s v="MKT1306"/>
    <d v="2024-01-22T00:00:00"/>
    <s v="C223"/>
    <n v="57"/>
    <s v="Other"/>
    <x v="5"/>
    <x v="0"/>
    <x v="0"/>
    <n v="1590.02"/>
    <n v="19755"/>
    <n v="2156"/>
    <n v="305"/>
    <n v="3"/>
    <n v="10.91369274"/>
    <n v="14.14656772"/>
    <n v="3"/>
    <m/>
    <m/>
    <m/>
    <m/>
    <m/>
    <s v="Average Performer"/>
    <e v="#NAME?"/>
    <s v="High Budget"/>
    <n v="0.5"/>
    <s v="Inefficient Spend"/>
    <s v="High"/>
  </r>
  <r>
    <s v="MKT1307"/>
    <d v="2024-11-18T00:00:00"/>
    <s v="C372"/>
    <n v="29"/>
    <s v="Male"/>
    <x v="0"/>
    <x v="0"/>
    <x v="2"/>
    <n v="1362.88"/>
    <n v="41551"/>
    <n v="3514"/>
    <n v="271"/>
    <n v="1"/>
    <n v="8.4570768449999996"/>
    <n v="7.712009106"/>
    <n v="1"/>
    <m/>
    <m/>
    <m/>
    <m/>
    <m/>
    <s v="Top Performer"/>
    <e v="#NAME?"/>
    <s v="High Budget"/>
    <n v="0.5"/>
    <s v="Efficient Spend"/>
    <s v="High"/>
  </r>
  <r>
    <s v="MKT1308"/>
    <d v="2024-09-24T00:00:00"/>
    <s v="C340"/>
    <n v="51"/>
    <s v="Other"/>
    <x v="1"/>
    <x v="2"/>
    <x v="1"/>
    <n v="263.88"/>
    <n v="25024"/>
    <n v="2978"/>
    <n v="382"/>
    <n v="4"/>
    <n v="11.90057545"/>
    <n v="12.82740094"/>
    <n v="4"/>
    <m/>
    <m/>
    <m/>
    <m/>
    <m/>
    <s v="Average Performer"/>
    <e v="#NAME?"/>
    <s v="Low Budget"/>
    <n v="0.3"/>
    <s v="Efficient Spend"/>
    <s v="Medium"/>
  </r>
  <r>
    <s v="MKT1309"/>
    <d v="2024-10-30T00:00:00"/>
    <s v="C383"/>
    <n v="55"/>
    <s v="Other"/>
    <x v="1"/>
    <x v="3"/>
    <x v="1"/>
    <n v="55"/>
    <n v="6377"/>
    <n v="4662"/>
    <n v="221"/>
    <n v="4"/>
    <n v="73.106476400000005"/>
    <n v="4.7404547399999997"/>
    <n v="4"/>
    <m/>
    <m/>
    <m/>
    <m/>
    <m/>
    <s v="Top Performer"/>
    <e v="#NAME?"/>
    <s v="Low Budget"/>
    <n v="0.75"/>
    <s v="Efficient Spend"/>
    <s v="Medium"/>
  </r>
  <r>
    <s v="MKT1310"/>
    <d v="2024-05-19T00:00:00"/>
    <s v="C285"/>
    <n v="42"/>
    <s v="Female"/>
    <x v="4"/>
    <x v="1"/>
    <x v="1"/>
    <n v="1944.39"/>
    <n v="10605"/>
    <n v="643"/>
    <n v="200"/>
    <n v="4"/>
    <n v="6.063177746"/>
    <n v="31.10419907"/>
    <n v="4"/>
    <m/>
    <m/>
    <m/>
    <m/>
    <m/>
    <s v="Low Performer"/>
    <e v="#NAME?"/>
    <s v="High Budget"/>
    <n v="1.2"/>
    <s v="Inefficient Spend"/>
    <s v="Medium"/>
  </r>
  <r>
    <s v="MKT1311"/>
    <d v="2024-02-06T00:00:00"/>
    <s v="C298"/>
    <n v="44"/>
    <s v="Other"/>
    <x v="2"/>
    <x v="1"/>
    <x v="0"/>
    <n v="849.28"/>
    <n v="3413"/>
    <n v="2626"/>
    <n v="347"/>
    <n v="1"/>
    <n v="76.941107529999996"/>
    <n v="13.21401371"/>
    <n v="1"/>
    <m/>
    <m/>
    <m/>
    <m/>
    <m/>
    <s v="Average Performer"/>
    <e v="#NAME?"/>
    <s v="Medium Budget"/>
    <n v="1.2"/>
    <s v="Efficient Spend"/>
    <s v="High"/>
  </r>
  <r>
    <s v="MKT1312"/>
    <d v="2024-08-25T00:00:00"/>
    <s v="C223"/>
    <n v="38"/>
    <s v="Other"/>
    <x v="2"/>
    <x v="3"/>
    <x v="2"/>
    <n v="1117.8699999999999"/>
    <n v="23129"/>
    <n v="3979"/>
    <n v="19"/>
    <n v="5"/>
    <n v="17.203510739999999"/>
    <n v="0.47750691099999998"/>
    <n v="5"/>
    <m/>
    <m/>
    <m/>
    <m/>
    <m/>
    <s v="Low Performer"/>
    <e v="#NAME?"/>
    <s v="High Budget"/>
    <n v="0.75"/>
    <s v="Efficient Spend"/>
    <s v="High"/>
  </r>
  <r>
    <s v="MKT1313"/>
    <d v="2024-06-20T00:00:00"/>
    <s v="C258"/>
    <n v="50"/>
    <s v="Female"/>
    <x v="0"/>
    <x v="3"/>
    <x v="0"/>
    <n v="193.19"/>
    <n v="25526"/>
    <n v="4639"/>
    <n v="187"/>
    <n v="4"/>
    <n v="18.173626890000001"/>
    <n v="4.0310411730000002"/>
    <n v="4"/>
    <m/>
    <m/>
    <m/>
    <m/>
    <m/>
    <s v="Average Performer"/>
    <e v="#NAME?"/>
    <s v="Low Budget"/>
    <n v="0.75"/>
    <s v="Efficient Spend"/>
    <s v="High"/>
  </r>
  <r>
    <s v="MKT1314"/>
    <d v="2024-09-10T00:00:00"/>
    <s v="C329"/>
    <n v="56"/>
    <s v="Female"/>
    <x v="3"/>
    <x v="1"/>
    <x v="0"/>
    <n v="1845.57"/>
    <n v="10640"/>
    <n v="2599"/>
    <n v="313"/>
    <n v="1"/>
    <n v="24.426691730000002"/>
    <n v="12.043093499999999"/>
    <n v="1"/>
    <m/>
    <m/>
    <m/>
    <m/>
    <m/>
    <s v="Average Performer"/>
    <e v="#NAME?"/>
    <s v="High Budget"/>
    <n v="1.2"/>
    <s v="Efficient Spend"/>
    <s v="High"/>
  </r>
  <r>
    <s v="MKT1315"/>
    <d v="2024-07-18T00:00:00"/>
    <s v="C386"/>
    <n v="46"/>
    <s v="Female"/>
    <x v="1"/>
    <x v="1"/>
    <x v="2"/>
    <n v="54.73"/>
    <n v="1362"/>
    <n v="4365"/>
    <n v="240"/>
    <n v="4"/>
    <n v="320.48458149999999"/>
    <n v="5.4982817869999998"/>
    <n v="4"/>
    <m/>
    <m/>
    <m/>
    <m/>
    <n v="0"/>
    <s v="Top Performer"/>
    <e v="#NAME?"/>
    <s v="Low Budget"/>
    <n v="1.2"/>
    <s v="Efficient Spend"/>
    <s v="High"/>
  </r>
  <r>
    <s v="MKT1316"/>
    <d v="2024-11-05T00:00:00"/>
    <s v="C294"/>
    <n v="36"/>
    <s v="Female"/>
    <x v="1"/>
    <x v="0"/>
    <x v="2"/>
    <n v="656.01"/>
    <n v="40602"/>
    <n v="3417"/>
    <n v="74"/>
    <n v="2"/>
    <n v="8.4158415840000007"/>
    <n v="2.1656423760000001"/>
    <n v="2"/>
    <m/>
    <m/>
    <m/>
    <m/>
    <m/>
    <s v="Low Performer"/>
    <e v="#NAME?"/>
    <s v="Medium Budget"/>
    <n v="0.5"/>
    <s v="Efficient Spend"/>
    <s v="High"/>
  </r>
  <r>
    <s v="MKT1317"/>
    <d v="2024-09-20T00:00:00"/>
    <s v="C223"/>
    <n v="19"/>
    <s v="Male"/>
    <x v="5"/>
    <x v="0"/>
    <x v="1"/>
    <n v="771.12"/>
    <n v="35950"/>
    <n v="754"/>
    <n v="298"/>
    <m/>
    <n v="2.0973574410000002"/>
    <n v="39.522546419999998"/>
    <n v="3"/>
    <m/>
    <m/>
    <m/>
    <m/>
    <m/>
    <s v="Low Performer"/>
    <e v="#NAME?"/>
    <s v="Medium Budget"/>
    <n v="0.5"/>
    <s v="Inefficient Spend"/>
    <s v="Medium"/>
  </r>
  <r>
    <s v="MKT1318"/>
    <d v="2024-05-06T00:00:00"/>
    <s v="C220"/>
    <n v="62"/>
    <s v="Female"/>
    <x v="1"/>
    <x v="2"/>
    <x v="1"/>
    <n v="1621.86"/>
    <n v="18370"/>
    <n v="2095"/>
    <n v="374"/>
    <n v="5"/>
    <n v="11.4044638"/>
    <n v="17.85202864"/>
    <n v="5"/>
    <m/>
    <m/>
    <m/>
    <m/>
    <m/>
    <s v="Average Performer"/>
    <e v="#NAME?"/>
    <s v="High Budget"/>
    <n v="0.3"/>
    <s v="Inefficient Spend"/>
    <s v="Medium"/>
  </r>
  <r>
    <s v="MKT1319"/>
    <d v="2024-10-02T00:00:00"/>
    <s v="C229"/>
    <n v="28"/>
    <s v="Other"/>
    <x v="3"/>
    <x v="2"/>
    <x v="1"/>
    <n v="1657.74"/>
    <n v="45259"/>
    <n v="3473"/>
    <n v="14"/>
    <n v="4"/>
    <n v="7.673611878"/>
    <n v="0.40310970299999999"/>
    <n v="4"/>
    <m/>
    <m/>
    <m/>
    <m/>
    <m/>
    <s v="Low Performer"/>
    <e v="#NAME?"/>
    <s v="High Budget"/>
    <n v="0.3"/>
    <s v="Inefficient Spend"/>
    <s v="Medium"/>
  </r>
  <r>
    <s v="MKT1320"/>
    <d v="2024-12-08T00:00:00"/>
    <s v="C254"/>
    <n v="28"/>
    <s v="Female"/>
    <x v="1"/>
    <x v="3"/>
    <x v="0"/>
    <n v="1996.02"/>
    <n v="28638"/>
    <n v="3786"/>
    <n v="14"/>
    <n v="3"/>
    <n v="13.220196939999999"/>
    <n v="0.36978341300000001"/>
    <n v="3"/>
    <m/>
    <m/>
    <m/>
    <m/>
    <m/>
    <s v="Low Performer"/>
    <e v="#NAME?"/>
    <s v="High Budget"/>
    <n v="0.75"/>
    <s v="Efficient Spend"/>
    <s v="High"/>
  </r>
  <r>
    <s v="MKT1321"/>
    <d v="2024-10-28T00:00:00"/>
    <s v="C387"/>
    <n v="41"/>
    <s v="Male"/>
    <x v="6"/>
    <x v="1"/>
    <x v="3"/>
    <n v="367.06"/>
    <n v="30017"/>
    <n v="2843"/>
    <n v="32"/>
    <m/>
    <n v="9.4712995969999998"/>
    <n v="1.125571579"/>
    <n v="3"/>
    <m/>
    <m/>
    <m/>
    <m/>
    <m/>
    <s v="Low Performer"/>
    <e v="#NAME?"/>
    <s v="Low Budget"/>
    <n v="1.2"/>
    <s v="Efficient Spend"/>
    <s v="Medium"/>
  </r>
  <r>
    <s v="MKT1322"/>
    <d v="2024-08-15T00:00:00"/>
    <s v="C313"/>
    <n v="20"/>
    <s v="Other"/>
    <x v="0"/>
    <x v="1"/>
    <x v="1"/>
    <n v="253.87"/>
    <n v="42686"/>
    <n v="4661"/>
    <n v="139"/>
    <n v="3"/>
    <n v="10.91927096"/>
    <n v="2.9821926630000002"/>
    <n v="3"/>
    <m/>
    <m/>
    <m/>
    <m/>
    <m/>
    <s v="Average Performer"/>
    <e v="#NAME?"/>
    <s v="Low Budget"/>
    <n v="1.2"/>
    <s v="Efficient Spend"/>
    <s v="Medium"/>
  </r>
  <r>
    <s v="MKT1323"/>
    <d v="2024-12-03T00:00:00"/>
    <s v="C282"/>
    <n v="41"/>
    <s v="Other"/>
    <x v="6"/>
    <x v="4"/>
    <x v="2"/>
    <n v="1347.23"/>
    <n v="6445"/>
    <n v="663"/>
    <n v="259"/>
    <m/>
    <n v="10.28704422"/>
    <n v="39.064856710000001"/>
    <n v="3"/>
    <m/>
    <m/>
    <m/>
    <m/>
    <m/>
    <s v="Low Performer"/>
    <e v="#NAME?"/>
    <s v="High Budget"/>
    <n v="0.2"/>
    <s v="Inefficient Spend"/>
    <s v="High"/>
  </r>
  <r>
    <s v="MKT1324"/>
    <d v="2024-02-03T00:00:00"/>
    <s v="C338"/>
    <n v="57"/>
    <s v="Female"/>
    <x v="2"/>
    <x v="0"/>
    <x v="0"/>
    <n v="562.35"/>
    <n v="20092"/>
    <n v="4423"/>
    <n v="269"/>
    <m/>
    <n v="22.013736810000001"/>
    <n v="6.0818449020000003"/>
    <n v="3"/>
    <m/>
    <m/>
    <m/>
    <m/>
    <m/>
    <s v="Top Performer"/>
    <e v="#NAME?"/>
    <s v="Medium Budget"/>
    <n v="0.5"/>
    <s v="Efficient Spend"/>
    <s v="High"/>
  </r>
  <r>
    <s v="MKT1325"/>
    <d v="2024-09-21T00:00:00"/>
    <s v="C297"/>
    <n v="49"/>
    <s v="Female"/>
    <x v="4"/>
    <x v="3"/>
    <x v="0"/>
    <n v="1617.05"/>
    <n v="37943"/>
    <n v="2543"/>
    <n v="237"/>
    <n v="3"/>
    <n v="6.7021585010000004"/>
    <n v="9.3197011399999994"/>
    <n v="3"/>
    <m/>
    <m/>
    <m/>
    <m/>
    <m/>
    <s v="Average Performer"/>
    <e v="#NAME?"/>
    <s v="High Budget"/>
    <n v="0.75"/>
    <s v="Efficient Spend"/>
    <s v="High"/>
  </r>
  <r>
    <s v="MKT1326"/>
    <d v="2024-07-26T00:00:00"/>
    <s v="C385"/>
    <n v="33"/>
    <s v="Female"/>
    <x v="4"/>
    <x v="0"/>
    <x v="0"/>
    <n v="1601.65"/>
    <n v="7582"/>
    <n v="1960"/>
    <n v="133"/>
    <m/>
    <n v="25.85069902"/>
    <n v="6.7857142860000002"/>
    <n v="3"/>
    <m/>
    <m/>
    <m/>
    <m/>
    <m/>
    <s v="Average Performer"/>
    <e v="#NAME?"/>
    <s v="High Budget"/>
    <n v="0.5"/>
    <s v="Inefficient Spend"/>
    <s v="High"/>
  </r>
  <r>
    <s v="MKT1327"/>
    <d v="2024-10-01T00:00:00"/>
    <s v="C278"/>
    <n v="63"/>
    <s v="Other"/>
    <x v="2"/>
    <x v="4"/>
    <x v="2"/>
    <n v="1623.58"/>
    <n v="44860"/>
    <n v="3405"/>
    <n v="66"/>
    <n v="2"/>
    <n v="7.5902808740000003"/>
    <n v="1.9383259909999999"/>
    <n v="2"/>
    <m/>
    <m/>
    <m/>
    <m/>
    <m/>
    <s v="Low Performer"/>
    <e v="#NAME?"/>
    <s v="High Budget"/>
    <n v="0.2"/>
    <s v="Inefficient Spend"/>
    <s v="High"/>
  </r>
  <r>
    <s v="MKT1328"/>
    <d v="2024-03-22T00:00:00"/>
    <s v="C215"/>
    <n v="24"/>
    <s v="Male"/>
    <x v="3"/>
    <x v="0"/>
    <x v="2"/>
    <n v="1136.05"/>
    <n v="48928"/>
    <n v="3395"/>
    <n v="284"/>
    <n v="4"/>
    <n v="6.938767168"/>
    <n v="8.3652430039999999"/>
    <n v="4"/>
    <m/>
    <m/>
    <m/>
    <m/>
    <m/>
    <s v="Top Performer"/>
    <e v="#NAME?"/>
    <s v="High Budget"/>
    <n v="0.5"/>
    <s v="Efficient Spend"/>
    <s v="High"/>
  </r>
  <r>
    <s v="MKT1329"/>
    <d v="2024-04-13T00:00:00"/>
    <s v="C290"/>
    <n v="38"/>
    <s v="Other"/>
    <x v="1"/>
    <x v="1"/>
    <x v="3"/>
    <n v="637.69000000000005"/>
    <n v="37281"/>
    <n v="12"/>
    <n v="36"/>
    <n v="2"/>
    <n v="3.2187977999999999E-2"/>
    <n v="300"/>
    <n v="2"/>
    <m/>
    <m/>
    <m/>
    <m/>
    <m/>
    <s v="Low Performer"/>
    <e v="#NAME?"/>
    <s v="Medium Budget"/>
    <n v="1.2"/>
    <s v="Inefficient Spend"/>
    <s v="Medium"/>
  </r>
  <r>
    <s v="MKT1330"/>
    <d v="2024-03-13T00:00:00"/>
    <s v="C331"/>
    <n v="40"/>
    <s v="Other"/>
    <x v="4"/>
    <x v="4"/>
    <x v="1"/>
    <n v="1389.83"/>
    <n v="18352"/>
    <n v="2262"/>
    <n v="193"/>
    <n v="3"/>
    <n v="12.32563208"/>
    <n v="8.5322723249999992"/>
    <n v="3"/>
    <m/>
    <m/>
    <m/>
    <m/>
    <m/>
    <s v="Average Performer"/>
    <e v="#NAME?"/>
    <s v="High Budget"/>
    <n v="0.2"/>
    <s v="Inefficient Spend"/>
    <s v="Medium"/>
  </r>
  <r>
    <s v="MKT1331"/>
    <d v="2024-06-01T00:00:00"/>
    <s v="C306"/>
    <n v="26"/>
    <s v="Female"/>
    <x v="5"/>
    <x v="4"/>
    <x v="3"/>
    <n v="127.84"/>
    <n v="25106"/>
    <n v="1866"/>
    <n v="128"/>
    <n v="5"/>
    <n v="7.432486258"/>
    <n v="6.8595927120000004"/>
    <n v="5"/>
    <m/>
    <m/>
    <m/>
    <m/>
    <m/>
    <s v="Average Performer"/>
    <e v="#NAME?"/>
    <s v="Low Budget"/>
    <n v="0.2"/>
    <s v="Efficient Spend"/>
    <s v="Medium"/>
  </r>
  <r>
    <s v="MKT1332"/>
    <d v="2024-09-25T00:00:00"/>
    <s v="C386"/>
    <n v="35"/>
    <s v="Female"/>
    <x v="4"/>
    <x v="1"/>
    <x v="3"/>
    <n v="218.24"/>
    <n v="15144"/>
    <n v="1155"/>
    <n v="199"/>
    <n v="1"/>
    <n v="7.6267828839999998"/>
    <n v="17.229437229999998"/>
    <n v="1"/>
    <m/>
    <m/>
    <m/>
    <m/>
    <m/>
    <s v="Average Performer"/>
    <e v="#NAME?"/>
    <s v="Low Budget"/>
    <n v="1.2"/>
    <s v="Efficient Spend"/>
    <s v="Medium"/>
  </r>
  <r>
    <s v="MKT1333"/>
    <d v="2024-06-26T00:00:00"/>
    <s v="C291"/>
    <n v="49"/>
    <s v="Male"/>
    <x v="1"/>
    <x v="0"/>
    <x v="1"/>
    <n v="956.32"/>
    <n v="16230"/>
    <n v="4973"/>
    <n v="134"/>
    <n v="1"/>
    <n v="30.640788659999998"/>
    <n v="2.6945505729999999"/>
    <n v="1"/>
    <m/>
    <m/>
    <m/>
    <m/>
    <m/>
    <s v="Average Performer"/>
    <e v="#NAME?"/>
    <s v="Medium Budget"/>
    <n v="0.5"/>
    <s v="Efficient Spend"/>
    <s v="Medium"/>
  </r>
  <r>
    <s v="MKT1334"/>
    <d v="2024-08-14T00:00:00"/>
    <s v="C231"/>
    <n v="25"/>
    <s v="Female"/>
    <x v="1"/>
    <x v="4"/>
    <x v="2"/>
    <n v="371.32"/>
    <n v="41033"/>
    <n v="2412"/>
    <n v="208"/>
    <n v="5"/>
    <n v="5.8781955989999997"/>
    <n v="8.6235489219999995"/>
    <n v="5"/>
    <m/>
    <m/>
    <m/>
    <m/>
    <m/>
    <s v="Average Performer"/>
    <e v="#NAME?"/>
    <s v="Low Budget"/>
    <n v="0.2"/>
    <s v="Efficient Spend"/>
    <s v="High"/>
  </r>
  <r>
    <s v="MKT1335"/>
    <d v="2024-07-14T00:00:00"/>
    <s v="C212"/>
    <n v="60"/>
    <s v="Male"/>
    <x v="5"/>
    <x v="0"/>
    <x v="3"/>
    <n v="64.86"/>
    <n v="37695"/>
    <n v="3584"/>
    <n v="15"/>
    <m/>
    <n v="9.5078922929999994"/>
    <n v="0.41852678599999998"/>
    <n v="3"/>
    <m/>
    <m/>
    <m/>
    <m/>
    <m/>
    <s v="Low Performer"/>
    <e v="#NAME?"/>
    <s v="Low Budget"/>
    <n v="0.5"/>
    <s v="Efficient Spend"/>
    <s v="Medium"/>
  </r>
  <r>
    <s v="MKT1336"/>
    <d v="2024-05-04T00:00:00"/>
    <s v="C321"/>
    <n v="27"/>
    <s v="Other"/>
    <x v="2"/>
    <x v="1"/>
    <x v="3"/>
    <n v="663.09"/>
    <n v="30158"/>
    <n v="954"/>
    <n v="95"/>
    <n v="1"/>
    <n v="3.163339744"/>
    <n v="9.9580712790000003"/>
    <n v="1"/>
    <m/>
    <m/>
    <m/>
    <m/>
    <m/>
    <s v="Low Performer"/>
    <e v="#NAME?"/>
    <s v="Medium Budget"/>
    <n v="1.2"/>
    <s v="Efficient Spend"/>
    <s v="Medium"/>
  </r>
  <r>
    <s v="MKT1337"/>
    <d v="2024-04-06T00:00:00"/>
    <s v="C280"/>
    <n v="45"/>
    <s v="Male"/>
    <x v="3"/>
    <x v="0"/>
    <x v="0"/>
    <n v="544.66999999999996"/>
    <n v="44378"/>
    <n v="3838"/>
    <n v="338"/>
    <n v="5"/>
    <n v="8.6484294019999997"/>
    <n v="8.8066701409999997"/>
    <n v="5"/>
    <m/>
    <m/>
    <m/>
    <m/>
    <m/>
    <s v="Top Performer"/>
    <e v="#NAME?"/>
    <s v="Medium Budget"/>
    <n v="0.5"/>
    <s v="Efficient Spend"/>
    <s v="High"/>
  </r>
  <r>
    <s v="MKT1338"/>
    <d v="2024-08-06T00:00:00"/>
    <s v="C243"/>
    <n v="55"/>
    <s v="Other"/>
    <x v="5"/>
    <x v="1"/>
    <x v="2"/>
    <n v="85.51"/>
    <n v="20486"/>
    <n v="3094"/>
    <n v="292"/>
    <n v="4"/>
    <n v="15.10299717"/>
    <n v="9.4376212020000008"/>
    <n v="4"/>
    <m/>
    <m/>
    <m/>
    <m/>
    <m/>
    <s v="Top Performer"/>
    <e v="#NAME?"/>
    <s v="Low Budget"/>
    <n v="1.2"/>
    <s v="Efficient Spend"/>
    <s v="High"/>
  </r>
  <r>
    <s v="MKT1339"/>
    <d v="2024-12-03T00:00:00"/>
    <s v="C245"/>
    <n v="49"/>
    <s v="Male"/>
    <x v="5"/>
    <x v="1"/>
    <x v="1"/>
    <n v="1042.51"/>
    <n v="24360"/>
    <n v="3461"/>
    <n v="369"/>
    <n v="4"/>
    <n v="14.20771757"/>
    <n v="10.66165848"/>
    <n v="4"/>
    <m/>
    <m/>
    <m/>
    <m/>
    <m/>
    <s v="Top Performer"/>
    <e v="#NAME?"/>
    <s v="High Budget"/>
    <n v="1.2"/>
    <s v="Efficient Spend"/>
    <s v="Medium"/>
  </r>
  <r>
    <s v="MKT1340"/>
    <d v="2024-07-22T00:00:00"/>
    <s v="C359"/>
    <n v="26"/>
    <s v="Other"/>
    <x v="3"/>
    <x v="4"/>
    <x v="3"/>
    <n v="52.05"/>
    <n v="31734"/>
    <n v="2497"/>
    <n v="160"/>
    <n v="2"/>
    <n v="7.8685321740000003"/>
    <n v="6.4076892269999997"/>
    <n v="2"/>
    <m/>
    <m/>
    <m/>
    <m/>
    <m/>
    <s v="Average Performer"/>
    <e v="#NAME?"/>
    <s v="Low Budget"/>
    <n v="0.2"/>
    <s v="Efficient Spend"/>
    <s v="Medium"/>
  </r>
  <r>
    <s v="MKT1341"/>
    <d v="2024-05-09T00:00:00"/>
    <s v="C210"/>
    <n v="56"/>
    <s v="Female"/>
    <x v="4"/>
    <x v="0"/>
    <x v="3"/>
    <n v="1388.2"/>
    <n v="1319"/>
    <n v="4883"/>
    <n v="191"/>
    <n v="4"/>
    <n v="370.2047005"/>
    <n v="3.911529797"/>
    <n v="4"/>
    <m/>
    <m/>
    <m/>
    <m/>
    <n v="0"/>
    <s v="Average Performer"/>
    <e v="#NAME?"/>
    <s v="High Budget"/>
    <n v="0.5"/>
    <s v="Efficient Spend"/>
    <s v="Medium"/>
  </r>
  <r>
    <s v="MKT1342"/>
    <d v="2024-10-20T00:00:00"/>
    <s v="C231"/>
    <n v="64"/>
    <s v="Other"/>
    <x v="2"/>
    <x v="1"/>
    <x v="0"/>
    <n v="1041.07"/>
    <n v="3127"/>
    <n v="3183"/>
    <n v="109"/>
    <n v="5"/>
    <n v="101.7908539"/>
    <n v="3.4244423500000001"/>
    <n v="5"/>
    <m/>
    <m/>
    <m/>
    <m/>
    <n v="0"/>
    <s v="Average Performer"/>
    <e v="#NAME?"/>
    <s v="High Budget"/>
    <n v="1.2"/>
    <s v="Efficient Spend"/>
    <s v="High"/>
  </r>
  <r>
    <s v="MKT1343"/>
    <d v="2024-10-20T00:00:00"/>
    <s v="C327"/>
    <n v="18"/>
    <s v="Female"/>
    <x v="2"/>
    <x v="3"/>
    <x v="0"/>
    <n v="355.42"/>
    <n v="45683"/>
    <n v="3929"/>
    <n v="152"/>
    <m/>
    <n v="8.6005735179999991"/>
    <n v="3.8686688720000002"/>
    <n v="3"/>
    <m/>
    <m/>
    <m/>
    <m/>
    <m/>
    <s v="Average Performer"/>
    <e v="#NAME?"/>
    <s v="Low Budget"/>
    <n v="0.75"/>
    <s v="Efficient Spend"/>
    <s v="High"/>
  </r>
  <r>
    <s v="MKT1344"/>
    <d v="2024-12-13T00:00:00"/>
    <s v="C237"/>
    <n v="49"/>
    <s v="Male"/>
    <x v="4"/>
    <x v="0"/>
    <x v="0"/>
    <n v="450.95"/>
    <n v="18616"/>
    <n v="2784"/>
    <n v="66"/>
    <n v="2"/>
    <n v="14.95487752"/>
    <n v="2.3706896550000001"/>
    <n v="2"/>
    <m/>
    <m/>
    <m/>
    <m/>
    <m/>
    <s v="Low Performer"/>
    <e v="#NAME?"/>
    <s v="Low Budget"/>
    <n v="0.5"/>
    <s v="Efficient Spend"/>
    <s v="High"/>
  </r>
  <r>
    <s v="MKT1345"/>
    <d v="2024-07-30T00:00:00"/>
    <s v="C336"/>
    <n v="41"/>
    <s v="Male"/>
    <x v="1"/>
    <x v="1"/>
    <x v="2"/>
    <n v="1191.8399999999999"/>
    <n v="16440"/>
    <n v="1568"/>
    <n v="43"/>
    <n v="2"/>
    <n v="9.5377128950000003"/>
    <n v="2.7423469389999999"/>
    <n v="2"/>
    <m/>
    <m/>
    <m/>
    <m/>
    <m/>
    <s v="Low Performer"/>
    <e v="#NAME?"/>
    <s v="High Budget"/>
    <n v="1.2"/>
    <s v="Efficient Spend"/>
    <s v="High"/>
  </r>
  <r>
    <s v="MKT1346"/>
    <d v="2024-02-13T00:00:00"/>
    <s v="C298"/>
    <n v="50"/>
    <s v="Male"/>
    <x v="5"/>
    <x v="3"/>
    <x v="0"/>
    <n v="1965.53"/>
    <n v="29757"/>
    <n v="2870"/>
    <n v="100"/>
    <n v="1"/>
    <n v="9.6447894610000002"/>
    <n v="3.4843205570000002"/>
    <n v="1"/>
    <m/>
    <m/>
    <m/>
    <m/>
    <m/>
    <s v="Average Performer"/>
    <e v="#NAME?"/>
    <s v="High Budget"/>
    <n v="0.75"/>
    <s v="Efficient Spend"/>
    <s v="High"/>
  </r>
  <r>
    <s v="MKT1347"/>
    <d v="2024-06-27T00:00:00"/>
    <s v="C398"/>
    <n v="25"/>
    <s v="Male"/>
    <x v="4"/>
    <x v="2"/>
    <x v="1"/>
    <n v="711.07"/>
    <n v="35210"/>
    <n v="1332"/>
    <n v="99"/>
    <m/>
    <n v="3.783016189"/>
    <n v="7.4324324319999997"/>
    <n v="3"/>
    <m/>
    <m/>
    <m/>
    <m/>
    <m/>
    <s v="Low Performer"/>
    <e v="#NAME?"/>
    <s v="Medium Budget"/>
    <n v="0.3"/>
    <s v="Inefficient Spend"/>
    <s v="Medium"/>
  </r>
  <r>
    <s v="MKT1348"/>
    <d v="2024-12-06T00:00:00"/>
    <s v="C347"/>
    <n v="18"/>
    <s v="Other"/>
    <x v="2"/>
    <x v="1"/>
    <x v="2"/>
    <n v="1567.09"/>
    <n v="45893"/>
    <n v="2967"/>
    <n v="360"/>
    <m/>
    <n v="6.4650382410000002"/>
    <n v="12.133468150000001"/>
    <n v="3"/>
    <m/>
    <m/>
    <m/>
    <m/>
    <m/>
    <s v="Average Performer"/>
    <e v="#NAME?"/>
    <s v="High Budget"/>
    <n v="1.2"/>
    <s v="Efficient Spend"/>
    <s v="High"/>
  </r>
  <r>
    <s v="MKT1349"/>
    <d v="2024-07-13T00:00:00"/>
    <s v="C222"/>
    <n v="48"/>
    <s v="Female"/>
    <x v="3"/>
    <x v="3"/>
    <x v="0"/>
    <n v="531.76"/>
    <n v="48351"/>
    <n v="304"/>
    <n v="219"/>
    <m/>
    <n v="0.62873570400000001"/>
    <n v="72.03947368"/>
    <n v="3"/>
    <m/>
    <m/>
    <m/>
    <m/>
    <m/>
    <s v="Low Performer"/>
    <e v="#NAME?"/>
    <s v="Medium Budget"/>
    <n v="0.75"/>
    <s v="Inefficient Spend"/>
    <s v="High"/>
  </r>
  <r>
    <s v="MKT1350"/>
    <d v="2024-04-21T00:00:00"/>
    <s v="C293"/>
    <n v="45"/>
    <s v="Other"/>
    <x v="4"/>
    <x v="4"/>
    <x v="0"/>
    <n v="688.88"/>
    <n v="6054"/>
    <n v="4766"/>
    <n v="40"/>
    <n v="2"/>
    <n v="78.724810039999994"/>
    <n v="0.83927822100000005"/>
    <n v="2"/>
    <m/>
    <m/>
    <m/>
    <m/>
    <m/>
    <s v="Low Performer"/>
    <e v="#NAME?"/>
    <s v="Medium Budget"/>
    <n v="0.2"/>
    <s v="Efficient Spend"/>
    <s v="High"/>
  </r>
  <r>
    <s v="MKT1351"/>
    <d v="2024-05-16T00:00:00"/>
    <s v="C213"/>
    <n v="53"/>
    <s v="Other"/>
    <x v="1"/>
    <x v="0"/>
    <x v="2"/>
    <n v="1739.68"/>
    <n v="48194"/>
    <n v="1196"/>
    <n v="193"/>
    <n v="2"/>
    <n v="2.4816367179999999"/>
    <n v="16.137123750000001"/>
    <n v="2"/>
    <m/>
    <m/>
    <m/>
    <m/>
    <m/>
    <s v="Average Performer"/>
    <e v="#NAME?"/>
    <s v="High Budget"/>
    <n v="0.5"/>
    <s v="Inefficient Spend"/>
    <s v="High"/>
  </r>
  <r>
    <s v="MKT1352"/>
    <d v="2024-09-07T00:00:00"/>
    <s v="C277"/>
    <n v="38"/>
    <s v="Female"/>
    <x v="4"/>
    <x v="4"/>
    <x v="0"/>
    <n v="551.9"/>
    <n v="13582"/>
    <n v="2890"/>
    <n v="210"/>
    <n v="3"/>
    <n v="21.278162269999999"/>
    <n v="7.2664359860000003"/>
    <n v="3"/>
    <m/>
    <m/>
    <m/>
    <m/>
    <m/>
    <s v="Average Performer"/>
    <e v="#NAME?"/>
    <s v="Medium Budget"/>
    <n v="0.2"/>
    <s v="Efficient Spend"/>
    <s v="High"/>
  </r>
  <r>
    <s v="MKT1353"/>
    <d v="2024-03-03T00:00:00"/>
    <s v="C291"/>
    <n v="18"/>
    <s v="Male"/>
    <x v="2"/>
    <x v="2"/>
    <x v="0"/>
    <n v="1966.14"/>
    <n v="6272"/>
    <n v="799"/>
    <n v="111"/>
    <n v="2"/>
    <n v="12.739158160000001"/>
    <n v="13.892365460000001"/>
    <n v="2"/>
    <m/>
    <m/>
    <m/>
    <m/>
    <m/>
    <s v="Low Performer"/>
    <e v="#NAME?"/>
    <s v="High Budget"/>
    <n v="0.3"/>
    <s v="Inefficient Spend"/>
    <s v="High"/>
  </r>
  <r>
    <s v="MKT1354"/>
    <d v="2024-03-25T00:00:00"/>
    <s v="C394"/>
    <n v="58"/>
    <s v="Female"/>
    <x v="4"/>
    <x v="3"/>
    <x v="1"/>
    <n v="742.49"/>
    <n v="10965"/>
    <n v="1031"/>
    <n v="386"/>
    <n v="4"/>
    <n v="9.4026447789999992"/>
    <n v="37.439379240000001"/>
    <n v="4"/>
    <m/>
    <m/>
    <m/>
    <m/>
    <m/>
    <s v="Average Performer"/>
    <e v="#NAME?"/>
    <s v="Medium Budget"/>
    <n v="0.75"/>
    <s v="Efficient Spend"/>
    <s v="Medium"/>
  </r>
  <r>
    <s v="MKT1355"/>
    <d v="2024-11-09T00:00:00"/>
    <s v="C306"/>
    <n v="20"/>
    <s v="Female"/>
    <x v="4"/>
    <x v="2"/>
    <x v="2"/>
    <n v="1586.37"/>
    <n v="26609"/>
    <n v="761"/>
    <n v="328"/>
    <n v="2"/>
    <n v="2.8599346090000002"/>
    <n v="43.101182649999998"/>
    <n v="2"/>
    <m/>
    <m/>
    <m/>
    <m/>
    <m/>
    <s v="Low Performer"/>
    <e v="#NAME?"/>
    <s v="High Budget"/>
    <n v="0.3"/>
    <s v="Inefficient Spend"/>
    <s v="High"/>
  </r>
  <r>
    <s v="MKT1356"/>
    <d v="2024-06-09T00:00:00"/>
    <s v="C316"/>
    <n v="24"/>
    <s v="Male"/>
    <x v="5"/>
    <x v="4"/>
    <x v="2"/>
    <n v="1464.38"/>
    <n v="21762"/>
    <n v="1897"/>
    <n v="48"/>
    <n v="4"/>
    <n v="8.717029685"/>
    <n v="2.5303110169999998"/>
    <n v="4"/>
    <m/>
    <m/>
    <m/>
    <m/>
    <m/>
    <s v="Low Performer"/>
    <e v="#NAME?"/>
    <s v="High Budget"/>
    <n v="0.2"/>
    <s v="Inefficient Spend"/>
    <s v="High"/>
  </r>
  <r>
    <s v="MKT1357"/>
    <d v="2024-09-11T00:00:00"/>
    <s v="C389"/>
    <n v="52"/>
    <s v="Male"/>
    <x v="1"/>
    <x v="4"/>
    <x v="0"/>
    <n v="1804.18"/>
    <n v="4098"/>
    <n v="2939"/>
    <n v="41"/>
    <m/>
    <n v="71.717911180000002"/>
    <n v="1.395032324"/>
    <n v="3"/>
    <m/>
    <m/>
    <m/>
    <m/>
    <m/>
    <s v="Low Performer"/>
    <e v="#NAME?"/>
    <s v="High Budget"/>
    <n v="0.2"/>
    <s v="Inefficient Spend"/>
    <s v="High"/>
  </r>
  <r>
    <s v="MKT1358"/>
    <d v="2024-08-25T00:00:00"/>
    <s v="C271"/>
    <n v="31"/>
    <s v="Male"/>
    <x v="1"/>
    <x v="4"/>
    <x v="1"/>
    <n v="1538.52"/>
    <n v="5285"/>
    <n v="3315"/>
    <n v="2"/>
    <n v="5"/>
    <n v="62.724692529999999"/>
    <n v="6.0331824999999999E-2"/>
    <n v="5"/>
    <m/>
    <m/>
    <m/>
    <m/>
    <m/>
    <s v="Low Performer"/>
    <e v="#NAME?"/>
    <s v="High Budget"/>
    <n v="0.2"/>
    <s v="Inefficient Spend"/>
    <s v="Medium"/>
  </r>
  <r>
    <s v="MKT1359"/>
    <d v="2024-11-18T00:00:00"/>
    <s v="C263"/>
    <n v="63"/>
    <s v="Male"/>
    <x v="2"/>
    <x v="1"/>
    <x v="1"/>
    <n v="585.47"/>
    <n v="2479"/>
    <n v="42"/>
    <n v="244"/>
    <n v="4"/>
    <n v="1.6942315450000001"/>
    <n v="580.95238099999995"/>
    <n v="4"/>
    <m/>
    <m/>
    <m/>
    <m/>
    <m/>
    <s v="Low Performer"/>
    <e v="#NAME?"/>
    <s v="Medium Budget"/>
    <n v="1.2"/>
    <s v="Inefficient Spend"/>
    <s v="Medium"/>
  </r>
  <r>
    <s v="MKT1360"/>
    <d v="2024-07-14T00:00:00"/>
    <s v="C210"/>
    <n v="46"/>
    <s v="Male"/>
    <x v="3"/>
    <x v="4"/>
    <x v="1"/>
    <n v="932.92"/>
    <n v="14844"/>
    <n v="1268"/>
    <n v="307"/>
    <n v="3"/>
    <n v="8.5421719209999996"/>
    <n v="24.211356469999998"/>
    <n v="3"/>
    <m/>
    <m/>
    <m/>
    <m/>
    <m/>
    <s v="Average Performer"/>
    <e v="#NAME?"/>
    <s v="Medium Budget"/>
    <n v="0.2"/>
    <s v="Inefficient Spend"/>
    <s v="Medium"/>
  </r>
  <r>
    <s v="MKT1361"/>
    <d v="2024-01-29T00:00:00"/>
    <s v="C296"/>
    <n v="22"/>
    <s v="Other"/>
    <x v="5"/>
    <x v="0"/>
    <x v="3"/>
    <n v="1480.9"/>
    <n v="20810"/>
    <n v="1230"/>
    <n v="131"/>
    <m/>
    <n v="5.9106198939999999"/>
    <n v="10.650406500000001"/>
    <n v="3"/>
    <m/>
    <m/>
    <m/>
    <m/>
    <m/>
    <s v="Average Performer"/>
    <e v="#NAME?"/>
    <s v="High Budget"/>
    <n v="0.5"/>
    <s v="Inefficient Spend"/>
    <s v="Medium"/>
  </r>
  <r>
    <s v="MKT1362"/>
    <d v="2024-06-30T00:00:00"/>
    <s v="C222"/>
    <n v="38"/>
    <s v="Male"/>
    <x v="3"/>
    <x v="3"/>
    <x v="2"/>
    <n v="394.82"/>
    <n v="11551"/>
    <n v="608"/>
    <n v="250"/>
    <n v="1"/>
    <n v="5.2636135399999997"/>
    <n v="41.118421050000002"/>
    <n v="1"/>
    <m/>
    <m/>
    <m/>
    <m/>
    <m/>
    <s v="Low Performer"/>
    <e v="#NAME?"/>
    <s v="Low Budget"/>
    <n v="0.75"/>
    <s v="Efficient Spend"/>
    <s v="High"/>
  </r>
  <r>
    <s v="MKT1363"/>
    <d v="2024-03-20T00:00:00"/>
    <s v="C297"/>
    <n v="35"/>
    <s v="Female"/>
    <x v="2"/>
    <x v="2"/>
    <x v="1"/>
    <n v="1536.33"/>
    <n v="1276"/>
    <n v="1889"/>
    <n v="323"/>
    <m/>
    <n v="148.0407524"/>
    <n v="17.098994179999998"/>
    <n v="3"/>
    <m/>
    <m/>
    <m/>
    <m/>
    <n v="0"/>
    <s v="Average Performer"/>
    <e v="#NAME?"/>
    <s v="High Budget"/>
    <n v="0.3"/>
    <s v="Inefficient Spend"/>
    <s v="Medium"/>
  </r>
  <r>
    <s v="MKT1364"/>
    <d v="2024-04-12T00:00:00"/>
    <s v="C382"/>
    <n v="57"/>
    <s v="Other"/>
    <x v="5"/>
    <x v="0"/>
    <x v="2"/>
    <n v="1246.4100000000001"/>
    <n v="27233"/>
    <n v="1746"/>
    <n v="374"/>
    <m/>
    <n v="6.411339184"/>
    <n v="21.420389459999999"/>
    <n v="3"/>
    <m/>
    <m/>
    <m/>
    <m/>
    <m/>
    <s v="Average Performer"/>
    <e v="#NAME?"/>
    <s v="High Budget"/>
    <n v="0.5"/>
    <s v="Inefficient Spend"/>
    <s v="High"/>
  </r>
  <r>
    <s v="MKT1365"/>
    <d v="2024-11-25T00:00:00"/>
    <s v="C271"/>
    <n v="40"/>
    <s v="Female"/>
    <x v="4"/>
    <x v="3"/>
    <x v="3"/>
    <n v="754.35"/>
    <n v="11952"/>
    <n v="1503"/>
    <n v="31"/>
    <n v="5"/>
    <n v="12.5753012"/>
    <n v="2.0625415829999998"/>
    <n v="5"/>
    <m/>
    <m/>
    <m/>
    <m/>
    <m/>
    <s v="Low Performer"/>
    <e v="#NAME?"/>
    <s v="Medium Budget"/>
    <n v="0.75"/>
    <s v="Efficient Spend"/>
    <s v="Medium"/>
  </r>
  <r>
    <s v="MKT1366"/>
    <d v="2024-12-27T00:00:00"/>
    <s v="C283"/>
    <n v="36"/>
    <s v="Other"/>
    <x v="0"/>
    <x v="2"/>
    <x v="2"/>
    <n v="814.8"/>
    <n v="39742"/>
    <n v="3594"/>
    <n v="5"/>
    <n v="1"/>
    <n v="9.0433294750000002"/>
    <n v="0.13912075700000001"/>
    <n v="1"/>
    <m/>
    <m/>
    <m/>
    <m/>
    <m/>
    <s v="Low Performer"/>
    <e v="#NAME?"/>
    <s v="Medium Budget"/>
    <n v="0.3"/>
    <s v="Efficient Spend"/>
    <s v="High"/>
  </r>
  <r>
    <s v="MKT1367"/>
    <d v="2024-02-11T00:00:00"/>
    <s v="C307"/>
    <n v="49"/>
    <s v="Male"/>
    <x v="1"/>
    <x v="1"/>
    <x v="0"/>
    <n v="1912.73"/>
    <n v="45733"/>
    <n v="4890"/>
    <n v="55"/>
    <m/>
    <n v="10.69249776"/>
    <n v="1.124744376"/>
    <n v="3"/>
    <m/>
    <m/>
    <m/>
    <m/>
    <m/>
    <s v="Low Performer"/>
    <e v="#NAME?"/>
    <s v="High Budget"/>
    <n v="1.2"/>
    <s v="Efficient Spend"/>
    <s v="High"/>
  </r>
  <r>
    <s v="MKT1368"/>
    <d v="2024-10-19T00:00:00"/>
    <s v="C244"/>
    <n v="41"/>
    <s v="Other"/>
    <x v="0"/>
    <x v="0"/>
    <x v="1"/>
    <n v="732.57"/>
    <n v="30352"/>
    <n v="3064"/>
    <n v="35"/>
    <n v="1"/>
    <n v="10.09488666"/>
    <n v="1.1422976499999999"/>
    <n v="1"/>
    <m/>
    <m/>
    <m/>
    <m/>
    <m/>
    <s v="Low Performer"/>
    <e v="#NAME?"/>
    <s v="Medium Budget"/>
    <n v="0.5"/>
    <s v="Efficient Spend"/>
    <s v="Medium"/>
  </r>
  <r>
    <s v="MKT1369"/>
    <d v="2024-09-25T00:00:00"/>
    <s v="C224"/>
    <n v="32"/>
    <s v="Male"/>
    <x v="0"/>
    <x v="0"/>
    <x v="0"/>
    <n v="1624.44"/>
    <n v="37407"/>
    <n v="2459"/>
    <n v="171"/>
    <n v="3"/>
    <n v="6.5736359499999999"/>
    <n v="6.9540463600000004"/>
    <n v="3"/>
    <m/>
    <m/>
    <m/>
    <m/>
    <m/>
    <s v="Average Performer"/>
    <e v="#NAME?"/>
    <s v="High Budget"/>
    <n v="0.5"/>
    <s v="Inefficient Spend"/>
    <s v="High"/>
  </r>
  <r>
    <s v="MKT1370"/>
    <d v="2024-12-20T00:00:00"/>
    <s v="C393"/>
    <n v="34"/>
    <s v="Female"/>
    <x v="4"/>
    <x v="4"/>
    <x v="1"/>
    <n v="1540.78"/>
    <n v="12433"/>
    <n v="4181"/>
    <n v="40"/>
    <n v="1"/>
    <n v="33.62824741"/>
    <n v="0.95670892100000005"/>
    <n v="1"/>
    <m/>
    <m/>
    <m/>
    <m/>
    <m/>
    <s v="Low Performer"/>
    <e v="#NAME?"/>
    <s v="High Budget"/>
    <n v="0.2"/>
    <s v="Inefficient Spend"/>
    <s v="Medium"/>
  </r>
  <r>
    <s v="MKT1371"/>
    <d v="2024-06-13T00:00:00"/>
    <s v="C368"/>
    <n v="35"/>
    <s v="Male"/>
    <x v="2"/>
    <x v="4"/>
    <x v="1"/>
    <n v="1252.26"/>
    <n v="31563"/>
    <n v="1150"/>
    <n v="54"/>
    <n v="2"/>
    <n v="3.6435066379999999"/>
    <n v="4.6956521740000001"/>
    <n v="2"/>
    <m/>
    <m/>
    <m/>
    <m/>
    <m/>
    <s v="Low Performer"/>
    <e v="#NAME?"/>
    <s v="High Budget"/>
    <n v="0.2"/>
    <s v="Inefficient Spend"/>
    <s v="Medium"/>
  </r>
  <r>
    <s v="MKT1372"/>
    <d v="2024-12-08T00:00:00"/>
    <s v="C295"/>
    <n v="25"/>
    <s v="Female"/>
    <x v="4"/>
    <x v="2"/>
    <x v="1"/>
    <n v="1555.52"/>
    <n v="10498"/>
    <n v="229"/>
    <n v="370"/>
    <n v="4"/>
    <n v="2.1813678799999998"/>
    <n v="161.57205239999999"/>
    <n v="4"/>
    <m/>
    <m/>
    <m/>
    <m/>
    <m/>
    <s v="Low Performer"/>
    <e v="#NAME?"/>
    <s v="High Budget"/>
    <n v="0.3"/>
    <s v="Inefficient Spend"/>
    <s v="Medium"/>
  </r>
  <r>
    <s v="MKT1373"/>
    <d v="2024-07-16T00:00:00"/>
    <s v="C213"/>
    <n v="25"/>
    <s v="Other"/>
    <x v="3"/>
    <x v="2"/>
    <x v="0"/>
    <n v="1428.72"/>
    <n v="19102"/>
    <n v="4341"/>
    <n v="271"/>
    <n v="2"/>
    <n v="22.725369069999999"/>
    <n v="6.2428011980000004"/>
    <n v="2"/>
    <m/>
    <m/>
    <m/>
    <m/>
    <m/>
    <s v="Top Performer"/>
    <e v="#NAME?"/>
    <s v="High Budget"/>
    <n v="0.3"/>
    <s v="Inefficient Spend"/>
    <s v="High"/>
  </r>
  <r>
    <s v="MKT1374"/>
    <d v="2024-02-29T00:00:00"/>
    <s v="C237"/>
    <n v="53"/>
    <s v="Male"/>
    <x v="5"/>
    <x v="2"/>
    <x v="3"/>
    <n v="388.97"/>
    <n v="29954"/>
    <n v="1919"/>
    <n v="204"/>
    <n v="4"/>
    <n v="6.4064899510000002"/>
    <n v="10.63053674"/>
    <n v="4"/>
    <m/>
    <m/>
    <m/>
    <m/>
    <m/>
    <s v="Average Performer"/>
    <e v="#NAME?"/>
    <s v="Low Budget"/>
    <n v="0.3"/>
    <s v="Efficient Spend"/>
    <s v="Medium"/>
  </r>
  <r>
    <s v="MKT1375"/>
    <d v="2024-12-01T00:00:00"/>
    <s v="C387"/>
    <n v="18"/>
    <s v="Other"/>
    <x v="5"/>
    <x v="2"/>
    <x v="0"/>
    <n v="269.47000000000003"/>
    <n v="22870"/>
    <n v="2272"/>
    <n v="97"/>
    <n v="2"/>
    <n v="9.934411893"/>
    <n v="4.2693661970000001"/>
    <n v="2"/>
    <m/>
    <m/>
    <m/>
    <m/>
    <m/>
    <s v="Low Performer"/>
    <e v="#NAME?"/>
    <s v="Low Budget"/>
    <n v="0.3"/>
    <s v="Efficient Spend"/>
    <s v="High"/>
  </r>
  <r>
    <s v="MKT1376"/>
    <d v="2024-05-11T00:00:00"/>
    <s v="C342"/>
    <n v="39"/>
    <s v="Female"/>
    <x v="0"/>
    <x v="3"/>
    <x v="2"/>
    <n v="1892.57"/>
    <n v="26130"/>
    <n v="2618"/>
    <n v="146"/>
    <n v="5"/>
    <n v="10.019135090000001"/>
    <n v="5.5767761650000001"/>
    <n v="5"/>
    <m/>
    <m/>
    <m/>
    <m/>
    <m/>
    <s v="Average Performer"/>
    <e v="#NAME?"/>
    <s v="High Budget"/>
    <n v="0.75"/>
    <s v="Efficient Spend"/>
    <s v="High"/>
  </r>
  <r>
    <s v="MKT1377"/>
    <d v="2024-06-14T00:00:00"/>
    <s v="C289"/>
    <n v="47"/>
    <s v="Other"/>
    <x v="2"/>
    <x v="1"/>
    <x v="2"/>
    <n v="693.11"/>
    <n v="30965"/>
    <n v="2702"/>
    <n v="95"/>
    <m/>
    <n v="8.725980946"/>
    <n v="3.5159141379999999"/>
    <n v="3"/>
    <m/>
    <m/>
    <m/>
    <m/>
    <m/>
    <s v="Low Performer"/>
    <e v="#NAME?"/>
    <s v="Medium Budget"/>
    <n v="1.2"/>
    <s v="Efficient Spend"/>
    <s v="High"/>
  </r>
  <r>
    <s v="MKT1378"/>
    <d v="2024-03-27T00:00:00"/>
    <s v="C382"/>
    <n v="48"/>
    <s v="Other"/>
    <x v="1"/>
    <x v="4"/>
    <x v="3"/>
    <n v="210.02"/>
    <n v="48139"/>
    <n v="678"/>
    <n v="285"/>
    <n v="5"/>
    <n v="1.408421446"/>
    <n v="42.035398229999998"/>
    <n v="5"/>
    <m/>
    <m/>
    <m/>
    <m/>
    <m/>
    <s v="Low Performer"/>
    <e v="#NAME?"/>
    <s v="Low Budget"/>
    <n v="0.2"/>
    <s v="Inefficient Spend"/>
    <s v="Medium"/>
  </r>
  <r>
    <s v="MKT1379"/>
    <d v="2024-06-23T00:00:00"/>
    <s v="C235"/>
    <n v="27"/>
    <s v="Other"/>
    <x v="5"/>
    <x v="2"/>
    <x v="3"/>
    <n v="1630.5"/>
    <n v="14819"/>
    <n v="296"/>
    <n v="248"/>
    <m/>
    <n v="1.997435724"/>
    <n v="83.783783779999993"/>
    <n v="3"/>
    <m/>
    <m/>
    <m/>
    <m/>
    <m/>
    <s v="Low Performer"/>
    <e v="#NAME?"/>
    <s v="High Budget"/>
    <n v="0.3"/>
    <s v="Inefficient Spend"/>
    <s v="Medium"/>
  </r>
  <r>
    <s v="MKT1380"/>
    <d v="2024-01-15T00:00:00"/>
    <s v="C352"/>
    <n v="63"/>
    <s v="Male"/>
    <x v="5"/>
    <x v="0"/>
    <x v="2"/>
    <n v="1859.06"/>
    <n v="25889"/>
    <n v="4113"/>
    <n v="49"/>
    <m/>
    <n v="15.887056279999999"/>
    <n v="1.1913445170000001"/>
    <n v="3"/>
    <m/>
    <m/>
    <m/>
    <m/>
    <m/>
    <s v="Low Performer"/>
    <e v="#NAME?"/>
    <s v="High Budget"/>
    <n v="0.5"/>
    <s v="Efficient Spend"/>
    <s v="High"/>
  </r>
  <r>
    <s v="MKT1381"/>
    <d v="2024-05-27T00:00:00"/>
    <s v="C201"/>
    <n v="27"/>
    <s v="Female"/>
    <x v="0"/>
    <x v="2"/>
    <x v="0"/>
    <n v="593.76"/>
    <n v="26916"/>
    <n v="43"/>
    <n v="261"/>
    <n v="3"/>
    <n v="0.159756279"/>
    <n v="606.97674419999998"/>
    <n v="3"/>
    <m/>
    <m/>
    <m/>
    <m/>
    <m/>
    <s v="Low Performer"/>
    <e v="#NAME?"/>
    <s v="Medium Budget"/>
    <n v="0.3"/>
    <s v="Inefficient Spend"/>
    <s v="High"/>
  </r>
  <r>
    <s v="MKT1382"/>
    <d v="2024-06-27T00:00:00"/>
    <s v="C353"/>
    <n v="19"/>
    <s v="Female"/>
    <x v="3"/>
    <x v="2"/>
    <x v="2"/>
    <n v="1190.57"/>
    <n v="34115"/>
    <n v="893"/>
    <n v="370"/>
    <n v="1"/>
    <n v="2.6176168839999998"/>
    <n v="41.433370660000001"/>
    <n v="1"/>
    <m/>
    <m/>
    <m/>
    <m/>
    <m/>
    <s v="Low Performer"/>
    <e v="#NAME?"/>
    <s v="High Budget"/>
    <n v="0.3"/>
    <s v="Inefficient Spend"/>
    <s v="High"/>
  </r>
  <r>
    <s v="MKT1383"/>
    <d v="2024-12-30T00:00:00"/>
    <s v="C260"/>
    <n v="38"/>
    <s v="Other"/>
    <x v="3"/>
    <x v="1"/>
    <x v="1"/>
    <n v="1584.85"/>
    <n v="31360"/>
    <n v="1662"/>
    <n v="272"/>
    <n v="3"/>
    <n v="5.2997448980000001"/>
    <n v="16.365824310000001"/>
    <n v="3"/>
    <m/>
    <m/>
    <m/>
    <m/>
    <m/>
    <s v="Average Performer"/>
    <e v="#NAME?"/>
    <s v="High Budget"/>
    <n v="1.2"/>
    <s v="Efficient Spend"/>
    <s v="Medium"/>
  </r>
  <r>
    <s v="MKT1384"/>
    <d v="2024-10-20T00:00:00"/>
    <s v="C284"/>
    <n v="34"/>
    <s v="Male"/>
    <x v="4"/>
    <x v="1"/>
    <x v="2"/>
    <n v="404.54"/>
    <n v="34807"/>
    <n v="2330"/>
    <n v="173"/>
    <n v="5"/>
    <n v="6.6940557930000004"/>
    <n v="7.4248927040000003"/>
    <n v="5"/>
    <m/>
    <m/>
    <m/>
    <m/>
    <m/>
    <s v="Average Performer"/>
    <e v="#NAME?"/>
    <s v="Low Budget"/>
    <n v="1.2"/>
    <s v="Efficient Spend"/>
    <s v="High"/>
  </r>
  <r>
    <s v="MKT1385"/>
    <d v="2024-11-09T00:00:00"/>
    <s v="C316"/>
    <n v="33"/>
    <s v="Female"/>
    <x v="5"/>
    <x v="0"/>
    <x v="1"/>
    <n v="380.07"/>
    <n v="46434"/>
    <n v="2145"/>
    <n v="174"/>
    <n v="4"/>
    <n v="4.6194598789999999"/>
    <n v="8.1118881120000008"/>
    <n v="4"/>
    <m/>
    <m/>
    <m/>
    <m/>
    <m/>
    <s v="Average Performer"/>
    <e v="#NAME?"/>
    <s v="Low Budget"/>
    <n v="0.5"/>
    <s v="Efficient Spend"/>
    <s v="Medium"/>
  </r>
  <r>
    <s v="MKT1386"/>
    <d v="2024-12-09T00:00:00"/>
    <s v="C242"/>
    <n v="64"/>
    <s v="Female"/>
    <x v="0"/>
    <x v="0"/>
    <x v="1"/>
    <n v="488.34"/>
    <n v="39424"/>
    <n v="19"/>
    <n v="116"/>
    <n v="2"/>
    <n v="4.8193993999999997E-2"/>
    <n v="610.52631580000002"/>
    <n v="2"/>
    <m/>
    <m/>
    <m/>
    <m/>
    <m/>
    <s v="Low Performer"/>
    <e v="#NAME?"/>
    <s v="Low Budget"/>
    <n v="0.5"/>
    <s v="Inefficient Spend"/>
    <s v="Medium"/>
  </r>
  <r>
    <s v="MKT1387"/>
    <d v="2024-03-10T00:00:00"/>
    <s v="C312"/>
    <n v="60"/>
    <s v="Female"/>
    <x v="3"/>
    <x v="3"/>
    <x v="3"/>
    <n v="1886.92"/>
    <n v="12831"/>
    <n v="4655"/>
    <n v="178"/>
    <n v="4"/>
    <n v="36.279323509999998"/>
    <n v="3.823845328"/>
    <n v="4"/>
    <m/>
    <m/>
    <m/>
    <m/>
    <m/>
    <s v="Average Performer"/>
    <e v="#NAME?"/>
    <s v="High Budget"/>
    <n v="0.75"/>
    <s v="Efficient Spend"/>
    <s v="Medium"/>
  </r>
  <r>
    <s v="MKT1388"/>
    <d v="2024-08-04T00:00:00"/>
    <s v="C290"/>
    <n v="44"/>
    <s v="Male"/>
    <x v="0"/>
    <x v="4"/>
    <x v="0"/>
    <n v="1721.71"/>
    <n v="9266"/>
    <n v="1032"/>
    <n v="5"/>
    <n v="1"/>
    <n v="11.13749191"/>
    <n v="0.48449612399999997"/>
    <n v="1"/>
    <m/>
    <m/>
    <m/>
    <m/>
    <m/>
    <s v="Low Performer"/>
    <e v="#NAME?"/>
    <s v="High Budget"/>
    <n v="0.2"/>
    <s v="Inefficient Spend"/>
    <s v="High"/>
  </r>
  <r>
    <s v="MKT1389"/>
    <d v="2024-09-24T00:00:00"/>
    <s v="C309"/>
    <n v="53"/>
    <s v="Other"/>
    <x v="2"/>
    <x v="3"/>
    <x v="3"/>
    <n v="1963.04"/>
    <n v="25292"/>
    <n v="679"/>
    <n v="99"/>
    <n v="4"/>
    <n v="2.6846433649999999"/>
    <n v="14.5802651"/>
    <n v="4"/>
    <m/>
    <m/>
    <m/>
    <m/>
    <m/>
    <s v="Low Performer"/>
    <e v="#NAME?"/>
    <s v="High Budget"/>
    <n v="0.75"/>
    <s v="Inefficient Spend"/>
    <s v="Medium"/>
  </r>
  <r>
    <s v="MKT1390"/>
    <d v="2024-01-27T00:00:00"/>
    <s v="C255"/>
    <n v="20"/>
    <s v="Other"/>
    <x v="1"/>
    <x v="3"/>
    <x v="0"/>
    <n v="1672.82"/>
    <n v="6780"/>
    <n v="2550"/>
    <n v="290"/>
    <n v="3"/>
    <n v="37.610619470000003"/>
    <n v="11.372549019999999"/>
    <n v="3"/>
    <m/>
    <m/>
    <m/>
    <m/>
    <m/>
    <s v="Average Performer"/>
    <e v="#NAME?"/>
    <s v="High Budget"/>
    <n v="0.75"/>
    <s v="Efficient Spend"/>
    <s v="High"/>
  </r>
  <r>
    <s v="MKT1391"/>
    <d v="2024-10-17T00:00:00"/>
    <s v="C297"/>
    <n v="37"/>
    <s v="Female"/>
    <x v="3"/>
    <x v="4"/>
    <x v="1"/>
    <n v="1215.46"/>
    <n v="43063"/>
    <n v="2587"/>
    <n v="126"/>
    <n v="4"/>
    <n v="6.0074774169999996"/>
    <n v="4.870506378"/>
    <n v="4"/>
    <m/>
    <m/>
    <m/>
    <m/>
    <m/>
    <s v="Average Performer"/>
    <e v="#NAME?"/>
    <s v="High Budget"/>
    <n v="0.2"/>
    <s v="Inefficient Spend"/>
    <s v="Medium"/>
  </r>
  <r>
    <s v="MKT1392"/>
    <d v="2024-03-21T00:00:00"/>
    <s v="C374"/>
    <n v="23"/>
    <s v="Female"/>
    <x v="3"/>
    <x v="3"/>
    <x v="1"/>
    <n v="1326.52"/>
    <n v="37884"/>
    <n v="4681"/>
    <n v="376"/>
    <n v="4"/>
    <n v="12.356139799999999"/>
    <n v="8.0324716939999998"/>
    <n v="4"/>
    <m/>
    <m/>
    <m/>
    <m/>
    <m/>
    <s v="Top Performer"/>
    <e v="#NAME?"/>
    <s v="High Budget"/>
    <n v="0.75"/>
    <s v="Efficient Spend"/>
    <s v="Medium"/>
  </r>
  <r>
    <s v="MKT1393"/>
    <d v="2024-10-24T00:00:00"/>
    <s v="C389"/>
    <n v="31"/>
    <s v="Other"/>
    <x v="1"/>
    <x v="2"/>
    <x v="2"/>
    <n v="965.16"/>
    <n v="19188"/>
    <n v="4587"/>
    <n v="166"/>
    <n v="1"/>
    <n v="23.905565979999999"/>
    <n v="3.6189230430000001"/>
    <n v="1"/>
    <m/>
    <m/>
    <m/>
    <m/>
    <m/>
    <s v="Average Performer"/>
    <e v="#NAME?"/>
    <s v="Medium Budget"/>
    <n v="0.3"/>
    <s v="Efficient Spend"/>
    <s v="High"/>
  </r>
  <r>
    <s v="MKT1394"/>
    <d v="2024-12-05T00:00:00"/>
    <s v="C249"/>
    <n v="20"/>
    <s v="Female"/>
    <x v="0"/>
    <x v="3"/>
    <x v="3"/>
    <n v="1343.22"/>
    <n v="23900"/>
    <n v="3461"/>
    <n v="48"/>
    <n v="2"/>
    <n v="14.481171549999999"/>
    <n v="1.3868824040000001"/>
    <n v="2"/>
    <m/>
    <m/>
    <m/>
    <m/>
    <m/>
    <s v="Low Performer"/>
    <e v="#NAME?"/>
    <s v="High Budget"/>
    <n v="0.75"/>
    <s v="Efficient Spend"/>
    <s v="Medium"/>
  </r>
  <r>
    <s v="MKT1395"/>
    <d v="2024-10-17T00:00:00"/>
    <s v="C225"/>
    <n v="50"/>
    <s v="Other"/>
    <x v="0"/>
    <x v="2"/>
    <x v="3"/>
    <n v="1474.27"/>
    <n v="25943"/>
    <n v="166"/>
    <n v="69"/>
    <m/>
    <n v="0.63986431799999999"/>
    <n v="41.566265059999999"/>
    <n v="3"/>
    <m/>
    <m/>
    <m/>
    <m/>
    <m/>
    <s v="Low Performer"/>
    <e v="#NAME?"/>
    <s v="High Budget"/>
    <n v="0.3"/>
    <s v="Inefficient Spend"/>
    <s v="Medium"/>
  </r>
  <r>
    <s v="MKT1396"/>
    <d v="2024-11-26T00:00:00"/>
    <s v="C349"/>
    <n v="58"/>
    <s v="Female"/>
    <x v="3"/>
    <x v="3"/>
    <x v="0"/>
    <n v="1337.69"/>
    <n v="46340"/>
    <n v="2518"/>
    <n v="74"/>
    <n v="1"/>
    <n v="5.433750539"/>
    <n v="2.9388403489999999"/>
    <n v="1"/>
    <m/>
    <m/>
    <m/>
    <m/>
    <m/>
    <s v="Low Performer"/>
    <e v="#NAME?"/>
    <s v="High Budget"/>
    <n v="0.75"/>
    <s v="Efficient Spend"/>
    <s v="High"/>
  </r>
  <r>
    <s v="MKT1397"/>
    <d v="2024-11-20T00:00:00"/>
    <s v="C231"/>
    <n v="56"/>
    <s v="Other"/>
    <x v="3"/>
    <x v="0"/>
    <x v="1"/>
    <n v="527.01"/>
    <n v="13457"/>
    <n v="954"/>
    <n v="158"/>
    <n v="3"/>
    <n v="7.089247232"/>
    <n v="16.561844860000001"/>
    <n v="3"/>
    <m/>
    <m/>
    <m/>
    <m/>
    <m/>
    <s v="Low Performer"/>
    <e v="#NAME?"/>
    <s v="Medium Budget"/>
    <n v="0.5"/>
    <s v="Inefficient Spend"/>
    <s v="Medium"/>
  </r>
  <r>
    <s v="MKT1398"/>
    <d v="2024-07-14T00:00:00"/>
    <s v="C358"/>
    <n v="49"/>
    <s v="Male"/>
    <x v="0"/>
    <x v="0"/>
    <x v="1"/>
    <n v="1529.78"/>
    <n v="10748"/>
    <n v="1939"/>
    <n v="202"/>
    <n v="5"/>
    <n v="18.040565690000001"/>
    <n v="10.417741100000001"/>
    <n v="5"/>
    <m/>
    <m/>
    <m/>
    <m/>
    <m/>
    <s v="Average Performer"/>
    <e v="#NAME?"/>
    <s v="High Budget"/>
    <n v="0.5"/>
    <s v="Inefficient Spend"/>
    <s v="Medium"/>
  </r>
  <r>
    <s v="MKT1399"/>
    <d v="2024-01-05T00:00:00"/>
    <s v="C210"/>
    <n v="29"/>
    <s v="Male"/>
    <x v="5"/>
    <x v="0"/>
    <x v="0"/>
    <n v="569.30999999999995"/>
    <n v="21418"/>
    <n v="2309"/>
    <n v="188"/>
    <n v="2"/>
    <n v="10.78065179"/>
    <n v="8.1420528369999996"/>
    <n v="2"/>
    <m/>
    <m/>
    <m/>
    <m/>
    <m/>
    <s v="Average Performer"/>
    <e v="#NAME?"/>
    <s v="Medium Budget"/>
    <n v="0.5"/>
    <s v="Efficient Spend"/>
    <s v="High"/>
  </r>
  <r>
    <s v="MKT1400"/>
    <d v="2024-04-14T00:00:00"/>
    <s v="C390"/>
    <n v="40"/>
    <s v="Male"/>
    <x v="3"/>
    <x v="1"/>
    <x v="2"/>
    <n v="1267.24"/>
    <n v="12945"/>
    <n v="3132"/>
    <n v="382"/>
    <n v="2"/>
    <n v="24.19466976"/>
    <n v="12.19667944"/>
    <n v="2"/>
    <m/>
    <m/>
    <m/>
    <m/>
    <m/>
    <s v="Top Performer"/>
    <e v="#NAME?"/>
    <s v="High Budget"/>
    <n v="1.2"/>
    <s v="Efficient Spend"/>
    <s v="High"/>
  </r>
  <r>
    <s v="MKT1401"/>
    <d v="2024-05-15T00:00:00"/>
    <s v="C386"/>
    <n v="18"/>
    <s v="Female"/>
    <x v="0"/>
    <x v="3"/>
    <x v="2"/>
    <n v="1328.31"/>
    <n v="30349"/>
    <n v="497"/>
    <n v="170"/>
    <n v="3"/>
    <n v="1.637615737"/>
    <n v="34.205231390000002"/>
    <n v="3"/>
    <m/>
    <m/>
    <m/>
    <m/>
    <m/>
    <s v="Low Performer"/>
    <e v="#NAME?"/>
    <s v="High Budget"/>
    <n v="0.75"/>
    <s v="Inefficient Spend"/>
    <s v="High"/>
  </r>
  <r>
    <s v="MKT1402"/>
    <d v="2024-08-22T00:00:00"/>
    <s v="C318"/>
    <n v="39"/>
    <s v="Other"/>
    <x v="5"/>
    <x v="4"/>
    <x v="3"/>
    <n v="672.84"/>
    <n v="24935"/>
    <n v="3298"/>
    <n v="351"/>
    <n v="3"/>
    <n v="13.226388610000001"/>
    <n v="10.64281383"/>
    <n v="3"/>
    <m/>
    <m/>
    <m/>
    <m/>
    <m/>
    <s v="Top Performer"/>
    <e v="#NAME?"/>
    <s v="Medium Budget"/>
    <n v="0.2"/>
    <s v="Inefficient Spend"/>
    <s v="Medium"/>
  </r>
  <r>
    <s v="MKT1403"/>
    <d v="2024-11-10T00:00:00"/>
    <s v="C336"/>
    <n v="61"/>
    <s v="Male"/>
    <x v="1"/>
    <x v="3"/>
    <x v="1"/>
    <n v="1703.51"/>
    <n v="4577"/>
    <n v="1433"/>
    <n v="266"/>
    <n v="3"/>
    <n v="31.3087175"/>
    <n v="18.562456390000001"/>
    <n v="3"/>
    <m/>
    <m/>
    <m/>
    <m/>
    <m/>
    <s v="Average Performer"/>
    <e v="#NAME?"/>
    <s v="High Budget"/>
    <n v="0.75"/>
    <s v="Inefficient Spend"/>
    <s v="Medium"/>
  </r>
  <r>
    <s v="MKT1404"/>
    <d v="2024-04-22T00:00:00"/>
    <s v="C315"/>
    <n v="19"/>
    <s v="Female"/>
    <x v="5"/>
    <x v="3"/>
    <x v="1"/>
    <n v="1595.88"/>
    <n v="17971"/>
    <n v="4601"/>
    <n v="368"/>
    <n v="4"/>
    <n v="25.602359360000001"/>
    <n v="7.9982612480000004"/>
    <n v="4"/>
    <m/>
    <m/>
    <m/>
    <m/>
    <m/>
    <s v="Top Performer"/>
    <e v="#NAME?"/>
    <s v="High Budget"/>
    <n v="0.75"/>
    <s v="Efficient Spend"/>
    <s v="Medium"/>
  </r>
  <r>
    <s v="MKT1405"/>
    <d v="2024-09-15T00:00:00"/>
    <s v="C330"/>
    <n v="32"/>
    <s v="Male"/>
    <x v="0"/>
    <x v="3"/>
    <x v="3"/>
    <n v="1850.68"/>
    <n v="2645"/>
    <n v="3383"/>
    <n v="152"/>
    <n v="3"/>
    <n v="127.9017013"/>
    <n v="4.4930535029999996"/>
    <n v="3"/>
    <m/>
    <m/>
    <m/>
    <m/>
    <n v="0"/>
    <s v="Average Performer"/>
    <e v="#NAME?"/>
    <s v="High Budget"/>
    <n v="0.75"/>
    <s v="Efficient Spend"/>
    <s v="Medium"/>
  </r>
  <r>
    <s v="MKT1406"/>
    <d v="2024-10-22T00:00:00"/>
    <s v="C201"/>
    <n v="36"/>
    <s v="Other"/>
    <x v="4"/>
    <x v="0"/>
    <x v="3"/>
    <n v="476.13"/>
    <n v="10856"/>
    <n v="424"/>
    <n v="243"/>
    <n v="2"/>
    <n v="3.9056742820000001"/>
    <n v="57.31132075"/>
    <n v="2"/>
    <m/>
    <m/>
    <m/>
    <m/>
    <m/>
    <s v="Low Performer"/>
    <e v="#NAME?"/>
    <s v="Low Budget"/>
    <n v="0.5"/>
    <s v="Inefficient Spend"/>
    <s v="Medium"/>
  </r>
  <r>
    <s v="MKT1407"/>
    <d v="2024-11-26T00:00:00"/>
    <s v="C350"/>
    <n v="53"/>
    <s v="Female"/>
    <x v="3"/>
    <x v="0"/>
    <x v="1"/>
    <n v="941.22"/>
    <n v="25031"/>
    <n v="4245"/>
    <n v="25"/>
    <n v="1"/>
    <n v="16.958970879999999"/>
    <n v="0.58892815099999996"/>
    <n v="1"/>
    <m/>
    <m/>
    <m/>
    <m/>
    <m/>
    <s v="Low Performer"/>
    <e v="#NAME?"/>
    <s v="Medium Budget"/>
    <n v="0.5"/>
    <s v="Efficient Spend"/>
    <s v="Medium"/>
  </r>
  <r>
    <s v="MKT1408"/>
    <d v="2024-03-13T00:00:00"/>
    <s v="C345"/>
    <n v="28"/>
    <s v="Other"/>
    <x v="3"/>
    <x v="4"/>
    <x v="3"/>
    <n v="148.41"/>
    <n v="5305"/>
    <n v="4529"/>
    <n v="82"/>
    <n v="5"/>
    <n v="85.372290289999995"/>
    <n v="1.8105542059999999"/>
    <n v="5"/>
    <m/>
    <m/>
    <m/>
    <m/>
    <m/>
    <s v="Low Performer"/>
    <e v="#NAME?"/>
    <s v="Low Budget"/>
    <n v="0.2"/>
    <s v="Efficient Spend"/>
    <s v="Medium"/>
  </r>
  <r>
    <s v="MKT1409"/>
    <d v="2024-12-15T00:00:00"/>
    <s v="C209"/>
    <n v="52"/>
    <s v="Male"/>
    <x v="0"/>
    <x v="3"/>
    <x v="1"/>
    <n v="1066.8800000000001"/>
    <n v="1825"/>
    <n v="3250"/>
    <n v="309"/>
    <n v="2"/>
    <n v="178.0821918"/>
    <n v="9.5076923079999993"/>
    <n v="2"/>
    <m/>
    <m/>
    <m/>
    <m/>
    <n v="0"/>
    <s v="Top Performer"/>
    <e v="#NAME?"/>
    <s v="High Budget"/>
    <n v="0.75"/>
    <s v="Efficient Spend"/>
    <s v="Medium"/>
  </r>
  <r>
    <s v="MKT1410"/>
    <d v="2024-01-05T00:00:00"/>
    <s v="C240"/>
    <n v="24"/>
    <s v="Other"/>
    <x v="2"/>
    <x v="3"/>
    <x v="1"/>
    <n v="760.25"/>
    <n v="9474"/>
    <n v="3158"/>
    <n v="369"/>
    <n v="1"/>
    <n v="33.333333330000002"/>
    <n v="11.684610510000001"/>
    <n v="1"/>
    <m/>
    <m/>
    <m/>
    <m/>
    <m/>
    <s v="Top Performer"/>
    <e v="#NAME?"/>
    <s v="Medium Budget"/>
    <n v="0.75"/>
    <s v="Efficient Spend"/>
    <s v="Medium"/>
  </r>
  <r>
    <s v="MKT1411"/>
    <d v="2024-01-01T00:00:00"/>
    <s v="C209"/>
    <n v="28"/>
    <s v="Female"/>
    <x v="5"/>
    <x v="0"/>
    <x v="2"/>
    <n v="1768.66"/>
    <n v="29556"/>
    <n v="1515"/>
    <n v="72"/>
    <n v="1"/>
    <n v="5.1258627690000003"/>
    <n v="4.7524752479999997"/>
    <n v="1"/>
    <m/>
    <m/>
    <m/>
    <m/>
    <m/>
    <s v="Low Performer"/>
    <e v="#NAME?"/>
    <s v="High Budget"/>
    <n v="0.5"/>
    <s v="Inefficient Spend"/>
    <s v="High"/>
  </r>
  <r>
    <s v="MKT1412"/>
    <d v="2024-06-29T00:00:00"/>
    <s v="C276"/>
    <n v="64"/>
    <s v="Male"/>
    <x v="3"/>
    <x v="2"/>
    <x v="3"/>
    <n v="1906.47"/>
    <n v="11072"/>
    <n v="506"/>
    <n v="313"/>
    <n v="3"/>
    <n v="4.5700867049999996"/>
    <n v="61.857707509999997"/>
    <n v="3"/>
    <m/>
    <m/>
    <m/>
    <m/>
    <m/>
    <s v="Low Performer"/>
    <e v="#NAME?"/>
    <s v="High Budget"/>
    <n v="0.3"/>
    <s v="Inefficient Spend"/>
    <s v="Medium"/>
  </r>
  <r>
    <s v="MKT1413"/>
    <d v="2024-04-23T00:00:00"/>
    <s v="C366"/>
    <n v="44"/>
    <s v="Male"/>
    <x v="1"/>
    <x v="3"/>
    <x v="3"/>
    <n v="1707.42"/>
    <n v="23793"/>
    <n v="4726"/>
    <n v="16"/>
    <n v="5"/>
    <n v="19.862984910000002"/>
    <n v="0.33855268700000002"/>
    <n v="5"/>
    <m/>
    <m/>
    <m/>
    <m/>
    <m/>
    <s v="Low Performer"/>
    <e v="#NAME?"/>
    <s v="High Budget"/>
    <n v="0.75"/>
    <s v="Efficient Spend"/>
    <s v="Medium"/>
  </r>
  <r>
    <s v="MKT1414"/>
    <d v="2024-01-21T00:00:00"/>
    <s v="C395"/>
    <n v="64"/>
    <s v="Female"/>
    <x v="5"/>
    <x v="0"/>
    <x v="3"/>
    <n v="1671.11"/>
    <n v="29809"/>
    <n v="1530"/>
    <n v="286"/>
    <n v="1"/>
    <n v="5.13267805"/>
    <n v="18.69281046"/>
    <n v="1"/>
    <m/>
    <m/>
    <m/>
    <m/>
    <m/>
    <s v="Average Performer"/>
    <e v="#NAME?"/>
    <s v="High Budget"/>
    <n v="0.5"/>
    <s v="Inefficient Spend"/>
    <s v="Medium"/>
  </r>
  <r>
    <s v="MKT1415"/>
    <d v="2024-05-04T00:00:00"/>
    <s v="C302"/>
    <n v="32"/>
    <s v="Other"/>
    <x v="3"/>
    <x v="3"/>
    <x v="0"/>
    <n v="1260.79"/>
    <n v="20759"/>
    <n v="3130"/>
    <n v="278"/>
    <n v="3"/>
    <n v="15.07779758"/>
    <n v="8.8817891370000002"/>
    <n v="3"/>
    <m/>
    <m/>
    <m/>
    <m/>
    <m/>
    <s v="Top Performer"/>
    <e v="#NAME?"/>
    <s v="High Budget"/>
    <n v="0.75"/>
    <s v="Efficient Spend"/>
    <s v="High"/>
  </r>
  <r>
    <s v="MKT1416"/>
    <d v="2024-02-01T00:00:00"/>
    <s v="C371"/>
    <n v="25"/>
    <s v="Female"/>
    <x v="0"/>
    <x v="2"/>
    <x v="0"/>
    <n v="1477.47"/>
    <n v="20498"/>
    <n v="4773"/>
    <n v="22"/>
    <n v="3"/>
    <n v="23.285198560000001"/>
    <n v="0.46092604199999998"/>
    <n v="3"/>
    <m/>
    <m/>
    <m/>
    <m/>
    <m/>
    <s v="Low Performer"/>
    <e v="#NAME?"/>
    <s v="High Budget"/>
    <n v="0.3"/>
    <s v="Inefficient Spend"/>
    <s v="High"/>
  </r>
  <r>
    <s v="MKT1417"/>
    <d v="2024-02-19T00:00:00"/>
    <s v="C317"/>
    <n v="47"/>
    <s v="Female"/>
    <x v="1"/>
    <x v="3"/>
    <x v="3"/>
    <n v="542.73"/>
    <n v="13676"/>
    <n v="4567"/>
    <n v="155"/>
    <n v="3"/>
    <n v="33.394267329999998"/>
    <n v="3.3939128529999998"/>
    <n v="3"/>
    <m/>
    <m/>
    <m/>
    <m/>
    <m/>
    <s v="Average Performer"/>
    <e v="#NAME?"/>
    <s v="Medium Budget"/>
    <n v="0.75"/>
    <s v="Efficient Spend"/>
    <s v="Medium"/>
  </r>
  <r>
    <s v="MKT1418"/>
    <d v="2024-08-22T00:00:00"/>
    <s v="C200"/>
    <n v="48"/>
    <s v="Other"/>
    <x v="1"/>
    <x v="0"/>
    <x v="2"/>
    <n v="1534.08"/>
    <n v="5411"/>
    <n v="2920"/>
    <n v="278"/>
    <n v="4"/>
    <n v="53.964147109999999"/>
    <n v="9.5205479450000006"/>
    <n v="4"/>
    <m/>
    <m/>
    <m/>
    <m/>
    <m/>
    <s v="Average Performer"/>
    <e v="#NAME?"/>
    <s v="High Budget"/>
    <n v="0.5"/>
    <s v="Inefficient Spend"/>
    <s v="High"/>
  </r>
  <r>
    <s v="MKT1419"/>
    <d v="2024-05-30T00:00:00"/>
    <s v="C214"/>
    <n v="60"/>
    <s v="Other"/>
    <x v="2"/>
    <x v="4"/>
    <x v="1"/>
    <n v="1099.27"/>
    <n v="34063"/>
    <n v="386"/>
    <n v="390"/>
    <n v="4"/>
    <n v="1.133194375"/>
    <n v="101.03626939999999"/>
    <n v="4"/>
    <m/>
    <m/>
    <m/>
    <m/>
    <m/>
    <s v="Low Performer"/>
    <e v="#NAME?"/>
    <s v="High Budget"/>
    <n v="0.2"/>
    <s v="Inefficient Spend"/>
    <s v="Medium"/>
  </r>
  <r>
    <s v="MKT1420"/>
    <d v="2024-06-07T00:00:00"/>
    <s v="C225"/>
    <n v="41"/>
    <s v="Male"/>
    <x v="6"/>
    <x v="1"/>
    <x v="3"/>
    <n v="228.11"/>
    <n v="8559"/>
    <n v="4690"/>
    <n v="49"/>
    <m/>
    <n v="54.796121040000003"/>
    <n v="1.044776119"/>
    <n v="3"/>
    <m/>
    <m/>
    <m/>
    <m/>
    <m/>
    <s v="Low Performer"/>
    <e v="#NAME?"/>
    <s v="Low Budget"/>
    <n v="1.2"/>
    <s v="Efficient Spend"/>
    <s v="Medium"/>
  </r>
  <r>
    <s v="MKT1421"/>
    <d v="2024-04-24T00:00:00"/>
    <s v="C375"/>
    <n v="42"/>
    <s v="Female"/>
    <x v="1"/>
    <x v="1"/>
    <x v="2"/>
    <n v="1658.51"/>
    <n v="1905"/>
    <n v="3016"/>
    <n v="365"/>
    <n v="5"/>
    <n v="158.32021"/>
    <n v="12.102122019999999"/>
    <n v="5"/>
    <m/>
    <m/>
    <m/>
    <m/>
    <n v="0"/>
    <s v="Top Performer"/>
    <e v="#NAME?"/>
    <s v="High Budget"/>
    <n v="1.2"/>
    <s v="Efficient Spend"/>
    <s v="High"/>
  </r>
  <r>
    <s v="MKT1422"/>
    <d v="2024-11-16T00:00:00"/>
    <s v="C319"/>
    <n v="62"/>
    <s v="Other"/>
    <x v="0"/>
    <x v="3"/>
    <x v="2"/>
    <n v="1462.9"/>
    <n v="10830"/>
    <n v="2967"/>
    <n v="26"/>
    <n v="3"/>
    <n v="27.396121879999999"/>
    <n v="0.87630603299999998"/>
    <n v="3"/>
    <m/>
    <m/>
    <m/>
    <m/>
    <m/>
    <s v="Low Performer"/>
    <e v="#NAME?"/>
    <s v="High Budget"/>
    <n v="0.75"/>
    <s v="Efficient Spend"/>
    <s v="High"/>
  </r>
  <r>
    <s v="MKT1423"/>
    <d v="2024-06-11T00:00:00"/>
    <s v="C231"/>
    <n v="26"/>
    <s v="Male"/>
    <x v="2"/>
    <x v="2"/>
    <x v="2"/>
    <n v="1303.29"/>
    <n v="14707"/>
    <n v="3119"/>
    <n v="257"/>
    <n v="3"/>
    <n v="21.207588220000002"/>
    <n v="8.2398204550000003"/>
    <n v="3"/>
    <m/>
    <m/>
    <m/>
    <m/>
    <m/>
    <s v="Top Performer"/>
    <e v="#NAME?"/>
    <s v="High Budget"/>
    <n v="0.3"/>
    <s v="Inefficient Spend"/>
    <s v="High"/>
  </r>
  <r>
    <s v="MKT1424"/>
    <d v="2024-03-25T00:00:00"/>
    <s v="C353"/>
    <n v="41"/>
    <s v="Other"/>
    <x v="6"/>
    <x v="0"/>
    <x v="1"/>
    <n v="1429.08"/>
    <n v="42077"/>
    <n v="3878"/>
    <n v="297"/>
    <m/>
    <n v="9.2164365329999995"/>
    <n v="7.6585869000000004"/>
    <n v="3"/>
    <m/>
    <m/>
    <m/>
    <m/>
    <m/>
    <s v="Top Performer"/>
    <e v="#NAME?"/>
    <s v="High Budget"/>
    <n v="0.5"/>
    <s v="Efficient Spend"/>
    <s v="Medium"/>
  </r>
  <r>
    <s v="MKT1425"/>
    <d v="2024-03-20T00:00:00"/>
    <s v="C398"/>
    <n v="49"/>
    <s v="Female"/>
    <x v="4"/>
    <x v="1"/>
    <x v="1"/>
    <n v="1538.3"/>
    <n v="22233"/>
    <n v="4466"/>
    <n v="98"/>
    <n v="1"/>
    <n v="20.08725768"/>
    <n v="2.1943573669999998"/>
    <n v="1"/>
    <m/>
    <m/>
    <m/>
    <m/>
    <m/>
    <s v="Low Performer"/>
    <e v="#NAME?"/>
    <s v="High Budget"/>
    <n v="1.2"/>
    <s v="Efficient Spend"/>
    <s v="Medium"/>
  </r>
  <r>
    <s v="MKT1426"/>
    <d v="2024-01-01T00:00:00"/>
    <s v="C260"/>
    <n v="59"/>
    <s v="Male"/>
    <x v="1"/>
    <x v="2"/>
    <x v="1"/>
    <n v="383.23"/>
    <n v="18256"/>
    <n v="3150"/>
    <n v="207"/>
    <n v="1"/>
    <n v="17.254601229999999"/>
    <n v="6.5714285710000002"/>
    <n v="1"/>
    <m/>
    <m/>
    <m/>
    <m/>
    <m/>
    <s v="Top Performer"/>
    <e v="#NAME?"/>
    <s v="Low Budget"/>
    <n v="0.3"/>
    <s v="Efficient Spend"/>
    <s v="Medium"/>
  </r>
  <r>
    <s v="MKT1427"/>
    <d v="2024-08-14T00:00:00"/>
    <s v="C367"/>
    <n v="60"/>
    <s v="Other"/>
    <x v="3"/>
    <x v="2"/>
    <x v="1"/>
    <n v="1491.06"/>
    <n v="29925"/>
    <n v="4092"/>
    <n v="224"/>
    <m/>
    <n v="13.67418546"/>
    <n v="5.4740957970000004"/>
    <n v="3"/>
    <m/>
    <m/>
    <m/>
    <m/>
    <m/>
    <s v="Top Performer"/>
    <e v="#NAME?"/>
    <s v="High Budget"/>
    <n v="0.3"/>
    <s v="Inefficient Spend"/>
    <s v="Medium"/>
  </r>
  <r>
    <s v="MKT1428"/>
    <d v="2024-06-12T00:00:00"/>
    <s v="C361"/>
    <n v="42"/>
    <s v="Other"/>
    <x v="2"/>
    <x v="4"/>
    <x v="0"/>
    <n v="1469.09"/>
    <n v="34036"/>
    <n v="679"/>
    <n v="373"/>
    <n v="4"/>
    <n v="1.994946527"/>
    <n v="54.933726069999999"/>
    <n v="4"/>
    <m/>
    <m/>
    <m/>
    <m/>
    <m/>
    <s v="Low Performer"/>
    <e v="#NAME?"/>
    <s v="High Budget"/>
    <n v="0.2"/>
    <s v="Inefficient Spend"/>
    <s v="High"/>
  </r>
  <r>
    <s v="MKT1429"/>
    <d v="2024-04-29T00:00:00"/>
    <s v="C387"/>
    <n v="32"/>
    <s v="Male"/>
    <x v="2"/>
    <x v="3"/>
    <x v="3"/>
    <n v="1796.68"/>
    <n v="38895"/>
    <n v="2250"/>
    <n v="343"/>
    <n v="1"/>
    <n v="5.7848052450000003"/>
    <n v="15.244444440000001"/>
    <n v="1"/>
    <m/>
    <m/>
    <m/>
    <m/>
    <m/>
    <s v="Average Performer"/>
    <e v="#NAME?"/>
    <s v="High Budget"/>
    <n v="0.75"/>
    <s v="Inefficient Spend"/>
    <s v="Medium"/>
  </r>
  <r>
    <s v="MKT1430"/>
    <d v="2024-04-28T00:00:00"/>
    <s v="C230"/>
    <n v="53"/>
    <s v="Male"/>
    <x v="1"/>
    <x v="3"/>
    <x v="0"/>
    <n v="668.74"/>
    <n v="15423"/>
    <n v="746"/>
    <n v="67"/>
    <n v="4"/>
    <n v="4.8369318549999996"/>
    <n v="8.9812332440000002"/>
    <n v="4"/>
    <m/>
    <m/>
    <m/>
    <m/>
    <m/>
    <s v="Low Performer"/>
    <e v="#NAME?"/>
    <s v="Medium Budget"/>
    <n v="0.75"/>
    <s v="Inefficient Spend"/>
    <s v="High"/>
  </r>
  <r>
    <s v="MKT1431"/>
    <d v="2024-06-05T00:00:00"/>
    <s v="C380"/>
    <n v="33"/>
    <s v="Other"/>
    <x v="5"/>
    <x v="0"/>
    <x v="2"/>
    <n v="1128.6600000000001"/>
    <n v="20473"/>
    <n v="1022"/>
    <n v="377"/>
    <n v="1"/>
    <n v="4.9919406049999999"/>
    <n v="36.888454009999997"/>
    <n v="1"/>
    <m/>
    <m/>
    <m/>
    <m/>
    <m/>
    <s v="Average Performer"/>
    <e v="#NAME?"/>
    <s v="High Budget"/>
    <n v="0.5"/>
    <s v="Inefficient Spend"/>
    <s v="High"/>
  </r>
  <r>
    <s v="MKT1432"/>
    <d v="2024-10-18T00:00:00"/>
    <s v="C398"/>
    <n v="28"/>
    <s v="Male"/>
    <x v="3"/>
    <x v="2"/>
    <x v="0"/>
    <n v="449.72"/>
    <n v="5991"/>
    <n v="4748"/>
    <n v="40"/>
    <n v="3"/>
    <n v="79.252211650000007"/>
    <n v="0.84245998300000002"/>
    <n v="3"/>
    <m/>
    <m/>
    <m/>
    <m/>
    <m/>
    <s v="Low Performer"/>
    <e v="#NAME?"/>
    <s v="Low Budget"/>
    <n v="0.3"/>
    <s v="Efficient Spend"/>
    <s v="High"/>
  </r>
  <r>
    <s v="MKT1433"/>
    <d v="2024-12-07T00:00:00"/>
    <s v="C384"/>
    <n v="51"/>
    <s v="Male"/>
    <x v="0"/>
    <x v="1"/>
    <x v="0"/>
    <n v="515.24"/>
    <n v="31128"/>
    <n v="3884"/>
    <n v="267"/>
    <n v="1"/>
    <n v="12.47751221"/>
    <n v="6.8743563339999998"/>
    <n v="1"/>
    <m/>
    <m/>
    <m/>
    <m/>
    <m/>
    <s v="Top Performer"/>
    <e v="#NAME?"/>
    <s v="Medium Budget"/>
    <n v="1.2"/>
    <s v="Efficient Spend"/>
    <s v="High"/>
  </r>
  <r>
    <s v="MKT1434"/>
    <d v="2024-06-22T00:00:00"/>
    <s v="C289"/>
    <n v="28"/>
    <s v="Other"/>
    <x v="0"/>
    <x v="0"/>
    <x v="1"/>
    <n v="543.04"/>
    <n v="49876"/>
    <n v="1029"/>
    <n v="209"/>
    <n v="3"/>
    <n v="2.0631165290000002"/>
    <n v="20.31098154"/>
    <n v="3"/>
    <m/>
    <m/>
    <m/>
    <m/>
    <m/>
    <s v="Average Performer"/>
    <e v="#NAME?"/>
    <s v="Medium Budget"/>
    <n v="0.5"/>
    <s v="Inefficient Spend"/>
    <s v="Medium"/>
  </r>
  <r>
    <s v="MKT1435"/>
    <d v="2024-12-10T00:00:00"/>
    <s v="C394"/>
    <n v="60"/>
    <s v="Other"/>
    <x v="5"/>
    <x v="0"/>
    <x v="0"/>
    <n v="782.39"/>
    <n v="7643"/>
    <n v="272"/>
    <n v="192"/>
    <m/>
    <n v="3.5588119850000002"/>
    <n v="70.58823529"/>
    <n v="3"/>
    <m/>
    <m/>
    <m/>
    <m/>
    <m/>
    <s v="Low Performer"/>
    <e v="#NAME?"/>
    <s v="Medium Budget"/>
    <n v="0.5"/>
    <s v="Inefficient Spend"/>
    <s v="High"/>
  </r>
  <r>
    <s v="MKT1436"/>
    <d v="2024-08-02T00:00:00"/>
    <s v="C347"/>
    <n v="41"/>
    <s v="Male"/>
    <x v="6"/>
    <x v="0"/>
    <x v="3"/>
    <n v="85.16"/>
    <n v="28135"/>
    <n v="1898"/>
    <n v="27"/>
    <m/>
    <n v="6.7460458499999998"/>
    <n v="1.4225500529999999"/>
    <n v="3"/>
    <m/>
    <m/>
    <m/>
    <m/>
    <m/>
    <s v="Low Performer"/>
    <e v="#NAME?"/>
    <s v="Low Budget"/>
    <n v="0.5"/>
    <s v="Efficient Spend"/>
    <s v="Medium"/>
  </r>
  <r>
    <s v="MKT1437"/>
    <d v="2024-03-28T00:00:00"/>
    <s v="C305"/>
    <n v="62"/>
    <s v="Female"/>
    <x v="1"/>
    <x v="1"/>
    <x v="0"/>
    <n v="1232.28"/>
    <n v="5473"/>
    <n v="2836"/>
    <n v="119"/>
    <n v="5"/>
    <n v="51.818015709999997"/>
    <n v="4.1960507759999999"/>
    <n v="5"/>
    <m/>
    <m/>
    <m/>
    <m/>
    <m/>
    <s v="Average Performer"/>
    <e v="#NAME?"/>
    <s v="High Budget"/>
    <n v="1.2"/>
    <s v="Efficient Spend"/>
    <s v="High"/>
  </r>
  <r>
    <s v="MKT1438"/>
    <d v="2024-08-31T00:00:00"/>
    <s v="C365"/>
    <n v="47"/>
    <s v="Male"/>
    <x v="1"/>
    <x v="0"/>
    <x v="3"/>
    <n v="575.39"/>
    <n v="35157"/>
    <n v="2313"/>
    <n v="156"/>
    <n v="3"/>
    <n v="6.5790596470000002"/>
    <n v="6.7444876779999996"/>
    <n v="3"/>
    <m/>
    <m/>
    <m/>
    <m/>
    <m/>
    <s v="Average Performer"/>
    <e v="#NAME?"/>
    <s v="Medium Budget"/>
    <n v="0.5"/>
    <s v="Efficient Spend"/>
    <s v="Medium"/>
  </r>
  <r>
    <s v="MKT1439"/>
    <d v="2024-01-12T00:00:00"/>
    <s v="C260"/>
    <n v="49"/>
    <s v="Female"/>
    <x v="2"/>
    <x v="4"/>
    <x v="3"/>
    <n v="259.99"/>
    <n v="42594"/>
    <n v="1184"/>
    <n v="262"/>
    <n v="1"/>
    <n v="2.7797342349999998"/>
    <n v="22.128378380000001"/>
    <n v="1"/>
    <m/>
    <m/>
    <m/>
    <m/>
    <m/>
    <s v="Average Performer"/>
    <e v="#NAME?"/>
    <s v="Low Budget"/>
    <n v="0.2"/>
    <s v="Inefficient Spend"/>
    <s v="Medium"/>
  </r>
  <r>
    <s v="MKT1440"/>
    <d v="2024-11-18T00:00:00"/>
    <s v="C201"/>
    <n v="26"/>
    <s v="Female"/>
    <x v="0"/>
    <x v="1"/>
    <x v="3"/>
    <n v="1967.33"/>
    <n v="9594"/>
    <n v="777"/>
    <n v="163"/>
    <m/>
    <n v="8.098811757"/>
    <n v="20.97812098"/>
    <n v="3"/>
    <m/>
    <m/>
    <m/>
    <m/>
    <m/>
    <s v="Low Performer"/>
    <e v="#NAME?"/>
    <s v="High Budget"/>
    <n v="1.2"/>
    <s v="Inefficient Spend"/>
    <s v="Medium"/>
  </r>
  <r>
    <s v="MKT1441"/>
    <d v="2024-04-03T00:00:00"/>
    <s v="C303"/>
    <n v="61"/>
    <s v="Other"/>
    <x v="0"/>
    <x v="2"/>
    <x v="1"/>
    <n v="1381.91"/>
    <n v="38920"/>
    <n v="249"/>
    <n v="124"/>
    <n v="3"/>
    <n v="0.63977389500000004"/>
    <n v="49.799196790000003"/>
    <n v="3"/>
    <m/>
    <m/>
    <m/>
    <m/>
    <m/>
    <s v="Low Performer"/>
    <e v="#NAME?"/>
    <s v="High Budget"/>
    <n v="0.3"/>
    <s v="Inefficient Spend"/>
    <s v="Medium"/>
  </r>
  <r>
    <s v="MKT1442"/>
    <d v="2024-12-25T00:00:00"/>
    <s v="C229"/>
    <n v="26"/>
    <s v="Male"/>
    <x v="5"/>
    <x v="1"/>
    <x v="3"/>
    <n v="1123.6099999999999"/>
    <n v="5615"/>
    <n v="1134"/>
    <n v="230"/>
    <m/>
    <n v="20.195903829999999"/>
    <n v="20.28218695"/>
    <n v="3"/>
    <m/>
    <m/>
    <m/>
    <m/>
    <m/>
    <s v="Average Performer"/>
    <e v="#NAME?"/>
    <s v="High Budget"/>
    <n v="1.2"/>
    <s v="Efficient Spend"/>
    <s v="Medium"/>
  </r>
  <r>
    <s v="MKT1443"/>
    <d v="2024-12-27T00:00:00"/>
    <s v="C373"/>
    <n v="41"/>
    <s v="Female"/>
    <x v="4"/>
    <x v="3"/>
    <x v="3"/>
    <n v="633.01"/>
    <n v="32820"/>
    <n v="4017"/>
    <n v="366"/>
    <n v="5"/>
    <n v="12.239488120000001"/>
    <n v="9.111277072"/>
    <n v="5"/>
    <m/>
    <m/>
    <m/>
    <m/>
    <m/>
    <s v="Top Performer"/>
    <e v="#NAME?"/>
    <s v="Medium Budget"/>
    <n v="0.75"/>
    <s v="Efficient Spend"/>
    <s v="Medium"/>
  </r>
  <r>
    <s v="MKT1444"/>
    <d v="2024-11-06T00:00:00"/>
    <s v="C320"/>
    <n v="54"/>
    <s v="Female"/>
    <x v="0"/>
    <x v="3"/>
    <x v="2"/>
    <n v="1183.31"/>
    <n v="14477"/>
    <n v="3466"/>
    <n v="306"/>
    <n v="5"/>
    <n v="23.94142433"/>
    <n v="8.8286208889999997"/>
    <n v="5"/>
    <m/>
    <m/>
    <m/>
    <m/>
    <m/>
    <s v="Top Performer"/>
    <e v="#NAME?"/>
    <s v="High Budget"/>
    <n v="0.75"/>
    <s v="Efficient Spend"/>
    <s v="High"/>
  </r>
  <r>
    <s v="MKT1445"/>
    <d v="2024-06-19T00:00:00"/>
    <s v="C295"/>
    <n v="34"/>
    <s v="Other"/>
    <x v="4"/>
    <x v="2"/>
    <x v="1"/>
    <n v="1236.26"/>
    <n v="18572"/>
    <n v="3925"/>
    <n v="273"/>
    <n v="5"/>
    <n v="21.133965109999998"/>
    <n v="6.9554140130000004"/>
    <n v="5"/>
    <m/>
    <m/>
    <m/>
    <m/>
    <m/>
    <s v="Top Performer"/>
    <e v="#NAME?"/>
    <s v="High Budget"/>
    <n v="0.3"/>
    <s v="Inefficient Spend"/>
    <s v="Medium"/>
  </r>
  <r>
    <s v="MKT1446"/>
    <d v="2024-09-07T00:00:00"/>
    <s v="C225"/>
    <n v="23"/>
    <s v="Other"/>
    <x v="0"/>
    <x v="2"/>
    <x v="3"/>
    <n v="511.94"/>
    <n v="20598"/>
    <n v="3841"/>
    <n v="99"/>
    <n v="3"/>
    <n v="18.647441499999999"/>
    <n v="2.5774537880000001"/>
    <n v="3"/>
    <m/>
    <m/>
    <m/>
    <m/>
    <m/>
    <s v="Low Performer"/>
    <e v="#NAME?"/>
    <s v="Medium Budget"/>
    <n v="0.3"/>
    <s v="Efficient Spend"/>
    <s v="Medium"/>
  </r>
  <r>
    <s v="MKT1447"/>
    <d v="2024-06-15T00:00:00"/>
    <s v="C253"/>
    <n v="49"/>
    <s v="Male"/>
    <x v="2"/>
    <x v="3"/>
    <x v="0"/>
    <n v="90.85"/>
    <n v="16084"/>
    <n v="3568"/>
    <n v="66"/>
    <n v="4"/>
    <n v="22.18353643"/>
    <n v="1.8497757850000001"/>
    <n v="4"/>
    <m/>
    <m/>
    <m/>
    <m/>
    <m/>
    <s v="Low Performer"/>
    <e v="#NAME?"/>
    <s v="Low Budget"/>
    <n v="0.75"/>
    <s v="Efficient Spend"/>
    <s v="High"/>
  </r>
  <r>
    <s v="MKT1448"/>
    <d v="2024-03-31T00:00:00"/>
    <s v="C333"/>
    <n v="60"/>
    <s v="Male"/>
    <x v="5"/>
    <x v="0"/>
    <x v="2"/>
    <n v="135.41"/>
    <n v="5520"/>
    <n v="556"/>
    <n v="227"/>
    <n v="2"/>
    <n v="10.072463770000001"/>
    <n v="40.827338130000001"/>
    <n v="2"/>
    <m/>
    <m/>
    <m/>
    <m/>
    <m/>
    <s v="Low Performer"/>
    <e v="#NAME?"/>
    <s v="Low Budget"/>
    <n v="0.5"/>
    <s v="Efficient Spend"/>
    <s v="High"/>
  </r>
  <r>
    <s v="MKT1449"/>
    <d v="2024-05-25T00:00:00"/>
    <s v="C261"/>
    <n v="30"/>
    <s v="Male"/>
    <x v="5"/>
    <x v="1"/>
    <x v="2"/>
    <n v="477.25"/>
    <n v="46902"/>
    <n v="2366"/>
    <n v="12"/>
    <m/>
    <n v="5.0445609999999999"/>
    <n v="0.50718512299999996"/>
    <n v="3"/>
    <m/>
    <m/>
    <m/>
    <m/>
    <m/>
    <s v="Low Performer"/>
    <e v="#NAME?"/>
    <s v="Low Budget"/>
    <n v="1.2"/>
    <s v="Efficient Spend"/>
    <s v="High"/>
  </r>
  <r>
    <s v="MKT1450"/>
    <d v="2024-05-24T00:00:00"/>
    <s v="C272"/>
    <n v="41"/>
    <s v="Male"/>
    <x v="6"/>
    <x v="1"/>
    <x v="1"/>
    <n v="585.29"/>
    <n v="2617"/>
    <n v="4791"/>
    <n v="252"/>
    <m/>
    <n v="183.07222010000001"/>
    <n v="5.2598622419999996"/>
    <n v="3"/>
    <m/>
    <m/>
    <m/>
    <m/>
    <n v="0"/>
    <s v="Top Performer"/>
    <e v="#NAME?"/>
    <s v="Medium Budget"/>
    <n v="1.2"/>
    <s v="Efficient Spend"/>
    <s v="Medium"/>
  </r>
  <r>
    <s v="MKT1451"/>
    <d v="2024-03-12T00:00:00"/>
    <s v="C296"/>
    <n v="37"/>
    <s v="Male"/>
    <x v="5"/>
    <x v="4"/>
    <x v="0"/>
    <n v="1402.95"/>
    <n v="7974"/>
    <n v="4910"/>
    <n v="323"/>
    <n v="1"/>
    <n v="61.575119139999998"/>
    <n v="6.5784114049999998"/>
    <n v="1"/>
    <m/>
    <m/>
    <m/>
    <m/>
    <m/>
    <s v="Top Performer"/>
    <e v="#NAME?"/>
    <s v="High Budget"/>
    <n v="0.2"/>
    <s v="Inefficient Spend"/>
    <s v="High"/>
  </r>
  <r>
    <s v="MKT1452"/>
    <d v="2024-04-28T00:00:00"/>
    <s v="C282"/>
    <n v="21"/>
    <s v="Male"/>
    <x v="2"/>
    <x v="0"/>
    <x v="2"/>
    <n v="1756.99"/>
    <n v="29611"/>
    <n v="3794"/>
    <n v="379"/>
    <m/>
    <n v="12.812806050000001"/>
    <n v="9.9894570369999993"/>
    <n v="3"/>
    <m/>
    <m/>
    <m/>
    <m/>
    <m/>
    <s v="Top Performer"/>
    <e v="#NAME?"/>
    <s v="High Budget"/>
    <n v="0.5"/>
    <s v="Efficient Spend"/>
    <s v="High"/>
  </r>
  <r>
    <s v="MKT1453"/>
    <d v="2024-02-26T00:00:00"/>
    <s v="C396"/>
    <n v="30"/>
    <s v="Female"/>
    <x v="4"/>
    <x v="3"/>
    <x v="1"/>
    <n v="280.64999999999998"/>
    <n v="35248"/>
    <n v="3329"/>
    <n v="156"/>
    <n v="5"/>
    <n v="9.4445074899999994"/>
    <n v="4.6860919189999999"/>
    <n v="5"/>
    <m/>
    <m/>
    <m/>
    <m/>
    <m/>
    <s v="Average Performer"/>
    <e v="#NAME?"/>
    <s v="Low Budget"/>
    <n v="0.75"/>
    <s v="Efficient Spend"/>
    <s v="Medium"/>
  </r>
  <r>
    <s v="MKT1454"/>
    <d v="2024-09-02T00:00:00"/>
    <s v="C333"/>
    <n v="56"/>
    <s v="Female"/>
    <x v="0"/>
    <x v="0"/>
    <x v="0"/>
    <n v="1674.62"/>
    <n v="26920"/>
    <n v="2753"/>
    <n v="138"/>
    <n v="5"/>
    <n v="10.226597330000001"/>
    <n v="5.0127134040000003"/>
    <n v="5"/>
    <m/>
    <m/>
    <m/>
    <m/>
    <m/>
    <s v="Average Performer"/>
    <e v="#NAME?"/>
    <s v="High Budget"/>
    <n v="0.5"/>
    <s v="Inefficient Spend"/>
    <s v="High"/>
  </r>
  <r>
    <s v="MKT1455"/>
    <d v="2024-09-17T00:00:00"/>
    <s v="C354"/>
    <n v="30"/>
    <s v="Other"/>
    <x v="4"/>
    <x v="0"/>
    <x v="0"/>
    <n v="852.6"/>
    <n v="38069"/>
    <n v="2948"/>
    <n v="286"/>
    <n v="3"/>
    <n v="7.7438335650000001"/>
    <n v="9.701492537"/>
    <n v="3"/>
    <m/>
    <m/>
    <m/>
    <m/>
    <m/>
    <s v="Average Performer"/>
    <e v="#NAME?"/>
    <s v="Medium Budget"/>
    <n v="0.5"/>
    <s v="Efficient Spend"/>
    <s v="High"/>
  </r>
  <r>
    <s v="MKT1456"/>
    <d v="2024-09-11T00:00:00"/>
    <s v="C335"/>
    <n v="52"/>
    <s v="Female"/>
    <x v="4"/>
    <x v="4"/>
    <x v="2"/>
    <n v="152.69"/>
    <n v="47524"/>
    <n v="4929"/>
    <n v="140"/>
    <n v="3"/>
    <n v="10.371601719999999"/>
    <n v="2.8403327250000001"/>
    <n v="3"/>
    <m/>
    <m/>
    <m/>
    <m/>
    <m/>
    <s v="Average Performer"/>
    <e v="#NAME?"/>
    <s v="Low Budget"/>
    <n v="0.2"/>
    <s v="Efficient Spend"/>
    <s v="High"/>
  </r>
  <r>
    <s v="MKT1457"/>
    <d v="2024-06-23T00:00:00"/>
    <s v="C244"/>
    <n v="23"/>
    <s v="Other"/>
    <x v="0"/>
    <x v="2"/>
    <x v="0"/>
    <n v="1469.59"/>
    <n v="15095"/>
    <n v="1056"/>
    <n v="391"/>
    <n v="5"/>
    <n v="6.9956939379999996"/>
    <n v="37.026515150000002"/>
    <n v="5"/>
    <m/>
    <m/>
    <m/>
    <m/>
    <m/>
    <s v="Average Performer"/>
    <e v="#NAME?"/>
    <s v="High Budget"/>
    <n v="0.3"/>
    <s v="Inefficient Spend"/>
    <s v="High"/>
  </r>
  <r>
    <s v="MKT1458"/>
    <d v="2024-03-08T00:00:00"/>
    <s v="C389"/>
    <n v="34"/>
    <s v="Female"/>
    <x v="0"/>
    <x v="4"/>
    <x v="0"/>
    <n v="1906.86"/>
    <n v="36437"/>
    <n v="1266"/>
    <n v="180"/>
    <m/>
    <n v="3.474490216"/>
    <n v="14.218009479999999"/>
    <n v="3"/>
    <m/>
    <m/>
    <m/>
    <m/>
    <m/>
    <s v="Average Performer"/>
    <e v="#NAME?"/>
    <s v="High Budget"/>
    <n v="0.2"/>
    <s v="Inefficient Spend"/>
    <s v="High"/>
  </r>
  <r>
    <s v="MKT1459"/>
    <d v="2024-08-28T00:00:00"/>
    <s v="C373"/>
    <n v="53"/>
    <s v="Other"/>
    <x v="5"/>
    <x v="2"/>
    <x v="1"/>
    <n v="286.62"/>
    <n v="42967"/>
    <n v="3745"/>
    <n v="316"/>
    <n v="5"/>
    <n v="8.7159913420000006"/>
    <n v="8.4379172229999995"/>
    <n v="5"/>
    <m/>
    <m/>
    <m/>
    <m/>
    <m/>
    <s v="Top Performer"/>
    <e v="#NAME?"/>
    <s v="Low Budget"/>
    <n v="0.3"/>
    <s v="Efficient Spend"/>
    <s v="Medium"/>
  </r>
  <r>
    <s v="MKT1460"/>
    <d v="2024-08-03T00:00:00"/>
    <s v="C284"/>
    <n v="22"/>
    <s v="Other"/>
    <x v="3"/>
    <x v="2"/>
    <x v="3"/>
    <n v="1233.83"/>
    <n v="24663"/>
    <n v="4645"/>
    <n v="237"/>
    <m/>
    <n v="18.833880709999999"/>
    <n v="5.1022604950000003"/>
    <n v="3"/>
    <m/>
    <m/>
    <m/>
    <m/>
    <m/>
    <s v="Top Performer"/>
    <e v="#NAME?"/>
    <s v="High Budget"/>
    <n v="0.3"/>
    <s v="Efficient Spend"/>
    <s v="Medium"/>
  </r>
  <r>
    <s v="MKT1461"/>
    <d v="2024-10-11T00:00:00"/>
    <s v="C352"/>
    <n v="44"/>
    <s v="Male"/>
    <x v="3"/>
    <x v="3"/>
    <x v="1"/>
    <n v="364.32"/>
    <n v="11840"/>
    <n v="87"/>
    <n v="365"/>
    <n v="4"/>
    <n v="0.73479729699999996"/>
    <n v="419.54022989999999"/>
    <n v="4"/>
    <m/>
    <m/>
    <m/>
    <m/>
    <m/>
    <s v="Low Performer"/>
    <e v="#NAME?"/>
    <s v="Low Budget"/>
    <n v="0.75"/>
    <s v="Inefficient Spend"/>
    <s v="Medium"/>
  </r>
  <r>
    <s v="MKT1462"/>
    <d v="2024-06-21T00:00:00"/>
    <s v="C373"/>
    <n v="63"/>
    <s v="Male"/>
    <x v="5"/>
    <x v="2"/>
    <x v="0"/>
    <n v="1537.13"/>
    <n v="3337"/>
    <n v="1281"/>
    <n v="335"/>
    <m/>
    <n v="38.387773449999997"/>
    <n v="26.151444179999999"/>
    <n v="3"/>
    <m/>
    <m/>
    <m/>
    <m/>
    <m/>
    <s v="Average Performer"/>
    <e v="#NAME?"/>
    <s v="High Budget"/>
    <n v="0.3"/>
    <s v="Inefficient Spend"/>
    <s v="High"/>
  </r>
  <r>
    <s v="MKT1463"/>
    <d v="2024-10-19T00:00:00"/>
    <s v="C206"/>
    <n v="35"/>
    <s v="Female"/>
    <x v="4"/>
    <x v="1"/>
    <x v="0"/>
    <n v="601.66"/>
    <n v="23181"/>
    <n v="444"/>
    <n v="342"/>
    <n v="4"/>
    <n v="1.9153617190000001"/>
    <n v="77.027027029999999"/>
    <n v="4"/>
    <m/>
    <m/>
    <m/>
    <m/>
    <m/>
    <s v="Low Performer"/>
    <e v="#NAME?"/>
    <s v="Medium Budget"/>
    <n v="1.2"/>
    <s v="Inefficient Spend"/>
    <s v="High"/>
  </r>
  <r>
    <s v="MKT1464"/>
    <d v="2024-02-01T00:00:00"/>
    <s v="C281"/>
    <n v="58"/>
    <s v="Male"/>
    <x v="3"/>
    <x v="0"/>
    <x v="3"/>
    <n v="1609.82"/>
    <n v="12077"/>
    <n v="4168"/>
    <n v="79"/>
    <n v="4"/>
    <n v="34.51188209"/>
    <n v="1.895393474"/>
    <n v="4"/>
    <m/>
    <m/>
    <m/>
    <m/>
    <m/>
    <s v="Low Performer"/>
    <e v="#NAME?"/>
    <s v="High Budget"/>
    <n v="0.5"/>
    <s v="Efficient Spend"/>
    <s v="Medium"/>
  </r>
  <r>
    <s v="MKT1465"/>
    <d v="2024-10-31T00:00:00"/>
    <s v="C382"/>
    <n v="39"/>
    <s v="Female"/>
    <x v="3"/>
    <x v="1"/>
    <x v="2"/>
    <n v="543.67999999999995"/>
    <n v="10803"/>
    <n v="2408"/>
    <n v="80"/>
    <m/>
    <n v="22.290104599999999"/>
    <n v="3.322259136"/>
    <n v="3"/>
    <m/>
    <m/>
    <m/>
    <m/>
    <m/>
    <s v="Low Performer"/>
    <e v="#NAME?"/>
    <s v="Medium Budget"/>
    <n v="1.2"/>
    <s v="Efficient Spend"/>
    <s v="High"/>
  </r>
  <r>
    <s v="MKT1466"/>
    <d v="2024-02-10T00:00:00"/>
    <s v="C267"/>
    <n v="22"/>
    <s v="Male"/>
    <x v="1"/>
    <x v="2"/>
    <x v="1"/>
    <n v="249"/>
    <n v="7290"/>
    <n v="271"/>
    <n v="388"/>
    <n v="2"/>
    <n v="3.717421125"/>
    <n v="143.17343170000001"/>
    <n v="2"/>
    <m/>
    <m/>
    <m/>
    <m/>
    <m/>
    <s v="Low Performer"/>
    <e v="#NAME?"/>
    <s v="Low Budget"/>
    <n v="0.3"/>
    <s v="Inefficient Spend"/>
    <s v="Medium"/>
  </r>
  <r>
    <s v="MKT1467"/>
    <d v="2024-05-02T00:00:00"/>
    <s v="C220"/>
    <n v="36"/>
    <s v="Other"/>
    <x v="2"/>
    <x v="4"/>
    <x v="0"/>
    <n v="100.32"/>
    <n v="4883"/>
    <n v="4918"/>
    <n v="88"/>
    <n v="1"/>
    <n v="100.7167725"/>
    <n v="1.7893452620000001"/>
    <n v="1"/>
    <m/>
    <m/>
    <m/>
    <m/>
    <m/>
    <s v="Low Performer"/>
    <e v="#NAME?"/>
    <s v="Low Budget"/>
    <n v="0.2"/>
    <s v="Efficient Spend"/>
    <s v="High"/>
  </r>
  <r>
    <s v="MKT1468"/>
    <d v="2024-07-06T00:00:00"/>
    <s v="C345"/>
    <n v="51"/>
    <s v="Male"/>
    <x v="4"/>
    <x v="4"/>
    <x v="1"/>
    <n v="735.41"/>
    <n v="4469"/>
    <n v="671"/>
    <n v="45"/>
    <n v="3"/>
    <n v="15.01454464"/>
    <n v="6.7064083459999999"/>
    <n v="3"/>
    <m/>
    <m/>
    <m/>
    <m/>
    <m/>
    <s v="Low Performer"/>
    <e v="#NAME?"/>
    <s v="Medium Budget"/>
    <n v="0.2"/>
    <s v="Inefficient Spend"/>
    <s v="Medium"/>
  </r>
  <r>
    <s v="MKT1469"/>
    <d v="2024-09-12T00:00:00"/>
    <s v="C321"/>
    <n v="21"/>
    <s v="Female"/>
    <x v="1"/>
    <x v="4"/>
    <x v="2"/>
    <n v="424.94"/>
    <n v="28471"/>
    <n v="1738"/>
    <n v="16"/>
    <n v="3"/>
    <n v="6.1044571669999996"/>
    <n v="0.92059838900000002"/>
    <n v="3"/>
    <m/>
    <m/>
    <m/>
    <m/>
    <m/>
    <s v="Low Performer"/>
    <e v="#NAME?"/>
    <s v="Low Budget"/>
    <n v="0.2"/>
    <s v="Inefficient Spend"/>
    <s v="High"/>
  </r>
  <r>
    <s v="MKT1470"/>
    <d v="2024-11-16T00:00:00"/>
    <s v="C276"/>
    <n v="32"/>
    <s v="Female"/>
    <x v="3"/>
    <x v="0"/>
    <x v="0"/>
    <n v="763.76"/>
    <n v="27895"/>
    <n v="3565"/>
    <n v="42"/>
    <n v="5"/>
    <n v="12.78006811"/>
    <n v="1.178120617"/>
    <n v="5"/>
    <m/>
    <m/>
    <m/>
    <m/>
    <m/>
    <s v="Low Performer"/>
    <e v="#NAME?"/>
    <s v="Medium Budget"/>
    <n v="0.5"/>
    <s v="Efficient Spend"/>
    <s v="High"/>
  </r>
  <r>
    <s v="MKT1471"/>
    <d v="2024-01-29T00:00:00"/>
    <s v="C237"/>
    <n v="21"/>
    <s v="Female"/>
    <x v="3"/>
    <x v="2"/>
    <x v="0"/>
    <n v="873.27"/>
    <n v="11048"/>
    <n v="4528"/>
    <n v="219"/>
    <n v="1"/>
    <n v="40.984793629999999"/>
    <n v="4.8365724380000001"/>
    <n v="1"/>
    <m/>
    <m/>
    <m/>
    <m/>
    <m/>
    <s v="Top Performer"/>
    <e v="#NAME?"/>
    <s v="Medium Budget"/>
    <n v="0.3"/>
    <s v="Efficient Spend"/>
    <s v="High"/>
  </r>
  <r>
    <s v="MKT1472"/>
    <d v="2024-01-08T00:00:00"/>
    <s v="C379"/>
    <n v="24"/>
    <s v="Other"/>
    <x v="5"/>
    <x v="3"/>
    <x v="2"/>
    <n v="559.04"/>
    <n v="48184"/>
    <n v="676"/>
    <n v="55"/>
    <n v="5"/>
    <n v="1.4029553379999999"/>
    <n v="8.1360946750000007"/>
    <n v="5"/>
    <m/>
    <m/>
    <m/>
    <m/>
    <m/>
    <s v="Low Performer"/>
    <e v="#NAME?"/>
    <s v="Medium Budget"/>
    <n v="0.75"/>
    <s v="Inefficient Spend"/>
    <s v="High"/>
  </r>
  <r>
    <s v="MKT1473"/>
    <d v="2024-02-13T00:00:00"/>
    <s v="C238"/>
    <n v="40"/>
    <s v="Female"/>
    <x v="1"/>
    <x v="3"/>
    <x v="0"/>
    <n v="1729.99"/>
    <n v="37883"/>
    <n v="4156"/>
    <n v="286"/>
    <n v="5"/>
    <n v="10.970620070000001"/>
    <n v="6.8816169389999997"/>
    <n v="5"/>
    <m/>
    <m/>
    <m/>
    <m/>
    <m/>
    <s v="Top Performer"/>
    <e v="#NAME?"/>
    <s v="High Budget"/>
    <n v="0.75"/>
    <s v="Efficient Spend"/>
    <s v="High"/>
  </r>
  <r>
    <s v="MKT1474"/>
    <d v="2024-12-12T00:00:00"/>
    <s v="C367"/>
    <n v="47"/>
    <s v="Other"/>
    <x v="2"/>
    <x v="4"/>
    <x v="1"/>
    <n v="1396.64"/>
    <n v="48853"/>
    <n v="1265"/>
    <n v="168"/>
    <n v="1"/>
    <n v="2.5894008560000001"/>
    <n v="13.280632410000001"/>
    <n v="1"/>
    <m/>
    <m/>
    <m/>
    <m/>
    <m/>
    <s v="Average Performer"/>
    <e v="#NAME?"/>
    <s v="High Budget"/>
    <n v="0.2"/>
    <s v="Inefficient Spend"/>
    <s v="Medium"/>
  </r>
  <r>
    <s v="MKT1475"/>
    <d v="2024-05-13T00:00:00"/>
    <s v="C324"/>
    <n v="25"/>
    <s v="Male"/>
    <x v="0"/>
    <x v="1"/>
    <x v="0"/>
    <n v="1639.47"/>
    <n v="34488"/>
    <n v="288"/>
    <n v="12"/>
    <n v="2"/>
    <n v="0.835073069"/>
    <n v="4.1666666670000003"/>
    <n v="2"/>
    <m/>
    <m/>
    <m/>
    <m/>
    <m/>
    <s v="Low Performer"/>
    <e v="#NAME?"/>
    <s v="High Budget"/>
    <n v="1.2"/>
    <s v="Inefficient Spend"/>
    <s v="High"/>
  </r>
  <r>
    <s v="MKT1476"/>
    <d v="2024-11-28T00:00:00"/>
    <s v="C249"/>
    <n v="19"/>
    <s v="Female"/>
    <x v="1"/>
    <x v="4"/>
    <x v="1"/>
    <n v="1118.92"/>
    <n v="13713"/>
    <n v="4502"/>
    <n v="199"/>
    <n v="1"/>
    <n v="32.830161160000003"/>
    <n v="4.4202576630000001"/>
    <n v="1"/>
    <m/>
    <m/>
    <m/>
    <m/>
    <m/>
    <s v="Average Performer"/>
    <e v="#NAME?"/>
    <s v="High Budget"/>
    <n v="0.2"/>
    <s v="Inefficient Spend"/>
    <s v="Medium"/>
  </r>
  <r>
    <s v="MKT1477"/>
    <d v="2024-11-17T00:00:00"/>
    <s v="C234"/>
    <n v="31"/>
    <s v="Other"/>
    <x v="1"/>
    <x v="1"/>
    <x v="0"/>
    <n v="345.88"/>
    <n v="1064"/>
    <n v="1285"/>
    <n v="15"/>
    <n v="3"/>
    <n v="120.7706767"/>
    <n v="1.1673151749999999"/>
    <n v="3"/>
    <m/>
    <m/>
    <m/>
    <m/>
    <n v="0"/>
    <s v="Low Performer"/>
    <e v="#NAME?"/>
    <s v="Low Budget"/>
    <n v="1.2"/>
    <s v="Efficient Spend"/>
    <s v="High"/>
  </r>
  <r>
    <s v="MKT1478"/>
    <d v="2024-08-01T00:00:00"/>
    <s v="C270"/>
    <n v="37"/>
    <s v="Male"/>
    <x v="1"/>
    <x v="0"/>
    <x v="3"/>
    <n v="1399.6"/>
    <n v="20146"/>
    <n v="4092"/>
    <n v="396"/>
    <n v="1"/>
    <n v="20.31172441"/>
    <n v="9.6774193549999996"/>
    <n v="1"/>
    <m/>
    <m/>
    <m/>
    <m/>
    <m/>
    <s v="Top Performer"/>
    <e v="#NAME?"/>
    <s v="High Budget"/>
    <n v="0.5"/>
    <s v="Efficient Spend"/>
    <s v="Medium"/>
  </r>
  <r>
    <s v="MKT1479"/>
    <d v="2024-03-30T00:00:00"/>
    <s v="C235"/>
    <n v="56"/>
    <s v="Male"/>
    <x v="2"/>
    <x v="3"/>
    <x v="1"/>
    <n v="1495.4"/>
    <n v="29712"/>
    <n v="2236"/>
    <n v="110"/>
    <n v="4"/>
    <n v="7.5255788910000003"/>
    <n v="4.919499106"/>
    <n v="4"/>
    <m/>
    <m/>
    <m/>
    <m/>
    <m/>
    <s v="Average Performer"/>
    <e v="#NAME?"/>
    <s v="High Budget"/>
    <n v="0.75"/>
    <s v="Efficient Spend"/>
    <s v="Medium"/>
  </r>
  <r>
    <s v="MKT1480"/>
    <d v="2024-06-29T00:00:00"/>
    <s v="C284"/>
    <n v="22"/>
    <s v="Female"/>
    <x v="3"/>
    <x v="0"/>
    <x v="0"/>
    <n v="1275.81"/>
    <n v="34527"/>
    <n v="1341"/>
    <n v="81"/>
    <n v="1"/>
    <n v="3.8839169349999998"/>
    <n v="6.0402684559999997"/>
    <n v="1"/>
    <m/>
    <m/>
    <m/>
    <m/>
    <m/>
    <s v="Low Performer"/>
    <e v="#NAME?"/>
    <s v="High Budget"/>
    <n v="0.5"/>
    <s v="Inefficient Spend"/>
    <s v="High"/>
  </r>
  <r>
    <s v="MKT1481"/>
    <d v="2024-03-30T00:00:00"/>
    <s v="C223"/>
    <n v="34"/>
    <s v="Female"/>
    <x v="0"/>
    <x v="1"/>
    <x v="2"/>
    <n v="1447.21"/>
    <n v="23239"/>
    <n v="1637"/>
    <n v="286"/>
    <n v="4"/>
    <n v="7.0441929520000004"/>
    <n v="17.47098351"/>
    <n v="4"/>
    <m/>
    <m/>
    <m/>
    <m/>
    <m/>
    <s v="Average Performer"/>
    <e v="#NAME?"/>
    <s v="High Budget"/>
    <n v="1.2"/>
    <s v="Efficient Spend"/>
    <s v="High"/>
  </r>
  <r>
    <s v="MKT1482"/>
    <d v="2024-01-22T00:00:00"/>
    <s v="C389"/>
    <n v="54"/>
    <s v="Male"/>
    <x v="5"/>
    <x v="4"/>
    <x v="3"/>
    <n v="1807.33"/>
    <n v="4303"/>
    <n v="3197"/>
    <n v="124"/>
    <n v="4"/>
    <n v="74.297002090000007"/>
    <n v="3.8786362209999998"/>
    <n v="4"/>
    <m/>
    <m/>
    <m/>
    <m/>
    <m/>
    <s v="Average Performer"/>
    <e v="#NAME?"/>
    <s v="High Budget"/>
    <n v="0.2"/>
    <s v="Inefficient Spend"/>
    <s v="Medium"/>
  </r>
  <r>
    <s v="MKT1483"/>
    <d v="2024-04-12T00:00:00"/>
    <s v="C293"/>
    <n v="29"/>
    <s v="Female"/>
    <x v="3"/>
    <x v="2"/>
    <x v="3"/>
    <n v="279.16000000000003"/>
    <n v="46212"/>
    <n v="4540"/>
    <n v="90"/>
    <m/>
    <n v="9.8242880639999992"/>
    <n v="1.9823788550000001"/>
    <n v="3"/>
    <m/>
    <m/>
    <m/>
    <m/>
    <m/>
    <s v="Low Performer"/>
    <e v="#NAME?"/>
    <s v="Low Budget"/>
    <n v="0.3"/>
    <s v="Efficient Spend"/>
    <s v="Medium"/>
  </r>
  <r>
    <s v="MKT1484"/>
    <d v="2024-04-17T00:00:00"/>
    <s v="C368"/>
    <n v="41"/>
    <s v="Male"/>
    <x v="6"/>
    <x v="2"/>
    <x v="3"/>
    <n v="569.16"/>
    <n v="8704"/>
    <n v="4318"/>
    <n v="34"/>
    <m/>
    <n v="49.609375"/>
    <n v="0.78740157499999996"/>
    <n v="3"/>
    <m/>
    <m/>
    <m/>
    <m/>
    <m/>
    <s v="Low Performer"/>
    <e v="#NAME?"/>
    <s v="Medium Budget"/>
    <n v="0.3"/>
    <s v="Efficient Spend"/>
    <s v="Medium"/>
  </r>
  <r>
    <s v="MKT1485"/>
    <d v="2024-06-14T00:00:00"/>
    <s v="C244"/>
    <n v="26"/>
    <s v="Male"/>
    <x v="0"/>
    <x v="3"/>
    <x v="0"/>
    <n v="427.94"/>
    <n v="31240"/>
    <n v="2206"/>
    <n v="270"/>
    <n v="4"/>
    <n v="7.0614596670000003"/>
    <n v="12.23934723"/>
    <n v="4"/>
    <m/>
    <m/>
    <m/>
    <m/>
    <m/>
    <s v="Average Performer"/>
    <e v="#NAME?"/>
    <s v="Low Budget"/>
    <n v="0.75"/>
    <s v="Efficient Spend"/>
    <s v="High"/>
  </r>
  <r>
    <s v="MKT1486"/>
    <d v="2024-10-08T00:00:00"/>
    <s v="C371"/>
    <n v="52"/>
    <s v="Other"/>
    <x v="4"/>
    <x v="2"/>
    <x v="0"/>
    <n v="1073.06"/>
    <n v="35650"/>
    <n v="309"/>
    <n v="131"/>
    <n v="3"/>
    <n v="0.866760168"/>
    <n v="42.394822009999999"/>
    <n v="3"/>
    <m/>
    <m/>
    <m/>
    <m/>
    <m/>
    <s v="Low Performer"/>
    <e v="#NAME?"/>
    <s v="High Budget"/>
    <n v="0.3"/>
    <s v="Inefficient Spend"/>
    <s v="High"/>
  </r>
  <r>
    <s v="MKT1487"/>
    <d v="2024-03-09T00:00:00"/>
    <s v="C215"/>
    <n v="33"/>
    <s v="Other"/>
    <x v="5"/>
    <x v="0"/>
    <x v="2"/>
    <n v="1095.5899999999999"/>
    <n v="8097"/>
    <n v="4780"/>
    <n v="337"/>
    <n v="2"/>
    <n v="59.034210199999997"/>
    <n v="7.0502092049999998"/>
    <n v="2"/>
    <m/>
    <m/>
    <m/>
    <m/>
    <m/>
    <s v="Top Performer"/>
    <e v="#NAME?"/>
    <s v="High Budget"/>
    <n v="0.5"/>
    <s v="Efficient Spend"/>
    <s v="High"/>
  </r>
  <r>
    <s v="MKT1488"/>
    <d v="2024-05-30T00:00:00"/>
    <s v="C389"/>
    <n v="58"/>
    <s v="Other"/>
    <x v="1"/>
    <x v="2"/>
    <x v="2"/>
    <n v="1616.83"/>
    <n v="48262"/>
    <n v="2065"/>
    <n v="16"/>
    <n v="3"/>
    <n v="4.2787286059999996"/>
    <n v="0.77481840199999996"/>
    <n v="3"/>
    <m/>
    <m/>
    <m/>
    <m/>
    <m/>
    <s v="Low Performer"/>
    <e v="#NAME?"/>
    <s v="High Budget"/>
    <n v="0.3"/>
    <s v="Inefficient Spend"/>
    <s v="High"/>
  </r>
  <r>
    <s v="MKT1489"/>
    <d v="2024-02-02T00:00:00"/>
    <s v="C369"/>
    <n v="44"/>
    <s v="Other"/>
    <x v="4"/>
    <x v="4"/>
    <x v="1"/>
    <n v="1635.95"/>
    <n v="7197"/>
    <n v="1788"/>
    <n v="24"/>
    <n v="2"/>
    <n v="24.843684870000001"/>
    <n v="1.342281879"/>
    <n v="2"/>
    <m/>
    <m/>
    <m/>
    <m/>
    <m/>
    <s v="Low Performer"/>
    <e v="#NAME?"/>
    <s v="High Budget"/>
    <n v="0.2"/>
    <s v="Inefficient Spend"/>
    <s v="Medium"/>
  </r>
  <r>
    <s v="MKT1490"/>
    <d v="2024-11-15T00:00:00"/>
    <s v="C277"/>
    <n v="41"/>
    <s v="Male"/>
    <x v="6"/>
    <x v="2"/>
    <x v="3"/>
    <n v="446.63"/>
    <n v="31137"/>
    <n v="3898"/>
    <n v="269"/>
    <m/>
    <n v="12.518868230000001"/>
    <n v="6.9009748589999997"/>
    <n v="3"/>
    <m/>
    <m/>
    <m/>
    <m/>
    <m/>
    <s v="Top Performer"/>
    <e v="#NAME?"/>
    <s v="Low Budget"/>
    <n v="0.3"/>
    <s v="Efficient Spend"/>
    <s v="Medium"/>
  </r>
  <r>
    <s v="MKT1491"/>
    <d v="2024-08-14T00:00:00"/>
    <s v="C383"/>
    <n v="43"/>
    <s v="Male"/>
    <x v="3"/>
    <x v="3"/>
    <x v="1"/>
    <n v="1926.85"/>
    <n v="45461"/>
    <n v="3777"/>
    <n v="258"/>
    <n v="4"/>
    <n v="8.3082202330000001"/>
    <n v="6.8308181100000001"/>
    <n v="4"/>
    <m/>
    <m/>
    <m/>
    <m/>
    <m/>
    <s v="Top Performer"/>
    <e v="#NAME?"/>
    <s v="High Budget"/>
    <n v="0.75"/>
    <s v="Efficient Spend"/>
    <s v="Medium"/>
  </r>
  <r>
    <s v="MKT1492"/>
    <d v="2024-01-11T00:00:00"/>
    <s v="C208"/>
    <n v="46"/>
    <s v="Male"/>
    <x v="1"/>
    <x v="0"/>
    <x v="0"/>
    <n v="1472.98"/>
    <n v="42049"/>
    <n v="779"/>
    <n v="64"/>
    <n v="3"/>
    <n v="1.852600537"/>
    <n v="8.2156611040000005"/>
    <n v="3"/>
    <m/>
    <m/>
    <m/>
    <m/>
    <m/>
    <s v="Low Performer"/>
    <e v="#NAME?"/>
    <s v="High Budget"/>
    <n v="0.5"/>
    <s v="Inefficient Spend"/>
    <s v="High"/>
  </r>
  <r>
    <s v="MKT1493"/>
    <d v="2024-11-29T00:00:00"/>
    <s v="C294"/>
    <n v="20"/>
    <s v="Female"/>
    <x v="0"/>
    <x v="4"/>
    <x v="3"/>
    <n v="656.89"/>
    <n v="935"/>
    <n v="3128"/>
    <n v="248"/>
    <m/>
    <n v="334.54545450000001"/>
    <n v="7.9283887469999996"/>
    <n v="3"/>
    <m/>
    <m/>
    <m/>
    <m/>
    <n v="0"/>
    <s v="Top Performer"/>
    <e v="#NAME?"/>
    <s v="Medium Budget"/>
    <n v="0.2"/>
    <s v="Inefficient Spend"/>
    <s v="Medium"/>
  </r>
  <r>
    <s v="MKT1494"/>
    <d v="2024-06-12T00:00:00"/>
    <s v="C393"/>
    <n v="51"/>
    <s v="Other"/>
    <x v="1"/>
    <x v="2"/>
    <x v="0"/>
    <n v="553.27"/>
    <n v="44864"/>
    <n v="4157"/>
    <n v="130"/>
    <n v="3"/>
    <n v="9.2657810269999992"/>
    <n v="3.127255232"/>
    <n v="3"/>
    <m/>
    <m/>
    <m/>
    <m/>
    <m/>
    <s v="Average Performer"/>
    <e v="#NAME?"/>
    <s v="Medium Budget"/>
    <n v="0.3"/>
    <s v="Efficient Spend"/>
    <s v="High"/>
  </r>
  <r>
    <s v="MKT1495"/>
    <d v="2024-02-08T00:00:00"/>
    <s v="C241"/>
    <n v="59"/>
    <s v="Male"/>
    <x v="2"/>
    <x v="0"/>
    <x v="0"/>
    <n v="398.14"/>
    <n v="21016"/>
    <n v="1705"/>
    <n v="384"/>
    <n v="2"/>
    <n v="8.1128663880000005"/>
    <n v="22.52199413"/>
    <n v="2"/>
    <m/>
    <m/>
    <m/>
    <m/>
    <m/>
    <s v="Average Performer"/>
    <e v="#NAME?"/>
    <s v="Low Budget"/>
    <n v="0.5"/>
    <s v="Efficient Spend"/>
    <s v="High"/>
  </r>
  <r>
    <s v="MKT1496"/>
    <d v="2024-12-25T00:00:00"/>
    <s v="C308"/>
    <n v="61"/>
    <s v="Female"/>
    <x v="4"/>
    <x v="3"/>
    <x v="2"/>
    <n v="1709.65"/>
    <n v="12991"/>
    <n v="3816"/>
    <n v="394"/>
    <m/>
    <n v="29.374182130000001"/>
    <n v="10.324947590000001"/>
    <n v="3"/>
    <m/>
    <m/>
    <m/>
    <m/>
    <m/>
    <s v="Top Performer"/>
    <e v="#NAME?"/>
    <s v="High Budget"/>
    <n v="0.75"/>
    <s v="Efficient Spend"/>
    <s v="High"/>
  </r>
  <r>
    <s v="MKT1497"/>
    <d v="2024-04-22T00:00:00"/>
    <s v="C267"/>
    <n v="48"/>
    <s v="Male"/>
    <x v="0"/>
    <x v="1"/>
    <x v="2"/>
    <n v="1638.68"/>
    <n v="35229"/>
    <n v="4750"/>
    <n v="174"/>
    <n v="1"/>
    <n v="13.483209860000001"/>
    <n v="3.6631578949999999"/>
    <n v="1"/>
    <m/>
    <m/>
    <m/>
    <m/>
    <m/>
    <s v="Average Performer"/>
    <e v="#NAME?"/>
    <s v="High Budget"/>
    <n v="1.2"/>
    <s v="Efficient Spend"/>
    <s v="High"/>
  </r>
  <r>
    <s v="MKT1498"/>
    <d v="2024-01-01T00:00:00"/>
    <s v="C268"/>
    <n v="40"/>
    <s v="Female"/>
    <x v="5"/>
    <x v="1"/>
    <x v="1"/>
    <n v="1560.04"/>
    <n v="4611"/>
    <n v="2522"/>
    <n v="308"/>
    <n v="1"/>
    <n v="54.69529386"/>
    <n v="12.212529740000001"/>
    <n v="1"/>
    <m/>
    <m/>
    <m/>
    <m/>
    <m/>
    <s v="Average Performer"/>
    <e v="#NAME?"/>
    <s v="High Budget"/>
    <n v="1.2"/>
    <s v="Efficient Spend"/>
    <s v="Medium"/>
  </r>
  <r>
    <s v="MKT1499"/>
    <d v="2024-03-23T00:00:00"/>
    <s v="C347"/>
    <n v="43"/>
    <s v="Other"/>
    <x v="0"/>
    <x v="3"/>
    <x v="0"/>
    <n v="767.66"/>
    <n v="753"/>
    <n v="627"/>
    <n v="301"/>
    <m/>
    <n v="83.266932269999998"/>
    <n v="48.006379590000002"/>
    <n v="3"/>
    <m/>
    <m/>
    <m/>
    <m/>
    <m/>
    <s v="Low Performer"/>
    <e v="#NAME?"/>
    <s v="Medium Budget"/>
    <n v="0.75"/>
    <s v="Inefficient Spend"/>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C17" firstHeaderRow="0" firstDataRow="1" firstDataCol="1"/>
  <pivotFields count="27">
    <pivotField showAll="0"/>
    <pivotField numFmtId="14" showAll="0"/>
    <pivotField showAll="0"/>
    <pivotField showAll="0"/>
    <pivotField showAll="0"/>
    <pivotField axis="axisRow" showAll="0">
      <items count="8">
        <item x="3"/>
        <item x="5"/>
        <item x="1"/>
        <item x="4"/>
        <item x="2"/>
        <item x="0"/>
        <item h="1" x="6"/>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Ad_Spend" fld="8" baseField="0" baseItem="0"/>
    <dataField name="Sum of Conversio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G6" firstHeaderRow="0" firstDataRow="1" firstDataCol="1"/>
  <pivotFields count="27">
    <pivotField showAll="0"/>
    <pivotField numFmtId="14" showAll="0"/>
    <pivotField showAll="0"/>
    <pivotField showAll="0"/>
    <pivotField showAll="0"/>
    <pivotField showAll="0"/>
    <pivotField showAll="0"/>
    <pivotField axis="axisRow" showAll="0">
      <items count="5">
        <item x="1"/>
        <item x="3"/>
        <item x="2"/>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Sum of Clicks" fld="10" baseField="0" baseItem="0"/>
    <dataField name="Sum of Conversio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7" firstHeaderRow="0" firstDataRow="1" firstDataCol="1"/>
  <pivotFields count="27">
    <pivotField showAll="0"/>
    <pivotField numFmtId="14" showAll="0"/>
    <pivotField showAll="0"/>
    <pivotField showAll="0"/>
    <pivotField showAll="0"/>
    <pivotField showAll="0">
      <items count="8">
        <item x="3"/>
        <item x="5"/>
        <item x="1"/>
        <item x="4"/>
        <item x="2"/>
        <item x="0"/>
        <item x="6"/>
        <item t="default"/>
      </items>
    </pivotField>
    <pivotField axis="axisRow" showAll="0">
      <items count="6">
        <item x="4"/>
        <item x="0"/>
        <item x="1"/>
        <item x="3"/>
        <item x="2"/>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Conversions" fld="11" baseField="0" baseItem="0"/>
    <dataField name="Sum of Ad_Spend"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2</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1"/>
  </pivotTables>
  <data>
    <tabular pivotCacheId="1">
      <items count="7">
        <i x="3" s="1"/>
        <i x="5" s="1"/>
        <i x="1" s="1"/>
        <i x="4"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topLeftCell="A2" workbookViewId="0">
      <selection activeCell="B7" sqref="A1:P501"/>
    </sheetView>
  </sheetViews>
  <sheetFormatPr defaultColWidth="16.7265625" defaultRowHeight="17.5" customHeight="1" x14ac:dyDescent="0.35"/>
  <cols>
    <col min="16" max="16" width="18.26953125" customWidth="1"/>
    <col min="25" max="25" width="23.08984375" customWidth="1"/>
    <col min="26" max="26" width="27.08984375" customWidth="1"/>
    <col min="27" max="27" width="17.90625" customWidth="1"/>
  </cols>
  <sheetData>
    <row r="1" spans="1:27" s="4" customFormat="1" ht="17.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S1" s="3" t="s">
        <v>16</v>
      </c>
      <c r="U1" s="3" t="s">
        <v>17</v>
      </c>
      <c r="V1" s="4" t="s">
        <v>18</v>
      </c>
      <c r="W1" s="4" t="s">
        <v>19</v>
      </c>
      <c r="X1" s="4" t="s">
        <v>20</v>
      </c>
      <c r="Y1" s="6" t="s">
        <v>729</v>
      </c>
      <c r="Z1" s="6" t="s">
        <v>730</v>
      </c>
      <c r="AA1" s="6" t="s">
        <v>731</v>
      </c>
    </row>
    <row r="2" spans="1:27" ht="17.5" customHeight="1" x14ac:dyDescent="0.35">
      <c r="A2" s="1" t="s">
        <v>21</v>
      </c>
      <c r="B2" s="2">
        <v>45467</v>
      </c>
      <c r="C2" s="1" t="s">
        <v>22</v>
      </c>
      <c r="D2" s="1">
        <v>27</v>
      </c>
      <c r="E2" s="1" t="s">
        <v>23</v>
      </c>
      <c r="F2" s="1" t="s">
        <v>24</v>
      </c>
      <c r="G2" s="1" t="s">
        <v>25</v>
      </c>
      <c r="H2" s="1" t="s">
        <v>26</v>
      </c>
      <c r="I2" s="1">
        <v>1779.52</v>
      </c>
      <c r="J2" s="1">
        <v>35715</v>
      </c>
      <c r="K2" s="1">
        <v>3140</v>
      </c>
      <c r="L2" s="1">
        <v>274</v>
      </c>
      <c r="M2" s="1">
        <v>2</v>
      </c>
      <c r="N2" s="1">
        <v>8.7918241639999994</v>
      </c>
      <c r="O2" s="1">
        <v>8.7261146499999995</v>
      </c>
      <c r="P2" s="1">
        <f t="shared" ref="P2:P256" si="0">IF(ISBLANK(M2), $S$2, M2)</f>
        <v>2</v>
      </c>
      <c r="S2" s="1">
        <f>ROUND(AVERAGE(M:M),0)</f>
        <v>3</v>
      </c>
      <c r="U2" s="1">
        <f>COUNTIF(N2:N1000, N2&gt;100)</f>
        <v>0</v>
      </c>
      <c r="V2" t="str">
        <f t="shared" ref="V2:V65" si="1">IF(AND(L2&gt;200,K2&gt;3000),"Top Performer", IF(AND(L2&gt;=100,K2&gt;=1000),"Average Performer","Low Performer"))</f>
        <v>Top Performer</v>
      </c>
      <c r="W2" t="str" cm="1">
        <f t="array" ref="W2">_xlfn.IFS(N2&gt;=20, "High",N2&gt;=10, "Medium", N2&lt;10, "Low")</f>
        <v>Low</v>
      </c>
      <c r="X2" t="str">
        <f t="shared" ref="X2:X65" si="2">IF(I2&gt;1000, "High Budget",IF(I2&gt;=500, "Medium Budget", "Low Budget"))</f>
        <v>High Budget</v>
      </c>
      <c r="Y2" s="7">
        <f>VLOOKUP(G2, Lookup_table!B:C,2,0)</f>
        <v>0.5</v>
      </c>
      <c r="Z2" t="str">
        <f t="shared" ref="Z2:Z65" si="3">IF(I2/K2&lt;Y2, "Efficient Spend", "Inefficient Spend")</f>
        <v>Inefficient Spend</v>
      </c>
      <c r="AA2" t="str">
        <f>VLOOKUP(H2, Lookup_table!E:F,2,0)</f>
        <v>High</v>
      </c>
    </row>
    <row r="3" spans="1:27" ht="17.5" customHeight="1" x14ac:dyDescent="0.35">
      <c r="A3" s="1" t="s">
        <v>27</v>
      </c>
      <c r="B3" s="2">
        <v>45488</v>
      </c>
      <c r="C3" s="1" t="s">
        <v>28</v>
      </c>
      <c r="D3" s="1">
        <v>24</v>
      </c>
      <c r="E3" s="1" t="s">
        <v>29</v>
      </c>
      <c r="F3" s="1" t="s">
        <v>30</v>
      </c>
      <c r="G3" s="1" t="s">
        <v>31</v>
      </c>
      <c r="H3" s="1" t="s">
        <v>32</v>
      </c>
      <c r="I3" s="1">
        <v>464.78</v>
      </c>
      <c r="J3" s="1">
        <v>13758</v>
      </c>
      <c r="K3" s="1">
        <v>3324</v>
      </c>
      <c r="L3" s="1">
        <v>5</v>
      </c>
      <c r="M3" s="1">
        <v>3</v>
      </c>
      <c r="N3" s="1">
        <v>24.160488440000002</v>
      </c>
      <c r="O3" s="1">
        <v>0.15042117899999999</v>
      </c>
      <c r="P3" s="1">
        <f t="shared" si="0"/>
        <v>3</v>
      </c>
      <c r="U3" s="1">
        <f>COUNTIF(N3:N1001, N3&gt;100)</f>
        <v>0</v>
      </c>
      <c r="V3" t="str">
        <f t="shared" si="1"/>
        <v>Low Performer</v>
      </c>
      <c r="W3" t="str" cm="1">
        <f t="array" ref="W3">_xlfn.IFS(N3&gt;=20, "High",N3&gt;=10, "Medium", N3&lt;10, "Low")</f>
        <v>High</v>
      </c>
      <c r="X3" t="str">
        <f t="shared" si="2"/>
        <v>Low Budget</v>
      </c>
      <c r="Y3" s="7">
        <f>VLOOKUP(G3, Lookup_table!B:C,2,0)</f>
        <v>1.2</v>
      </c>
      <c r="Z3" t="str">
        <f t="shared" si="3"/>
        <v>Efficient Spend</v>
      </c>
      <c r="AA3" t="str">
        <f>VLOOKUP(H3, Lookup_table!E:F,2,0)</f>
        <v>Medium</v>
      </c>
    </row>
    <row r="4" spans="1:27" ht="17.5" customHeight="1" x14ac:dyDescent="0.35">
      <c r="A4" s="1" t="s">
        <v>33</v>
      </c>
      <c r="B4" s="2">
        <v>45317</v>
      </c>
      <c r="C4" s="1" t="s">
        <v>34</v>
      </c>
      <c r="D4" s="1">
        <v>35</v>
      </c>
      <c r="E4" s="1" t="s">
        <v>35</v>
      </c>
      <c r="F4" s="1" t="s">
        <v>24</v>
      </c>
      <c r="G4" s="1" t="s">
        <v>25</v>
      </c>
      <c r="H4" s="1" t="s">
        <v>36</v>
      </c>
      <c r="I4" s="1">
        <v>561.14</v>
      </c>
      <c r="J4" s="1">
        <v>48381</v>
      </c>
      <c r="K4" s="1">
        <v>321</v>
      </c>
      <c r="L4" s="1">
        <v>163</v>
      </c>
      <c r="N4" s="1">
        <v>0.66348359899999998</v>
      </c>
      <c r="O4" s="1">
        <v>50.778816200000001</v>
      </c>
      <c r="P4" s="1">
        <f t="shared" si="0"/>
        <v>3</v>
      </c>
      <c r="V4" t="str">
        <f t="shared" si="1"/>
        <v>Low Performer</v>
      </c>
      <c r="W4" t="str" cm="1">
        <f t="array" ref="W4">_xlfn.IFS(N4&gt;=20, "High",N4&gt;=10, "Medium", N4&lt;10, "Low")</f>
        <v>Low</v>
      </c>
      <c r="X4" t="str">
        <f t="shared" si="2"/>
        <v>Medium Budget</v>
      </c>
      <c r="Y4" s="7">
        <f>VLOOKUP(G4, Lookup_table!B:C,2,0)</f>
        <v>0.5</v>
      </c>
      <c r="Z4" t="str">
        <f t="shared" si="3"/>
        <v>Inefficient Spend</v>
      </c>
      <c r="AA4" t="str">
        <f>VLOOKUP(H4, Lookup_table!E:F,2,0)</f>
        <v>High</v>
      </c>
    </row>
    <row r="5" spans="1:27" ht="17.5" customHeight="1" x14ac:dyDescent="0.35">
      <c r="A5" s="1" t="s">
        <v>37</v>
      </c>
      <c r="B5" s="2">
        <v>45359</v>
      </c>
      <c r="C5" s="1" t="s">
        <v>38</v>
      </c>
      <c r="D5" s="1">
        <v>20</v>
      </c>
      <c r="E5" s="1" t="s">
        <v>23</v>
      </c>
      <c r="F5" s="1" t="s">
        <v>30</v>
      </c>
      <c r="G5" s="1" t="s">
        <v>25</v>
      </c>
      <c r="H5" s="1" t="s">
        <v>32</v>
      </c>
      <c r="I5" s="1">
        <v>297.57</v>
      </c>
      <c r="J5" s="1">
        <v>15697</v>
      </c>
      <c r="K5" s="1">
        <v>3375</v>
      </c>
      <c r="L5" s="1">
        <v>280</v>
      </c>
      <c r="M5" s="1">
        <v>5</v>
      </c>
      <c r="N5" s="1">
        <v>21.500923740000001</v>
      </c>
      <c r="O5" s="1">
        <v>8.2962962959999995</v>
      </c>
      <c r="P5" s="1">
        <f t="shared" si="0"/>
        <v>5</v>
      </c>
      <c r="U5" s="1">
        <f t="shared" ref="U5:U14" si="4">COUNTIF(N5:N1000, N5&gt;100)</f>
        <v>0</v>
      </c>
      <c r="V5" t="str">
        <f t="shared" si="1"/>
        <v>Top Performer</v>
      </c>
      <c r="W5" t="str" cm="1">
        <f t="array" ref="W5">_xlfn.IFS(N5&gt;=20, "High",N5&gt;=10, "Medium", N5&lt;10, "Low")</f>
        <v>High</v>
      </c>
      <c r="X5" t="str">
        <f t="shared" si="2"/>
        <v>Low Budget</v>
      </c>
      <c r="Y5" s="7">
        <f>VLOOKUP(G5, Lookup_table!B:C,2,0)</f>
        <v>0.5</v>
      </c>
      <c r="Z5" t="str">
        <f t="shared" si="3"/>
        <v>Efficient Spend</v>
      </c>
      <c r="AA5" t="str">
        <f>VLOOKUP(H5, Lookup_table!E:F,2,0)</f>
        <v>Medium</v>
      </c>
    </row>
    <row r="6" spans="1:27" ht="17.5" customHeight="1" x14ac:dyDescent="0.35">
      <c r="A6" s="1" t="s">
        <v>39</v>
      </c>
      <c r="B6" s="2">
        <v>45503</v>
      </c>
      <c r="C6" s="1" t="s">
        <v>40</v>
      </c>
      <c r="D6" s="1">
        <v>32</v>
      </c>
      <c r="E6" s="1" t="s">
        <v>29</v>
      </c>
      <c r="F6" s="1" t="s">
        <v>41</v>
      </c>
      <c r="G6" s="1" t="s">
        <v>42</v>
      </c>
      <c r="H6" s="1" t="s">
        <v>36</v>
      </c>
      <c r="I6" s="1">
        <v>1074.8599999999999</v>
      </c>
      <c r="J6" s="1">
        <v>2245</v>
      </c>
      <c r="K6" s="1">
        <v>4858</v>
      </c>
      <c r="L6" s="1">
        <v>373</v>
      </c>
      <c r="M6" s="1">
        <v>2</v>
      </c>
      <c r="N6" s="1">
        <v>216.3919822</v>
      </c>
      <c r="O6" s="1">
        <v>7.6780568139999996</v>
      </c>
      <c r="P6" s="1">
        <f t="shared" si="0"/>
        <v>2</v>
      </c>
      <c r="U6" s="1">
        <f t="shared" si="4"/>
        <v>0</v>
      </c>
      <c r="V6" t="str">
        <f t="shared" si="1"/>
        <v>Top Performer</v>
      </c>
      <c r="W6" t="str" cm="1">
        <f t="array" ref="W6">_xlfn.IFS(N6&gt;=20, "High",N6&gt;=10, "Medium", N6&lt;10, "Low")</f>
        <v>High</v>
      </c>
      <c r="X6" t="str">
        <f t="shared" si="2"/>
        <v>High Budget</v>
      </c>
      <c r="Y6" s="7">
        <f>VLOOKUP(G6, Lookup_table!B:C,2,0)</f>
        <v>0.3</v>
      </c>
      <c r="Z6" t="str">
        <f t="shared" si="3"/>
        <v>Efficient Spend</v>
      </c>
      <c r="AA6" t="str">
        <f>VLOOKUP(H6, Lookup_table!E:F,2,0)</f>
        <v>High</v>
      </c>
    </row>
    <row r="7" spans="1:27" ht="17.5" customHeight="1" x14ac:dyDescent="0.35">
      <c r="A7" s="1" t="s">
        <v>43</v>
      </c>
      <c r="B7" s="2">
        <v>45395</v>
      </c>
      <c r="C7" s="1" t="s">
        <v>44</v>
      </c>
      <c r="D7" s="1">
        <v>64</v>
      </c>
      <c r="E7" s="1" t="s">
        <v>35</v>
      </c>
      <c r="F7" s="1" t="s">
        <v>45</v>
      </c>
      <c r="G7" s="1" t="s">
        <v>46</v>
      </c>
      <c r="H7" s="1" t="s">
        <v>32</v>
      </c>
      <c r="I7" s="1">
        <v>665.19</v>
      </c>
      <c r="J7" s="1">
        <v>10209</v>
      </c>
      <c r="K7" s="1">
        <v>2859</v>
      </c>
      <c r="L7" s="1">
        <v>149</v>
      </c>
      <c r="M7" s="1">
        <v>5</v>
      </c>
      <c r="N7" s="1">
        <v>28.004701730000001</v>
      </c>
      <c r="O7" s="1">
        <v>5.2116124519999998</v>
      </c>
      <c r="P7" s="1">
        <f t="shared" si="0"/>
        <v>5</v>
      </c>
      <c r="U7" s="1">
        <f t="shared" si="4"/>
        <v>0</v>
      </c>
      <c r="V7" t="str">
        <f t="shared" si="1"/>
        <v>Average Performer</v>
      </c>
      <c r="W7" t="str" cm="1">
        <f t="array" ref="W7">_xlfn.IFS(N7&gt;=20, "High",N7&gt;=10, "Medium", N7&lt;10, "Low")</f>
        <v>High</v>
      </c>
      <c r="X7" t="str">
        <f t="shared" si="2"/>
        <v>Medium Budget</v>
      </c>
      <c r="Y7" s="7">
        <f>VLOOKUP(G7, Lookup_table!B:C,2,0)</f>
        <v>0.75</v>
      </c>
      <c r="Z7" t="str">
        <f t="shared" si="3"/>
        <v>Efficient Spend</v>
      </c>
      <c r="AA7" t="str">
        <f>VLOOKUP(H7, Lookup_table!E:F,2,0)</f>
        <v>Medium</v>
      </c>
    </row>
    <row r="8" spans="1:27" ht="17.5" customHeight="1" x14ac:dyDescent="0.35">
      <c r="A8" s="1" t="s">
        <v>47</v>
      </c>
      <c r="B8" s="2">
        <v>45640</v>
      </c>
      <c r="C8" s="1" t="s">
        <v>48</v>
      </c>
      <c r="D8" s="1">
        <v>20</v>
      </c>
      <c r="E8" s="1" t="s">
        <v>35</v>
      </c>
      <c r="F8" s="1" t="s">
        <v>41</v>
      </c>
      <c r="G8" s="1" t="s">
        <v>46</v>
      </c>
      <c r="H8" s="1" t="s">
        <v>36</v>
      </c>
      <c r="I8" s="1">
        <v>514.58000000000004</v>
      </c>
      <c r="J8" s="1">
        <v>11892</v>
      </c>
      <c r="K8" s="1">
        <v>367</v>
      </c>
      <c r="L8" s="1">
        <v>293</v>
      </c>
      <c r="M8" s="1">
        <v>4</v>
      </c>
      <c r="N8" s="1">
        <v>3.086108308</v>
      </c>
      <c r="O8" s="1">
        <v>79.836512260000006</v>
      </c>
      <c r="P8" s="1">
        <f t="shared" si="0"/>
        <v>4</v>
      </c>
      <c r="U8" s="1">
        <f t="shared" si="4"/>
        <v>0</v>
      </c>
      <c r="V8" t="str">
        <f t="shared" si="1"/>
        <v>Low Performer</v>
      </c>
      <c r="W8" t="str" cm="1">
        <f t="array" ref="W8">_xlfn.IFS(N8&gt;=20, "High",N8&gt;=10, "Medium", N8&lt;10, "Low")</f>
        <v>Low</v>
      </c>
      <c r="X8" t="str">
        <f t="shared" si="2"/>
        <v>Medium Budget</v>
      </c>
      <c r="Y8" s="7">
        <f>VLOOKUP(G8, Lookup_table!B:C,2,0)</f>
        <v>0.75</v>
      </c>
      <c r="Z8" t="str">
        <f t="shared" si="3"/>
        <v>Inefficient Spend</v>
      </c>
      <c r="AA8" t="str">
        <f>VLOOKUP(H8, Lookup_table!E:F,2,0)</f>
        <v>High</v>
      </c>
    </row>
    <row r="9" spans="1:27" ht="17.5" customHeight="1" x14ac:dyDescent="0.35">
      <c r="A9" s="1" t="s">
        <v>49</v>
      </c>
      <c r="B9" s="2">
        <v>45477</v>
      </c>
      <c r="C9" s="1" t="s">
        <v>48</v>
      </c>
      <c r="D9" s="1">
        <v>49</v>
      </c>
      <c r="E9" s="1" t="s">
        <v>35</v>
      </c>
      <c r="F9" s="1" t="s">
        <v>50</v>
      </c>
      <c r="G9" s="1" t="s">
        <v>42</v>
      </c>
      <c r="H9" s="1" t="s">
        <v>36</v>
      </c>
      <c r="I9" s="1">
        <v>187.7</v>
      </c>
      <c r="J9" s="1">
        <v>34575</v>
      </c>
      <c r="K9" s="1">
        <v>4519</v>
      </c>
      <c r="L9" s="1">
        <v>6</v>
      </c>
      <c r="M9" s="1">
        <v>3</v>
      </c>
      <c r="N9" s="1">
        <v>13.07013738</v>
      </c>
      <c r="O9" s="1">
        <v>0.132772737</v>
      </c>
      <c r="P9" s="1">
        <f t="shared" si="0"/>
        <v>3</v>
      </c>
      <c r="U9" s="1">
        <f t="shared" si="4"/>
        <v>0</v>
      </c>
      <c r="V9" t="str">
        <f t="shared" si="1"/>
        <v>Low Performer</v>
      </c>
      <c r="W9" t="str" cm="1">
        <f t="array" ref="W9">_xlfn.IFS(N9&gt;=20, "High",N9&gt;=10, "Medium", N9&lt;10, "Low")</f>
        <v>Medium</v>
      </c>
      <c r="X9" t="str">
        <f t="shared" si="2"/>
        <v>Low Budget</v>
      </c>
      <c r="Y9" s="7">
        <f>VLOOKUP(G9, Lookup_table!B:C,2,0)</f>
        <v>0.3</v>
      </c>
      <c r="Z9" t="str">
        <f t="shared" si="3"/>
        <v>Efficient Spend</v>
      </c>
      <c r="AA9" t="str">
        <f>VLOOKUP(H9, Lookup_table!E:F,2,0)</f>
        <v>High</v>
      </c>
    </row>
    <row r="10" spans="1:27" ht="17.5" customHeight="1" x14ac:dyDescent="0.35">
      <c r="A10" s="1" t="s">
        <v>51</v>
      </c>
      <c r="B10" s="2">
        <v>45315</v>
      </c>
      <c r="C10" s="1" t="s">
        <v>52</v>
      </c>
      <c r="D10" s="1">
        <v>26</v>
      </c>
      <c r="E10" s="1" t="s">
        <v>29</v>
      </c>
      <c r="F10" s="1" t="s">
        <v>50</v>
      </c>
      <c r="G10" s="1" t="s">
        <v>25</v>
      </c>
      <c r="H10" s="1" t="s">
        <v>26</v>
      </c>
      <c r="I10" s="1">
        <v>1985.97</v>
      </c>
      <c r="J10" s="1">
        <v>26045</v>
      </c>
      <c r="K10" s="1">
        <v>2084</v>
      </c>
      <c r="L10" s="1">
        <v>240</v>
      </c>
      <c r="M10" s="1">
        <v>4</v>
      </c>
      <c r="N10" s="1">
        <v>8.0015358029999994</v>
      </c>
      <c r="O10" s="1">
        <v>11.51631478</v>
      </c>
      <c r="P10" s="1">
        <f t="shared" si="0"/>
        <v>4</v>
      </c>
      <c r="U10" s="1">
        <f t="shared" si="4"/>
        <v>0</v>
      </c>
      <c r="V10" t="str">
        <f t="shared" si="1"/>
        <v>Average Performer</v>
      </c>
      <c r="W10" t="str" cm="1">
        <f t="array" ref="W10">_xlfn.IFS(N10&gt;=20, "High",N10&gt;=10, "Medium", N10&lt;10, "Low")</f>
        <v>Low</v>
      </c>
      <c r="X10" t="str">
        <f t="shared" si="2"/>
        <v>High Budget</v>
      </c>
      <c r="Y10" s="7">
        <f>VLOOKUP(G10, Lookup_table!B:C,2,0)</f>
        <v>0.5</v>
      </c>
      <c r="Z10" t="str">
        <f t="shared" si="3"/>
        <v>Inefficient Spend</v>
      </c>
      <c r="AA10" t="str">
        <f>VLOOKUP(H10, Lookup_table!E:F,2,0)</f>
        <v>High</v>
      </c>
    </row>
    <row r="11" spans="1:27" ht="17.5" customHeight="1" x14ac:dyDescent="0.35">
      <c r="A11" s="1" t="s">
        <v>53</v>
      </c>
      <c r="B11" s="2">
        <v>45364</v>
      </c>
      <c r="C11" s="1" t="s">
        <v>54</v>
      </c>
      <c r="D11" s="1">
        <v>31</v>
      </c>
      <c r="E11" s="1" t="s">
        <v>35</v>
      </c>
      <c r="F11" s="1" t="s">
        <v>30</v>
      </c>
      <c r="G11" s="1" t="s">
        <v>46</v>
      </c>
      <c r="H11" s="1" t="s">
        <v>32</v>
      </c>
      <c r="I11" s="1">
        <v>1642.32</v>
      </c>
      <c r="J11" s="1">
        <v>8802</v>
      </c>
      <c r="K11" s="1">
        <v>735</v>
      </c>
      <c r="L11" s="1">
        <v>220</v>
      </c>
      <c r="M11" s="1">
        <v>5</v>
      </c>
      <c r="N11" s="1">
        <v>8.3503749149999997</v>
      </c>
      <c r="O11" s="1">
        <v>29.93197279</v>
      </c>
      <c r="P11" s="1">
        <f t="shared" si="0"/>
        <v>5</v>
      </c>
      <c r="U11" s="1">
        <f t="shared" si="4"/>
        <v>0</v>
      </c>
      <c r="V11" t="str">
        <f t="shared" si="1"/>
        <v>Low Performer</v>
      </c>
      <c r="W11" t="str" cm="1">
        <f t="array" ref="W11">_xlfn.IFS(N11&gt;=20, "High",N11&gt;=10, "Medium", N11&lt;10, "Low")</f>
        <v>Low</v>
      </c>
      <c r="X11" t="str">
        <f t="shared" si="2"/>
        <v>High Budget</v>
      </c>
      <c r="Y11" s="7">
        <f>VLOOKUP(G11, Lookup_table!B:C,2,0)</f>
        <v>0.75</v>
      </c>
      <c r="Z11" t="str">
        <f t="shared" si="3"/>
        <v>Inefficient Spend</v>
      </c>
      <c r="AA11" t="str">
        <f>VLOOKUP(H11, Lookup_table!E:F,2,0)</f>
        <v>Medium</v>
      </c>
    </row>
    <row r="12" spans="1:27" ht="17.5" customHeight="1" x14ac:dyDescent="0.35">
      <c r="A12" s="1" t="s">
        <v>55</v>
      </c>
      <c r="B12" s="2">
        <v>45637</v>
      </c>
      <c r="C12" s="1" t="s">
        <v>56</v>
      </c>
      <c r="D12" s="1">
        <v>46</v>
      </c>
      <c r="E12" s="1" t="s">
        <v>23</v>
      </c>
      <c r="F12" s="1" t="s">
        <v>57</v>
      </c>
      <c r="G12" s="1" t="s">
        <v>42</v>
      </c>
      <c r="H12" s="1" t="s">
        <v>26</v>
      </c>
      <c r="I12" s="1">
        <v>686.5</v>
      </c>
      <c r="J12" s="1">
        <v>8134</v>
      </c>
      <c r="K12" s="1">
        <v>1108</v>
      </c>
      <c r="L12" s="1">
        <v>140</v>
      </c>
      <c r="M12" s="1">
        <v>1</v>
      </c>
      <c r="N12" s="1">
        <v>13.62183428</v>
      </c>
      <c r="O12" s="1">
        <v>12.63537906</v>
      </c>
      <c r="P12" s="1">
        <f t="shared" si="0"/>
        <v>1</v>
      </c>
      <c r="U12" s="1">
        <f t="shared" si="4"/>
        <v>0</v>
      </c>
      <c r="V12" t="str">
        <f t="shared" si="1"/>
        <v>Average Performer</v>
      </c>
      <c r="W12" t="str" cm="1">
        <f t="array" ref="W12">_xlfn.IFS(N12&gt;=20, "High",N12&gt;=10, "Medium", N12&lt;10, "Low")</f>
        <v>Medium</v>
      </c>
      <c r="X12" t="str">
        <f t="shared" si="2"/>
        <v>Medium Budget</v>
      </c>
      <c r="Y12" s="7">
        <f>VLOOKUP(G12, Lookup_table!B:C,2,0)</f>
        <v>0.3</v>
      </c>
      <c r="Z12" t="str">
        <f t="shared" si="3"/>
        <v>Inefficient Spend</v>
      </c>
      <c r="AA12" t="str">
        <f>VLOOKUP(H12, Lookup_table!E:F,2,0)</f>
        <v>High</v>
      </c>
    </row>
    <row r="13" spans="1:27" ht="17.5" customHeight="1" x14ac:dyDescent="0.35">
      <c r="A13" s="1" t="s">
        <v>58</v>
      </c>
      <c r="B13" s="2">
        <v>45334</v>
      </c>
      <c r="C13" s="1" t="s">
        <v>59</v>
      </c>
      <c r="D13" s="1">
        <v>59</v>
      </c>
      <c r="E13" s="1" t="s">
        <v>35</v>
      </c>
      <c r="F13" s="1" t="s">
        <v>50</v>
      </c>
      <c r="G13" s="1" t="s">
        <v>31</v>
      </c>
      <c r="H13" s="1" t="s">
        <v>26</v>
      </c>
      <c r="I13" s="1">
        <v>847.08</v>
      </c>
      <c r="J13" s="1">
        <v>24160</v>
      </c>
      <c r="K13" s="1">
        <v>4205</v>
      </c>
      <c r="L13" s="1">
        <v>211</v>
      </c>
      <c r="M13" s="1">
        <v>5</v>
      </c>
      <c r="N13" s="1">
        <v>17.404801320000001</v>
      </c>
      <c r="O13" s="1">
        <v>5.0178359099999996</v>
      </c>
      <c r="P13" s="1">
        <f t="shared" si="0"/>
        <v>5</v>
      </c>
      <c r="U13" s="1">
        <f t="shared" si="4"/>
        <v>0</v>
      </c>
      <c r="V13" t="str">
        <f t="shared" si="1"/>
        <v>Top Performer</v>
      </c>
      <c r="W13" t="str" cm="1">
        <f t="array" ref="W13">_xlfn.IFS(N13&gt;=20, "High",N13&gt;=10, "Medium", N13&lt;10, "Low")</f>
        <v>Medium</v>
      </c>
      <c r="X13" t="str">
        <f t="shared" si="2"/>
        <v>Medium Budget</v>
      </c>
      <c r="Y13" s="7">
        <f>VLOOKUP(G13, Lookup_table!B:C,2,0)</f>
        <v>1.2</v>
      </c>
      <c r="Z13" t="str">
        <f t="shared" si="3"/>
        <v>Efficient Spend</v>
      </c>
      <c r="AA13" t="str">
        <f>VLOOKUP(H13, Lookup_table!E:F,2,0)</f>
        <v>High</v>
      </c>
    </row>
    <row r="14" spans="1:27" ht="17.5" customHeight="1" x14ac:dyDescent="0.35">
      <c r="A14" s="1" t="s">
        <v>60</v>
      </c>
      <c r="B14" s="2">
        <v>45510</v>
      </c>
      <c r="C14" s="1" t="s">
        <v>28</v>
      </c>
      <c r="D14" s="1">
        <v>44</v>
      </c>
      <c r="E14" s="1" t="s">
        <v>35</v>
      </c>
      <c r="F14" s="1" t="s">
        <v>30</v>
      </c>
      <c r="G14" s="1" t="s">
        <v>61</v>
      </c>
      <c r="H14" s="1" t="s">
        <v>62</v>
      </c>
      <c r="I14" s="1">
        <v>1143.3599999999999</v>
      </c>
      <c r="J14" s="1">
        <v>8173</v>
      </c>
      <c r="K14" s="1">
        <v>825</v>
      </c>
      <c r="L14" s="1">
        <v>16</v>
      </c>
      <c r="N14" s="1">
        <v>10.094212649999999</v>
      </c>
      <c r="O14" s="1">
        <v>1.9393939389999999</v>
      </c>
      <c r="P14" s="1">
        <f t="shared" si="0"/>
        <v>3</v>
      </c>
      <c r="U14" s="1">
        <f t="shared" si="4"/>
        <v>0</v>
      </c>
      <c r="V14" t="str">
        <f t="shared" si="1"/>
        <v>Low Performer</v>
      </c>
      <c r="W14" t="str" cm="1">
        <f t="array" ref="W14">_xlfn.IFS(N14&gt;=20, "High",N14&gt;=10, "Medium", N14&lt;10, "Low")</f>
        <v>Medium</v>
      </c>
      <c r="X14" t="str">
        <f t="shared" si="2"/>
        <v>High Budget</v>
      </c>
      <c r="Y14" s="7">
        <f>VLOOKUP(G14, Lookup_table!B:C,2,0)</f>
        <v>0.2</v>
      </c>
      <c r="Z14" t="str">
        <f t="shared" si="3"/>
        <v>Inefficient Spend</v>
      </c>
      <c r="AA14" t="str">
        <f>VLOOKUP(H14, Lookup_table!E:F,2,0)</f>
        <v>Medium</v>
      </c>
    </row>
    <row r="15" spans="1:27" ht="17.5" customHeight="1" x14ac:dyDescent="0.35">
      <c r="A15" s="1" t="s">
        <v>63</v>
      </c>
      <c r="B15" s="2">
        <v>45459</v>
      </c>
      <c r="C15" s="1" t="s">
        <v>64</v>
      </c>
      <c r="D15" s="1">
        <v>57</v>
      </c>
      <c r="E15" s="1" t="s">
        <v>23</v>
      </c>
      <c r="F15" s="1" t="s">
        <v>50</v>
      </c>
      <c r="G15" s="1" t="s">
        <v>25</v>
      </c>
      <c r="H15" s="1" t="s">
        <v>62</v>
      </c>
      <c r="I15" s="1">
        <v>151.38</v>
      </c>
      <c r="J15" s="1">
        <v>11942</v>
      </c>
      <c r="K15" s="1">
        <v>4640</v>
      </c>
      <c r="L15" s="1">
        <v>59</v>
      </c>
      <c r="M15" s="1">
        <v>3</v>
      </c>
      <c r="N15" s="1">
        <v>38.854463240000001</v>
      </c>
      <c r="O15" s="1">
        <v>1.271551724</v>
      </c>
      <c r="P15" s="1">
        <f t="shared" si="0"/>
        <v>3</v>
      </c>
      <c r="V15" t="str">
        <f t="shared" si="1"/>
        <v>Low Performer</v>
      </c>
      <c r="W15" t="str" cm="1">
        <f t="array" ref="W15">_xlfn.IFS(N15&gt;=20, "High",N15&gt;=10, "Medium", N15&lt;10, "Low")</f>
        <v>High</v>
      </c>
      <c r="X15" t="str">
        <f t="shared" si="2"/>
        <v>Low Budget</v>
      </c>
      <c r="Y15" s="7">
        <f>VLOOKUP(G15, Lookup_table!B:C,2,0)</f>
        <v>0.5</v>
      </c>
      <c r="Z15" t="str">
        <f t="shared" si="3"/>
        <v>Efficient Spend</v>
      </c>
      <c r="AA15" t="str">
        <f>VLOOKUP(H15, Lookup_table!E:F,2,0)</f>
        <v>Medium</v>
      </c>
    </row>
    <row r="16" spans="1:27" ht="17.5" customHeight="1" x14ac:dyDescent="0.35">
      <c r="A16" s="1" t="s">
        <v>65</v>
      </c>
      <c r="B16" s="2">
        <v>45360</v>
      </c>
      <c r="C16" s="1" t="s">
        <v>66</v>
      </c>
      <c r="D16" s="1">
        <v>36</v>
      </c>
      <c r="E16" s="1" t="s">
        <v>29</v>
      </c>
      <c r="F16" s="1" t="s">
        <v>24</v>
      </c>
      <c r="G16" s="1" t="s">
        <v>25</v>
      </c>
      <c r="H16" s="1" t="s">
        <v>62</v>
      </c>
      <c r="I16" s="1">
        <v>782.56</v>
      </c>
      <c r="J16" s="1">
        <v>9132</v>
      </c>
      <c r="K16" s="1">
        <v>1618</v>
      </c>
      <c r="L16" s="1">
        <v>74</v>
      </c>
      <c r="M16" s="1">
        <v>1</v>
      </c>
      <c r="N16" s="1">
        <v>17.71791502</v>
      </c>
      <c r="O16" s="1">
        <v>4.5735475900000004</v>
      </c>
      <c r="P16" s="1">
        <f t="shared" si="0"/>
        <v>1</v>
      </c>
      <c r="V16" t="str">
        <f t="shared" si="1"/>
        <v>Low Performer</v>
      </c>
      <c r="W16" t="str" cm="1">
        <f t="array" ref="W16">_xlfn.IFS(N16&gt;=20, "High",N16&gt;=10, "Medium", N16&lt;10, "Low")</f>
        <v>Medium</v>
      </c>
      <c r="X16" t="str">
        <f t="shared" si="2"/>
        <v>Medium Budget</v>
      </c>
      <c r="Y16" s="7">
        <f>VLOOKUP(G16, Lookup_table!B:C,2,0)</f>
        <v>0.5</v>
      </c>
      <c r="Z16" t="str">
        <f t="shared" si="3"/>
        <v>Efficient Spend</v>
      </c>
      <c r="AA16" t="str">
        <f>VLOOKUP(H16, Lookup_table!E:F,2,0)</f>
        <v>Medium</v>
      </c>
    </row>
    <row r="17" spans="1:27" ht="17.5" customHeight="1" x14ac:dyDescent="0.35">
      <c r="A17" s="1" t="s">
        <v>67</v>
      </c>
      <c r="B17" s="2">
        <v>45292</v>
      </c>
      <c r="C17" s="1" t="s">
        <v>68</v>
      </c>
      <c r="D17" s="1">
        <v>38</v>
      </c>
      <c r="E17" s="1" t="s">
        <v>23</v>
      </c>
      <c r="F17" s="1" t="s">
        <v>45</v>
      </c>
      <c r="G17" s="1" t="s">
        <v>46</v>
      </c>
      <c r="H17" s="1" t="s">
        <v>36</v>
      </c>
      <c r="I17" s="1">
        <v>1170.73</v>
      </c>
      <c r="J17" s="1">
        <v>45111</v>
      </c>
      <c r="K17" s="1">
        <v>602</v>
      </c>
      <c r="L17" s="1">
        <v>207</v>
      </c>
      <c r="M17" s="1">
        <v>1</v>
      </c>
      <c r="N17" s="1">
        <v>1.3344860460000001</v>
      </c>
      <c r="O17" s="1">
        <v>34.385382059999998</v>
      </c>
      <c r="P17" s="1">
        <f t="shared" si="0"/>
        <v>1</v>
      </c>
      <c r="V17" t="str">
        <f t="shared" si="1"/>
        <v>Low Performer</v>
      </c>
      <c r="W17" t="str" cm="1">
        <f t="array" ref="W17">_xlfn.IFS(N17&gt;=20, "High",N17&gt;=10, "Medium", N17&lt;10, "Low")</f>
        <v>Low</v>
      </c>
      <c r="X17" t="str">
        <f t="shared" si="2"/>
        <v>High Budget</v>
      </c>
      <c r="Y17" s="7">
        <f>VLOOKUP(G17, Lookup_table!B:C,2,0)</f>
        <v>0.75</v>
      </c>
      <c r="Z17" t="str">
        <f t="shared" si="3"/>
        <v>Inefficient Spend</v>
      </c>
      <c r="AA17" t="str">
        <f>VLOOKUP(H17, Lookup_table!E:F,2,0)</f>
        <v>High</v>
      </c>
    </row>
    <row r="18" spans="1:27" ht="17.5" customHeight="1" x14ac:dyDescent="0.35">
      <c r="A18" s="1" t="s">
        <v>69</v>
      </c>
      <c r="B18" s="2">
        <v>45367</v>
      </c>
      <c r="C18" s="1" t="s">
        <v>68</v>
      </c>
      <c r="D18" s="1">
        <v>41</v>
      </c>
      <c r="E18" s="1" t="s">
        <v>23</v>
      </c>
      <c r="F18" s="1" t="s">
        <v>57</v>
      </c>
      <c r="G18" s="1" t="s">
        <v>42</v>
      </c>
      <c r="H18" s="1" t="s">
        <v>36</v>
      </c>
      <c r="I18" s="1">
        <v>1924.46</v>
      </c>
      <c r="J18" s="1">
        <v>5516</v>
      </c>
      <c r="K18" s="1">
        <v>4976</v>
      </c>
      <c r="L18" s="1">
        <v>221</v>
      </c>
      <c r="M18" s="1">
        <v>5</v>
      </c>
      <c r="N18" s="1">
        <v>90.210297319999995</v>
      </c>
      <c r="O18" s="1">
        <v>4.4413183280000004</v>
      </c>
      <c r="P18" s="1">
        <f t="shared" si="0"/>
        <v>5</v>
      </c>
      <c r="V18" t="str">
        <f t="shared" si="1"/>
        <v>Top Performer</v>
      </c>
      <c r="W18" t="str" cm="1">
        <f t="array" ref="W18">_xlfn.IFS(N18&gt;=20, "High",N18&gt;=10, "Medium", N18&lt;10, "Low")</f>
        <v>High</v>
      </c>
      <c r="X18" t="str">
        <f t="shared" si="2"/>
        <v>High Budget</v>
      </c>
      <c r="Y18" s="7">
        <f>VLOOKUP(G18, Lookup_table!B:C,2,0)</f>
        <v>0.3</v>
      </c>
      <c r="Z18" t="str">
        <f t="shared" si="3"/>
        <v>Inefficient Spend</v>
      </c>
      <c r="AA18" t="str">
        <f>VLOOKUP(H18, Lookup_table!E:F,2,0)</f>
        <v>High</v>
      </c>
    </row>
    <row r="19" spans="1:27" ht="17.5" customHeight="1" x14ac:dyDescent="0.35">
      <c r="A19" s="1" t="s">
        <v>70</v>
      </c>
      <c r="B19" s="2">
        <v>45603</v>
      </c>
      <c r="C19" s="1" t="s">
        <v>71</v>
      </c>
      <c r="D19" s="1">
        <v>46</v>
      </c>
      <c r="E19" s="1" t="s">
        <v>23</v>
      </c>
      <c r="F19" s="1" t="s">
        <v>50</v>
      </c>
      <c r="G19" s="1" t="s">
        <v>61</v>
      </c>
      <c r="H19" s="1" t="s">
        <v>26</v>
      </c>
      <c r="I19" s="1">
        <v>1929.87</v>
      </c>
      <c r="J19" s="1">
        <v>9198</v>
      </c>
      <c r="K19" s="1">
        <v>497</v>
      </c>
      <c r="L19" s="1">
        <v>300</v>
      </c>
      <c r="M19" s="1">
        <v>5</v>
      </c>
      <c r="N19" s="1">
        <v>5.4033485539999999</v>
      </c>
      <c r="O19" s="1">
        <v>60.362173040000002</v>
      </c>
      <c r="P19" s="1">
        <f t="shared" si="0"/>
        <v>5</v>
      </c>
      <c r="V19" t="str">
        <f t="shared" si="1"/>
        <v>Low Performer</v>
      </c>
      <c r="W19" t="str" cm="1">
        <f t="array" ref="W19">_xlfn.IFS(N19&gt;=20, "High",N19&gt;=10, "Medium", N19&lt;10, "Low")</f>
        <v>Low</v>
      </c>
      <c r="X19" t="str">
        <f t="shared" si="2"/>
        <v>High Budget</v>
      </c>
      <c r="Y19" s="7">
        <f>VLOOKUP(G19, Lookup_table!B:C,2,0)</f>
        <v>0.2</v>
      </c>
      <c r="Z19" t="str">
        <f t="shared" si="3"/>
        <v>Inefficient Spend</v>
      </c>
      <c r="AA19" t="str">
        <f>VLOOKUP(H19, Lookup_table!E:F,2,0)</f>
        <v>High</v>
      </c>
    </row>
    <row r="20" spans="1:27" ht="17.5" customHeight="1" x14ac:dyDescent="0.35">
      <c r="A20" s="1" t="s">
        <v>72</v>
      </c>
      <c r="B20" s="2">
        <v>45542</v>
      </c>
      <c r="C20" s="1" t="s">
        <v>73</v>
      </c>
      <c r="D20" s="1">
        <v>46</v>
      </c>
      <c r="E20" s="1" t="s">
        <v>29</v>
      </c>
      <c r="F20" s="1" t="s">
        <v>57</v>
      </c>
      <c r="G20" s="1" t="s">
        <v>61</v>
      </c>
      <c r="H20" s="1" t="s">
        <v>32</v>
      </c>
      <c r="I20" s="1">
        <v>1527.84</v>
      </c>
      <c r="J20" s="1">
        <v>13127</v>
      </c>
      <c r="K20" s="1">
        <v>4960</v>
      </c>
      <c r="L20" s="1">
        <v>351</v>
      </c>
      <c r="M20" s="1">
        <v>5</v>
      </c>
      <c r="N20" s="1">
        <v>37.784718519999998</v>
      </c>
      <c r="O20" s="1">
        <v>7.076612903</v>
      </c>
      <c r="P20" s="1">
        <f t="shared" si="0"/>
        <v>5</v>
      </c>
      <c r="V20" t="str">
        <f t="shared" si="1"/>
        <v>Top Performer</v>
      </c>
      <c r="W20" t="str" cm="1">
        <f t="array" ref="W20">_xlfn.IFS(N20&gt;=20, "High",N20&gt;=10, "Medium", N20&lt;10, "Low")</f>
        <v>High</v>
      </c>
      <c r="X20" t="str">
        <f t="shared" si="2"/>
        <v>High Budget</v>
      </c>
      <c r="Y20" s="7">
        <f>VLOOKUP(G20, Lookup_table!B:C,2,0)</f>
        <v>0.2</v>
      </c>
      <c r="Z20" t="str">
        <f t="shared" si="3"/>
        <v>Inefficient Spend</v>
      </c>
      <c r="AA20" t="str">
        <f>VLOOKUP(H20, Lookup_table!E:F,2,0)</f>
        <v>Medium</v>
      </c>
    </row>
    <row r="21" spans="1:27" ht="17.5" customHeight="1" x14ac:dyDescent="0.35">
      <c r="A21" s="1" t="s">
        <v>74</v>
      </c>
      <c r="B21" s="2">
        <v>45298</v>
      </c>
      <c r="C21" s="1" t="s">
        <v>75</v>
      </c>
      <c r="D21" s="1">
        <v>33</v>
      </c>
      <c r="E21" s="1" t="s">
        <v>29</v>
      </c>
      <c r="F21" s="1" t="s">
        <v>50</v>
      </c>
      <c r="G21" s="1" t="s">
        <v>61</v>
      </c>
      <c r="H21" s="1" t="s">
        <v>32</v>
      </c>
      <c r="I21" s="1">
        <v>149.18</v>
      </c>
      <c r="J21" s="1">
        <v>33722</v>
      </c>
      <c r="K21" s="1">
        <v>3046</v>
      </c>
      <c r="L21" s="1">
        <v>323</v>
      </c>
      <c r="M21" s="1">
        <v>4</v>
      </c>
      <c r="N21" s="1">
        <v>9.0326789630000004</v>
      </c>
      <c r="O21" s="1">
        <v>10.604070910000001</v>
      </c>
      <c r="P21" s="1">
        <f t="shared" si="0"/>
        <v>4</v>
      </c>
      <c r="V21" t="str">
        <f t="shared" si="1"/>
        <v>Top Performer</v>
      </c>
      <c r="W21" t="str" cm="1">
        <f t="array" ref="W21">_xlfn.IFS(N21&gt;=20, "High",N21&gt;=10, "Medium", N21&lt;10, "Low")</f>
        <v>Low</v>
      </c>
      <c r="X21" t="str">
        <f t="shared" si="2"/>
        <v>Low Budget</v>
      </c>
      <c r="Y21" s="7">
        <f>VLOOKUP(G21, Lookup_table!B:C,2,0)</f>
        <v>0.2</v>
      </c>
      <c r="Z21" t="str">
        <f t="shared" si="3"/>
        <v>Efficient Spend</v>
      </c>
      <c r="AA21" t="str">
        <f>VLOOKUP(H21, Lookup_table!E:F,2,0)</f>
        <v>Medium</v>
      </c>
    </row>
    <row r="22" spans="1:27" ht="17.5" customHeight="1" x14ac:dyDescent="0.35">
      <c r="A22" s="1" t="s">
        <v>76</v>
      </c>
      <c r="B22" s="2">
        <v>45567</v>
      </c>
      <c r="C22" s="1" t="s">
        <v>77</v>
      </c>
      <c r="D22" s="1">
        <v>63</v>
      </c>
      <c r="E22" s="1" t="s">
        <v>35</v>
      </c>
      <c r="F22" s="1" t="s">
        <v>57</v>
      </c>
      <c r="G22" s="1" t="s">
        <v>46</v>
      </c>
      <c r="H22" s="1" t="s">
        <v>36</v>
      </c>
      <c r="I22" s="1">
        <v>1226.99</v>
      </c>
      <c r="J22" s="1">
        <v>5271</v>
      </c>
      <c r="K22" s="1">
        <v>717</v>
      </c>
      <c r="L22" s="1">
        <v>289</v>
      </c>
      <c r="M22" s="1">
        <v>4</v>
      </c>
      <c r="N22" s="1">
        <v>13.602731929999999</v>
      </c>
      <c r="O22" s="1">
        <v>40.306834029999997</v>
      </c>
      <c r="P22" s="1">
        <f t="shared" si="0"/>
        <v>4</v>
      </c>
      <c r="V22" t="str">
        <f t="shared" si="1"/>
        <v>Low Performer</v>
      </c>
      <c r="W22" t="str" cm="1">
        <f t="array" ref="W22">_xlfn.IFS(N22&gt;=20, "High",N22&gt;=10, "Medium", N22&lt;10, "Low")</f>
        <v>Medium</v>
      </c>
      <c r="X22" t="str">
        <f t="shared" si="2"/>
        <v>High Budget</v>
      </c>
      <c r="Y22" s="7">
        <f>VLOOKUP(G22, Lookup_table!B:C,2,0)</f>
        <v>0.75</v>
      </c>
      <c r="Z22" t="str">
        <f t="shared" si="3"/>
        <v>Inefficient Spend</v>
      </c>
      <c r="AA22" t="str">
        <f>VLOOKUP(H22, Lookup_table!E:F,2,0)</f>
        <v>High</v>
      </c>
    </row>
    <row r="23" spans="1:27" ht="17.5" customHeight="1" x14ac:dyDescent="0.35">
      <c r="A23" s="1" t="s">
        <v>78</v>
      </c>
      <c r="B23" s="2">
        <v>45336</v>
      </c>
      <c r="C23" s="1" t="s">
        <v>79</v>
      </c>
      <c r="D23" s="1">
        <v>51</v>
      </c>
      <c r="E23" s="1" t="s">
        <v>29</v>
      </c>
      <c r="F23" s="1" t="s">
        <v>45</v>
      </c>
      <c r="G23" s="1" t="s">
        <v>31</v>
      </c>
      <c r="H23" s="1" t="s">
        <v>32</v>
      </c>
      <c r="I23" s="1">
        <v>948.77</v>
      </c>
      <c r="J23" s="1">
        <v>11269</v>
      </c>
      <c r="K23" s="1">
        <v>1703</v>
      </c>
      <c r="L23" s="1">
        <v>321</v>
      </c>
      <c r="M23" s="1">
        <v>2</v>
      </c>
      <c r="N23" s="1">
        <v>15.11225486</v>
      </c>
      <c r="O23" s="1">
        <v>18.849089840000001</v>
      </c>
      <c r="P23" s="1">
        <f t="shared" si="0"/>
        <v>2</v>
      </c>
      <c r="V23" t="str">
        <f t="shared" si="1"/>
        <v>Average Performer</v>
      </c>
      <c r="W23" t="str" cm="1">
        <f t="array" ref="W23">_xlfn.IFS(N23&gt;=20, "High",N23&gt;=10, "Medium", N23&lt;10, "Low")</f>
        <v>Medium</v>
      </c>
      <c r="X23" t="str">
        <f t="shared" si="2"/>
        <v>Medium Budget</v>
      </c>
      <c r="Y23" s="7">
        <f>VLOOKUP(G23, Lookup_table!B:C,2,0)</f>
        <v>1.2</v>
      </c>
      <c r="Z23" t="str">
        <f t="shared" si="3"/>
        <v>Efficient Spend</v>
      </c>
      <c r="AA23" t="str">
        <f>VLOOKUP(H23, Lookup_table!E:F,2,0)</f>
        <v>Medium</v>
      </c>
    </row>
    <row r="24" spans="1:27" ht="17.5" customHeight="1" x14ac:dyDescent="0.35">
      <c r="A24" s="1" t="s">
        <v>80</v>
      </c>
      <c r="B24" s="2">
        <v>45483</v>
      </c>
      <c r="C24" s="1" t="s">
        <v>81</v>
      </c>
      <c r="D24" s="1">
        <v>18</v>
      </c>
      <c r="E24" s="1" t="s">
        <v>29</v>
      </c>
      <c r="F24" s="1" t="s">
        <v>41</v>
      </c>
      <c r="G24" s="1" t="s">
        <v>61</v>
      </c>
      <c r="H24" s="1" t="s">
        <v>62</v>
      </c>
      <c r="I24" s="1">
        <v>1314.42</v>
      </c>
      <c r="J24" s="1">
        <v>46761</v>
      </c>
      <c r="K24" s="1">
        <v>3166</v>
      </c>
      <c r="L24" s="1">
        <v>267</v>
      </c>
      <c r="M24" s="1">
        <v>4</v>
      </c>
      <c r="N24" s="1">
        <v>6.7705994309999999</v>
      </c>
      <c r="O24" s="1">
        <v>8.4333543899999999</v>
      </c>
      <c r="P24" s="1">
        <f t="shared" si="0"/>
        <v>4</v>
      </c>
      <c r="V24" t="str">
        <f t="shared" si="1"/>
        <v>Top Performer</v>
      </c>
      <c r="W24" t="str" cm="1">
        <f t="array" ref="W24">_xlfn.IFS(N24&gt;=20, "High",N24&gt;=10, "Medium", N24&lt;10, "Low")</f>
        <v>Low</v>
      </c>
      <c r="X24" t="str">
        <f t="shared" si="2"/>
        <v>High Budget</v>
      </c>
      <c r="Y24" s="7">
        <f>VLOOKUP(G24, Lookup_table!B:C,2,0)</f>
        <v>0.2</v>
      </c>
      <c r="Z24" t="str">
        <f t="shared" si="3"/>
        <v>Inefficient Spend</v>
      </c>
      <c r="AA24" t="str">
        <f>VLOOKUP(H24, Lookup_table!E:F,2,0)</f>
        <v>Medium</v>
      </c>
    </row>
    <row r="25" spans="1:27" ht="17.5" customHeight="1" x14ac:dyDescent="0.35">
      <c r="A25" s="1" t="s">
        <v>82</v>
      </c>
      <c r="B25" s="2">
        <v>45617</v>
      </c>
      <c r="C25" s="1" t="s">
        <v>83</v>
      </c>
      <c r="D25" s="1">
        <v>19</v>
      </c>
      <c r="E25" s="1" t="s">
        <v>23</v>
      </c>
      <c r="F25" s="1" t="s">
        <v>50</v>
      </c>
      <c r="G25" s="1" t="s">
        <v>31</v>
      </c>
      <c r="H25" s="1" t="s">
        <v>62</v>
      </c>
      <c r="I25" s="1">
        <v>820.68</v>
      </c>
      <c r="J25" s="1">
        <v>31180</v>
      </c>
      <c r="K25" s="1">
        <v>3849</v>
      </c>
      <c r="L25" s="1">
        <v>261</v>
      </c>
      <c r="M25" s="1">
        <v>3</v>
      </c>
      <c r="N25" s="1">
        <v>12.34445157</v>
      </c>
      <c r="O25" s="1">
        <v>6.7809820729999997</v>
      </c>
      <c r="P25" s="1">
        <f t="shared" si="0"/>
        <v>3</v>
      </c>
      <c r="V25" t="str">
        <f t="shared" si="1"/>
        <v>Top Performer</v>
      </c>
      <c r="W25" t="str" cm="1">
        <f t="array" ref="W25">_xlfn.IFS(N25&gt;=20, "High",N25&gt;=10, "Medium", N25&lt;10, "Low")</f>
        <v>Medium</v>
      </c>
      <c r="X25" t="str">
        <f t="shared" si="2"/>
        <v>Medium Budget</v>
      </c>
      <c r="Y25" s="7">
        <f>VLOOKUP(G25, Lookup_table!B:C,2,0)</f>
        <v>1.2</v>
      </c>
      <c r="Z25" t="str">
        <f t="shared" si="3"/>
        <v>Efficient Spend</v>
      </c>
      <c r="AA25" t="str">
        <f>VLOOKUP(H25, Lookup_table!E:F,2,0)</f>
        <v>Medium</v>
      </c>
    </row>
    <row r="26" spans="1:27" ht="17.5" customHeight="1" x14ac:dyDescent="0.35">
      <c r="A26" s="1" t="s">
        <v>84</v>
      </c>
      <c r="B26" s="2">
        <v>45604</v>
      </c>
      <c r="C26" s="1" t="s">
        <v>85</v>
      </c>
      <c r="D26" s="1">
        <v>42</v>
      </c>
      <c r="E26" s="1" t="s">
        <v>35</v>
      </c>
      <c r="F26" s="1" t="s">
        <v>41</v>
      </c>
      <c r="G26" s="1" t="s">
        <v>42</v>
      </c>
      <c r="H26" s="1" t="s">
        <v>62</v>
      </c>
      <c r="I26" s="1">
        <v>1019.29</v>
      </c>
      <c r="J26" s="1">
        <v>11855</v>
      </c>
      <c r="K26" s="1">
        <v>482</v>
      </c>
      <c r="L26" s="1">
        <v>113</v>
      </c>
      <c r="N26" s="1">
        <v>4.0657950229999997</v>
      </c>
      <c r="O26" s="1">
        <v>23.4439834</v>
      </c>
      <c r="P26" s="1">
        <f t="shared" si="0"/>
        <v>3</v>
      </c>
      <c r="V26" t="str">
        <f t="shared" si="1"/>
        <v>Low Performer</v>
      </c>
      <c r="W26" t="str" cm="1">
        <f t="array" ref="W26">_xlfn.IFS(N26&gt;=20, "High",N26&gt;=10, "Medium", N26&lt;10, "Low")</f>
        <v>Low</v>
      </c>
      <c r="X26" t="str">
        <f t="shared" si="2"/>
        <v>High Budget</v>
      </c>
      <c r="Y26" s="7">
        <f>VLOOKUP(G26, Lookup_table!B:C,2,0)</f>
        <v>0.3</v>
      </c>
      <c r="Z26" t="str">
        <f t="shared" si="3"/>
        <v>Inefficient Spend</v>
      </c>
      <c r="AA26" t="str">
        <f>VLOOKUP(H26, Lookup_table!E:F,2,0)</f>
        <v>Medium</v>
      </c>
    </row>
    <row r="27" spans="1:27" ht="17.5" customHeight="1" x14ac:dyDescent="0.35">
      <c r="A27" s="1" t="s">
        <v>86</v>
      </c>
      <c r="B27" s="2">
        <v>45444</v>
      </c>
      <c r="C27" s="1" t="s">
        <v>52</v>
      </c>
      <c r="D27" s="1">
        <v>57</v>
      </c>
      <c r="E27" s="1" t="s">
        <v>29</v>
      </c>
      <c r="F27" s="1" t="s">
        <v>45</v>
      </c>
      <c r="G27" s="1" t="s">
        <v>46</v>
      </c>
      <c r="H27" s="1" t="s">
        <v>36</v>
      </c>
      <c r="I27" s="1">
        <v>921.21</v>
      </c>
      <c r="J27" s="1">
        <v>33409</v>
      </c>
      <c r="K27" s="1">
        <v>3245</v>
      </c>
      <c r="L27" s="1">
        <v>6</v>
      </c>
      <c r="N27" s="1">
        <v>9.7129516000000002</v>
      </c>
      <c r="O27" s="1">
        <v>0.18489984600000001</v>
      </c>
      <c r="P27" s="1">
        <f t="shared" si="0"/>
        <v>3</v>
      </c>
      <c r="V27" t="str">
        <f t="shared" si="1"/>
        <v>Low Performer</v>
      </c>
      <c r="W27" t="str" cm="1">
        <f t="array" ref="W27">_xlfn.IFS(N27&gt;=20, "High",N27&gt;=10, "Medium", N27&lt;10, "Low")</f>
        <v>Low</v>
      </c>
      <c r="X27" t="str">
        <f t="shared" si="2"/>
        <v>Medium Budget</v>
      </c>
      <c r="Y27" s="7">
        <f>VLOOKUP(G27, Lookup_table!B:C,2,0)</f>
        <v>0.75</v>
      </c>
      <c r="Z27" t="str">
        <f t="shared" si="3"/>
        <v>Efficient Spend</v>
      </c>
      <c r="AA27" t="str">
        <f>VLOOKUP(H27, Lookup_table!E:F,2,0)</f>
        <v>High</v>
      </c>
    </row>
    <row r="28" spans="1:27" ht="17.5" customHeight="1" x14ac:dyDescent="0.35">
      <c r="A28" s="1" t="s">
        <v>87</v>
      </c>
      <c r="B28" s="2">
        <v>45475</v>
      </c>
      <c r="C28" s="1" t="s">
        <v>88</v>
      </c>
      <c r="D28" s="1">
        <v>54</v>
      </c>
      <c r="E28" s="1" t="s">
        <v>23</v>
      </c>
      <c r="F28" s="1" t="s">
        <v>57</v>
      </c>
      <c r="G28" s="1" t="s">
        <v>46</v>
      </c>
      <c r="H28" s="1" t="s">
        <v>36</v>
      </c>
      <c r="I28" s="1">
        <v>312.38</v>
      </c>
      <c r="J28" s="1">
        <v>5193</v>
      </c>
      <c r="K28" s="1">
        <v>2334</v>
      </c>
      <c r="L28" s="1">
        <v>253</v>
      </c>
      <c r="M28" s="1">
        <v>2</v>
      </c>
      <c r="N28" s="1">
        <v>44.945118430000001</v>
      </c>
      <c r="O28" s="1">
        <v>10.839760070000001</v>
      </c>
      <c r="P28" s="1">
        <f t="shared" si="0"/>
        <v>2</v>
      </c>
      <c r="V28" t="str">
        <f t="shared" si="1"/>
        <v>Average Performer</v>
      </c>
      <c r="W28" t="str" cm="1">
        <f t="array" ref="W28">_xlfn.IFS(N28&gt;=20, "High",N28&gt;=10, "Medium", N28&lt;10, "Low")</f>
        <v>High</v>
      </c>
      <c r="X28" t="str">
        <f t="shared" si="2"/>
        <v>Low Budget</v>
      </c>
      <c r="Y28" s="7">
        <f>VLOOKUP(G28, Lookup_table!B:C,2,0)</f>
        <v>0.75</v>
      </c>
      <c r="Z28" t="str">
        <f t="shared" si="3"/>
        <v>Efficient Spend</v>
      </c>
      <c r="AA28" t="str">
        <f>VLOOKUP(H28, Lookup_table!E:F,2,0)</f>
        <v>High</v>
      </c>
    </row>
    <row r="29" spans="1:27" ht="17.5" customHeight="1" x14ac:dyDescent="0.35">
      <c r="A29" s="1" t="s">
        <v>89</v>
      </c>
      <c r="B29" s="2">
        <v>45404</v>
      </c>
      <c r="C29" s="1" t="s">
        <v>90</v>
      </c>
      <c r="E29" s="1" t="s">
        <v>29</v>
      </c>
      <c r="G29" s="1" t="s">
        <v>31</v>
      </c>
      <c r="H29" s="1" t="s">
        <v>62</v>
      </c>
      <c r="I29" s="1">
        <v>1461.16</v>
      </c>
      <c r="J29" s="1">
        <v>29339</v>
      </c>
      <c r="K29" s="1">
        <v>2849</v>
      </c>
      <c r="L29" s="1">
        <v>67</v>
      </c>
      <c r="N29" s="1">
        <v>9.7106240840000009</v>
      </c>
      <c r="O29" s="1">
        <v>2.3517023520000002</v>
      </c>
      <c r="P29" s="1">
        <f t="shared" si="0"/>
        <v>3</v>
      </c>
      <c r="V29" t="str">
        <f t="shared" si="1"/>
        <v>Low Performer</v>
      </c>
      <c r="W29" t="str" cm="1">
        <f t="array" ref="W29">_xlfn.IFS(N29&gt;=20, "High",N29&gt;=10, "Medium", N29&lt;10, "Low")</f>
        <v>Low</v>
      </c>
      <c r="X29" t="str">
        <f t="shared" si="2"/>
        <v>High Budget</v>
      </c>
      <c r="Y29" s="7">
        <f>VLOOKUP(G29, Lookup_table!B:C,2,0)</f>
        <v>1.2</v>
      </c>
      <c r="Z29" t="str">
        <f t="shared" si="3"/>
        <v>Efficient Spend</v>
      </c>
      <c r="AA29" t="str">
        <f>VLOOKUP(H29, Lookup_table!E:F,2,0)</f>
        <v>Medium</v>
      </c>
    </row>
    <row r="30" spans="1:27" ht="17.5" customHeight="1" x14ac:dyDescent="0.35">
      <c r="A30" s="1" t="s">
        <v>91</v>
      </c>
      <c r="B30" s="2">
        <v>45543</v>
      </c>
      <c r="C30" s="1" t="s">
        <v>92</v>
      </c>
      <c r="D30" s="1">
        <v>40</v>
      </c>
      <c r="E30" s="1" t="s">
        <v>29</v>
      </c>
      <c r="F30" s="1" t="s">
        <v>24</v>
      </c>
      <c r="G30" s="1" t="s">
        <v>31</v>
      </c>
      <c r="H30" s="1" t="s">
        <v>62</v>
      </c>
      <c r="I30" s="1">
        <v>64.23</v>
      </c>
      <c r="J30" s="1">
        <v>14536</v>
      </c>
      <c r="K30" s="1">
        <v>2927</v>
      </c>
      <c r="L30" s="1">
        <v>375</v>
      </c>
      <c r="N30" s="1">
        <v>20.13621354</v>
      </c>
      <c r="O30" s="1">
        <v>12.811752650000001</v>
      </c>
      <c r="P30" s="1">
        <f t="shared" si="0"/>
        <v>3</v>
      </c>
      <c r="V30" t="str">
        <f t="shared" si="1"/>
        <v>Average Performer</v>
      </c>
      <c r="W30" t="str" cm="1">
        <f t="array" ref="W30">_xlfn.IFS(N30&gt;=20, "High",N30&gt;=10, "Medium", N30&lt;10, "Low")</f>
        <v>High</v>
      </c>
      <c r="X30" t="str">
        <f t="shared" si="2"/>
        <v>Low Budget</v>
      </c>
      <c r="Y30" s="7">
        <f>VLOOKUP(G30, Lookup_table!B:C,2,0)</f>
        <v>1.2</v>
      </c>
      <c r="Z30" t="str">
        <f t="shared" si="3"/>
        <v>Efficient Spend</v>
      </c>
      <c r="AA30" t="str">
        <f>VLOOKUP(H30, Lookup_table!E:F,2,0)</f>
        <v>Medium</v>
      </c>
    </row>
    <row r="31" spans="1:27" ht="17.5" customHeight="1" x14ac:dyDescent="0.35">
      <c r="A31" s="1" t="s">
        <v>93</v>
      </c>
      <c r="B31" s="2">
        <v>45481</v>
      </c>
      <c r="C31" s="1" t="s">
        <v>83</v>
      </c>
      <c r="D31" s="1">
        <v>61</v>
      </c>
      <c r="E31" s="1" t="s">
        <v>23</v>
      </c>
      <c r="F31" s="1" t="s">
        <v>24</v>
      </c>
      <c r="G31" s="1" t="s">
        <v>46</v>
      </c>
      <c r="H31" s="1" t="s">
        <v>36</v>
      </c>
      <c r="I31" s="1">
        <v>987.76</v>
      </c>
      <c r="J31" s="1">
        <v>1245</v>
      </c>
      <c r="K31" s="1">
        <v>4323</v>
      </c>
      <c r="L31" s="1">
        <v>119</v>
      </c>
      <c r="M31" s="1">
        <v>5</v>
      </c>
      <c r="N31" s="1">
        <v>347.22891570000002</v>
      </c>
      <c r="O31" s="1">
        <v>2.7527180200000001</v>
      </c>
      <c r="P31" s="1">
        <f t="shared" si="0"/>
        <v>5</v>
      </c>
      <c r="U31" s="1">
        <f>COUNTIF(N27:N1000, N31&gt;100)</f>
        <v>0</v>
      </c>
      <c r="V31" t="str">
        <f t="shared" si="1"/>
        <v>Average Performer</v>
      </c>
      <c r="W31" t="str" cm="1">
        <f t="array" ref="W31">_xlfn.IFS(N31&gt;=20, "High",N31&gt;=10, "Medium", N31&lt;10, "Low")</f>
        <v>High</v>
      </c>
      <c r="X31" t="str">
        <f t="shared" si="2"/>
        <v>Medium Budget</v>
      </c>
      <c r="Y31" s="7">
        <f>VLOOKUP(G31, Lookup_table!B:C,2,0)</f>
        <v>0.75</v>
      </c>
      <c r="Z31" t="str">
        <f t="shared" si="3"/>
        <v>Efficient Spend</v>
      </c>
      <c r="AA31" t="str">
        <f>VLOOKUP(H31, Lookup_table!E:F,2,0)</f>
        <v>High</v>
      </c>
    </row>
    <row r="32" spans="1:27" ht="17.5" customHeight="1" x14ac:dyDescent="0.35">
      <c r="A32" s="1" t="s">
        <v>94</v>
      </c>
      <c r="B32" s="2">
        <v>45582</v>
      </c>
      <c r="C32" s="1" t="s">
        <v>95</v>
      </c>
      <c r="D32" s="1">
        <v>19</v>
      </c>
      <c r="E32" s="1" t="s">
        <v>23</v>
      </c>
      <c r="F32" s="1" t="s">
        <v>57</v>
      </c>
      <c r="G32" s="1" t="s">
        <v>42</v>
      </c>
      <c r="H32" s="1" t="s">
        <v>26</v>
      </c>
      <c r="I32" s="1">
        <v>1670.14</v>
      </c>
      <c r="J32" s="1">
        <v>47856</v>
      </c>
      <c r="K32" s="1">
        <v>3265</v>
      </c>
      <c r="L32" s="1">
        <v>392</v>
      </c>
      <c r="M32" s="1">
        <v>3</v>
      </c>
      <c r="N32" s="1">
        <v>6.8225509860000004</v>
      </c>
      <c r="O32" s="1">
        <v>12.00612557</v>
      </c>
      <c r="P32" s="1">
        <f t="shared" si="0"/>
        <v>3</v>
      </c>
      <c r="V32" t="str">
        <f t="shared" si="1"/>
        <v>Top Performer</v>
      </c>
      <c r="W32" t="str" cm="1">
        <f t="array" ref="W32">_xlfn.IFS(N32&gt;=20, "High",N32&gt;=10, "Medium", N32&lt;10, "Low")</f>
        <v>Low</v>
      </c>
      <c r="X32" t="str">
        <f t="shared" si="2"/>
        <v>High Budget</v>
      </c>
      <c r="Y32" s="7">
        <f>VLOOKUP(G32, Lookup_table!B:C,2,0)</f>
        <v>0.3</v>
      </c>
      <c r="Z32" t="str">
        <f t="shared" si="3"/>
        <v>Inefficient Spend</v>
      </c>
      <c r="AA32" t="str">
        <f>VLOOKUP(H32, Lookup_table!E:F,2,0)</f>
        <v>High</v>
      </c>
    </row>
    <row r="33" spans="1:27" ht="17.5" customHeight="1" x14ac:dyDescent="0.35">
      <c r="A33" s="1" t="s">
        <v>96</v>
      </c>
      <c r="B33" s="2">
        <v>45604</v>
      </c>
      <c r="C33" s="1" t="s">
        <v>97</v>
      </c>
      <c r="D33" s="1">
        <v>38</v>
      </c>
      <c r="E33" s="1" t="s">
        <v>23</v>
      </c>
      <c r="F33" s="1" t="s">
        <v>50</v>
      </c>
      <c r="G33" s="1" t="s">
        <v>25</v>
      </c>
      <c r="H33" s="1" t="s">
        <v>26</v>
      </c>
      <c r="I33" s="1">
        <v>1582.87</v>
      </c>
      <c r="J33" s="1">
        <v>18161</v>
      </c>
      <c r="K33" s="1">
        <v>3759</v>
      </c>
      <c r="L33" s="1">
        <v>384</v>
      </c>
      <c r="M33" s="1">
        <v>2</v>
      </c>
      <c r="N33" s="1">
        <v>20.69819944</v>
      </c>
      <c r="O33" s="1">
        <v>10.21548284</v>
      </c>
      <c r="P33" s="1">
        <f t="shared" si="0"/>
        <v>2</v>
      </c>
      <c r="V33" t="str">
        <f t="shared" si="1"/>
        <v>Top Performer</v>
      </c>
      <c r="W33" t="str" cm="1">
        <f t="array" ref="W33">_xlfn.IFS(N33&gt;=20, "High",N33&gt;=10, "Medium", N33&lt;10, "Low")</f>
        <v>High</v>
      </c>
      <c r="X33" t="str">
        <f t="shared" si="2"/>
        <v>High Budget</v>
      </c>
      <c r="Y33" s="7">
        <f>VLOOKUP(G33, Lookup_table!B:C,2,0)</f>
        <v>0.5</v>
      </c>
      <c r="Z33" t="str">
        <f t="shared" si="3"/>
        <v>Efficient Spend</v>
      </c>
      <c r="AA33" t="str">
        <f>VLOOKUP(H33, Lookup_table!E:F,2,0)</f>
        <v>High</v>
      </c>
    </row>
    <row r="34" spans="1:27" ht="17.5" customHeight="1" x14ac:dyDescent="0.35">
      <c r="A34" s="1" t="s">
        <v>98</v>
      </c>
      <c r="B34" s="2">
        <v>45493</v>
      </c>
      <c r="C34" s="1" t="s">
        <v>90</v>
      </c>
      <c r="D34" s="1">
        <v>26</v>
      </c>
      <c r="E34" s="1" t="s">
        <v>35</v>
      </c>
      <c r="F34" s="1" t="s">
        <v>24</v>
      </c>
      <c r="G34" s="1" t="s">
        <v>25</v>
      </c>
      <c r="H34" s="1" t="s">
        <v>36</v>
      </c>
      <c r="I34" s="1">
        <v>688.82</v>
      </c>
      <c r="J34" s="1">
        <v>44318</v>
      </c>
      <c r="K34" s="1">
        <v>2759</v>
      </c>
      <c r="L34" s="1">
        <v>389</v>
      </c>
      <c r="M34" s="1">
        <v>3</v>
      </c>
      <c r="N34" s="1">
        <v>6.225461438</v>
      </c>
      <c r="O34" s="1">
        <v>14.09931134</v>
      </c>
      <c r="P34" s="1">
        <f t="shared" si="0"/>
        <v>3</v>
      </c>
      <c r="V34" t="str">
        <f t="shared" si="1"/>
        <v>Average Performer</v>
      </c>
      <c r="W34" t="str" cm="1">
        <f t="array" ref="W34">_xlfn.IFS(N34&gt;=20, "High",N34&gt;=10, "Medium", N34&lt;10, "Low")</f>
        <v>Low</v>
      </c>
      <c r="X34" t="str">
        <f t="shared" si="2"/>
        <v>Medium Budget</v>
      </c>
      <c r="Y34" s="7">
        <f>VLOOKUP(G34, Lookup_table!B:C,2,0)</f>
        <v>0.5</v>
      </c>
      <c r="Z34" t="str">
        <f t="shared" si="3"/>
        <v>Efficient Spend</v>
      </c>
      <c r="AA34" t="str">
        <f>VLOOKUP(H34, Lookup_table!E:F,2,0)</f>
        <v>High</v>
      </c>
    </row>
    <row r="35" spans="1:27" ht="17.5" customHeight="1" x14ac:dyDescent="0.35">
      <c r="A35" s="1" t="s">
        <v>99</v>
      </c>
      <c r="B35" s="2">
        <v>45330</v>
      </c>
      <c r="C35" s="1" t="s">
        <v>100</v>
      </c>
      <c r="D35" s="1">
        <v>41</v>
      </c>
      <c r="E35" s="1" t="s">
        <v>35</v>
      </c>
      <c r="F35" s="1" t="s">
        <v>45</v>
      </c>
      <c r="G35" s="1" t="s">
        <v>61</v>
      </c>
      <c r="H35" s="1" t="s">
        <v>36</v>
      </c>
      <c r="I35" s="1">
        <v>1079.1400000000001</v>
      </c>
      <c r="J35" s="1">
        <v>48566</v>
      </c>
      <c r="K35" s="1">
        <v>610</v>
      </c>
      <c r="L35" s="1">
        <v>85</v>
      </c>
      <c r="N35" s="1">
        <v>1.2560227319999999</v>
      </c>
      <c r="O35" s="1">
        <v>13.93442623</v>
      </c>
      <c r="P35" s="1">
        <f t="shared" si="0"/>
        <v>3</v>
      </c>
      <c r="V35" t="str">
        <f t="shared" si="1"/>
        <v>Low Performer</v>
      </c>
      <c r="W35" t="e" cm="1">
        <f t="array" aca="1" ref="W35" ca="1">_xlfn.IFS(N35&gt;=20, "High",N35&gt;=10, "Medium", N35&lt;10, "Low")</f>
        <v>#NAME?</v>
      </c>
      <c r="X35" t="str">
        <f t="shared" si="2"/>
        <v>High Budget</v>
      </c>
      <c r="Y35" s="7">
        <f>VLOOKUP(G35, Lookup_table!B:C,2,0)</f>
        <v>0.2</v>
      </c>
      <c r="Z35" t="str">
        <f t="shared" si="3"/>
        <v>Inefficient Spend</v>
      </c>
      <c r="AA35" t="str">
        <f>VLOOKUP(H35, Lookup_table!E:F,2,0)</f>
        <v>High</v>
      </c>
    </row>
    <row r="36" spans="1:27" ht="17.5" customHeight="1" x14ac:dyDescent="0.35">
      <c r="A36" s="1" t="s">
        <v>101</v>
      </c>
      <c r="B36" s="2">
        <v>45552</v>
      </c>
      <c r="C36" s="1" t="s">
        <v>102</v>
      </c>
      <c r="D36" s="1">
        <v>64</v>
      </c>
      <c r="E36" s="1" t="s">
        <v>35</v>
      </c>
      <c r="F36" s="1" t="s">
        <v>50</v>
      </c>
      <c r="G36" s="1" t="s">
        <v>31</v>
      </c>
      <c r="H36" s="1" t="s">
        <v>32</v>
      </c>
      <c r="I36" s="1">
        <v>1823.94</v>
      </c>
      <c r="J36" s="1">
        <v>22377</v>
      </c>
      <c r="K36" s="1">
        <v>803</v>
      </c>
      <c r="L36" s="1">
        <v>72</v>
      </c>
      <c r="M36" s="1">
        <v>3</v>
      </c>
      <c r="N36" s="1">
        <v>3.5885060549999999</v>
      </c>
      <c r="O36" s="1">
        <v>8.9663760900000007</v>
      </c>
      <c r="P36" s="1">
        <f t="shared" si="0"/>
        <v>3</v>
      </c>
      <c r="V36" t="str">
        <f t="shared" si="1"/>
        <v>Low Performer</v>
      </c>
      <c r="W36" t="e" cm="1">
        <f t="array" aca="1" ref="W36" ca="1">_xlfn.IFS(N36&gt;=20, "High",N36&gt;=10, "Medium", N36&lt;10, "Low")</f>
        <v>#NAME?</v>
      </c>
      <c r="X36" t="str">
        <f t="shared" si="2"/>
        <v>High Budget</v>
      </c>
      <c r="Y36" s="7">
        <f>VLOOKUP(G36, Lookup_table!B:C,2,0)</f>
        <v>1.2</v>
      </c>
      <c r="Z36" t="str">
        <f t="shared" si="3"/>
        <v>Inefficient Spend</v>
      </c>
      <c r="AA36" t="str">
        <f>VLOOKUP(H36, Lookup_table!E:F,2,0)</f>
        <v>Medium</v>
      </c>
    </row>
    <row r="37" spans="1:27" ht="17.5" customHeight="1" x14ac:dyDescent="0.35">
      <c r="A37" s="1" t="s">
        <v>103</v>
      </c>
      <c r="B37" s="2">
        <v>45429</v>
      </c>
      <c r="C37" s="1" t="s">
        <v>59</v>
      </c>
      <c r="D37" s="1">
        <v>45</v>
      </c>
      <c r="E37" s="1" t="s">
        <v>23</v>
      </c>
      <c r="F37" s="1" t="s">
        <v>45</v>
      </c>
      <c r="G37" s="1" t="s">
        <v>61</v>
      </c>
      <c r="H37" s="1" t="s">
        <v>32</v>
      </c>
      <c r="I37" s="1">
        <v>654.80999999999995</v>
      </c>
      <c r="J37" s="1">
        <v>38824</v>
      </c>
      <c r="K37" s="1">
        <v>1908</v>
      </c>
      <c r="L37" s="1">
        <v>68</v>
      </c>
      <c r="M37" s="1">
        <v>5</v>
      </c>
      <c r="N37" s="1">
        <v>4.9144858850000004</v>
      </c>
      <c r="O37" s="1">
        <v>3.5639413000000002</v>
      </c>
      <c r="P37" s="1">
        <f t="shared" si="0"/>
        <v>5</v>
      </c>
      <c r="V37" t="str">
        <f t="shared" si="1"/>
        <v>Low Performer</v>
      </c>
      <c r="W37" t="e" cm="1">
        <f t="array" aca="1" ref="W37" ca="1">_xlfn.IFS(N37&gt;=20, "High",N37&gt;=10, "Medium", N37&lt;10, "Low")</f>
        <v>#NAME?</v>
      </c>
      <c r="X37" t="str">
        <f t="shared" si="2"/>
        <v>Medium Budget</v>
      </c>
      <c r="Y37" s="7">
        <f>VLOOKUP(G37, Lookup_table!B:C,2,0)</f>
        <v>0.2</v>
      </c>
      <c r="Z37" t="str">
        <f t="shared" si="3"/>
        <v>Inefficient Spend</v>
      </c>
      <c r="AA37" t="str">
        <f>VLOOKUP(H37, Lookup_table!E:F,2,0)</f>
        <v>Medium</v>
      </c>
    </row>
    <row r="38" spans="1:27" ht="17.5" customHeight="1" x14ac:dyDescent="0.35">
      <c r="A38" s="1" t="s">
        <v>104</v>
      </c>
      <c r="B38" s="2">
        <v>45635</v>
      </c>
      <c r="C38" s="1" t="s">
        <v>105</v>
      </c>
      <c r="D38" s="1">
        <v>53</v>
      </c>
      <c r="E38" s="1" t="s">
        <v>35</v>
      </c>
      <c r="F38" s="1" t="s">
        <v>30</v>
      </c>
      <c r="G38" s="1" t="s">
        <v>61</v>
      </c>
      <c r="H38" s="1" t="s">
        <v>62</v>
      </c>
      <c r="I38" s="1">
        <v>1182.54</v>
      </c>
      <c r="J38" s="1">
        <v>26747</v>
      </c>
      <c r="K38" s="1">
        <v>100</v>
      </c>
      <c r="L38" s="1">
        <v>348</v>
      </c>
      <c r="M38" s="1">
        <v>4</v>
      </c>
      <c r="N38" s="1">
        <v>0.373873705</v>
      </c>
      <c r="O38" s="1">
        <v>348</v>
      </c>
      <c r="P38" s="1">
        <f t="shared" si="0"/>
        <v>4</v>
      </c>
      <c r="V38" t="str">
        <f t="shared" si="1"/>
        <v>Low Performer</v>
      </c>
      <c r="W38" t="e" cm="1">
        <f t="array" aca="1" ref="W38" ca="1">_xlfn.IFS(N38&gt;=20, "High",N38&gt;=10, "Medium", N38&lt;10, "Low")</f>
        <v>#NAME?</v>
      </c>
      <c r="X38" t="str">
        <f t="shared" si="2"/>
        <v>High Budget</v>
      </c>
      <c r="Y38" s="7">
        <f>VLOOKUP(G38, Lookup_table!B:C,2,0)</f>
        <v>0.2</v>
      </c>
      <c r="Z38" t="str">
        <f t="shared" si="3"/>
        <v>Inefficient Spend</v>
      </c>
      <c r="AA38" t="str">
        <f>VLOOKUP(H38, Lookup_table!E:F,2,0)</f>
        <v>Medium</v>
      </c>
    </row>
    <row r="39" spans="1:27" ht="17.5" customHeight="1" x14ac:dyDescent="0.35">
      <c r="A39" s="1" t="s">
        <v>106</v>
      </c>
      <c r="B39" s="2">
        <v>45487</v>
      </c>
      <c r="C39" s="1" t="s">
        <v>107</v>
      </c>
      <c r="E39" s="1" t="s">
        <v>35</v>
      </c>
      <c r="G39" s="1" t="s">
        <v>25</v>
      </c>
      <c r="H39" s="1" t="s">
        <v>32</v>
      </c>
      <c r="I39" s="1">
        <v>1871.43</v>
      </c>
      <c r="J39" s="1">
        <v>43985</v>
      </c>
      <c r="K39" s="1">
        <v>2058</v>
      </c>
      <c r="L39" s="1">
        <v>237</v>
      </c>
      <c r="N39" s="1">
        <v>4.6788677959999996</v>
      </c>
      <c r="O39" s="1">
        <v>11.51603499</v>
      </c>
      <c r="P39" s="1">
        <f t="shared" si="0"/>
        <v>3</v>
      </c>
      <c r="V39" t="str">
        <f t="shared" si="1"/>
        <v>Average Performer</v>
      </c>
      <c r="W39" t="e" cm="1">
        <f t="array" aca="1" ref="W39" ca="1">_xlfn.IFS(N39&gt;=20, "High",N39&gt;=10, "Medium", N39&lt;10, "Low")</f>
        <v>#NAME?</v>
      </c>
      <c r="X39" t="str">
        <f t="shared" si="2"/>
        <v>High Budget</v>
      </c>
      <c r="Y39" s="7">
        <f>VLOOKUP(G39, Lookup_table!B:C,2,0)</f>
        <v>0.5</v>
      </c>
      <c r="Z39" t="str">
        <f t="shared" si="3"/>
        <v>Inefficient Spend</v>
      </c>
      <c r="AA39" t="str">
        <f>VLOOKUP(H39, Lookup_table!E:F,2,0)</f>
        <v>Medium</v>
      </c>
    </row>
    <row r="40" spans="1:27" ht="17.5" customHeight="1" x14ac:dyDescent="0.35">
      <c r="A40" s="1" t="s">
        <v>108</v>
      </c>
      <c r="B40" s="2">
        <v>45364</v>
      </c>
      <c r="C40" s="1" t="s">
        <v>109</v>
      </c>
      <c r="D40" s="1">
        <v>40</v>
      </c>
      <c r="E40" s="1" t="s">
        <v>29</v>
      </c>
      <c r="F40" s="1" t="s">
        <v>24</v>
      </c>
      <c r="G40" s="1" t="s">
        <v>31</v>
      </c>
      <c r="H40" s="1" t="s">
        <v>32</v>
      </c>
      <c r="I40" s="1">
        <v>1909.57</v>
      </c>
      <c r="J40" s="1">
        <v>38605</v>
      </c>
      <c r="K40" s="1">
        <v>1277</v>
      </c>
      <c r="L40" s="1">
        <v>345</v>
      </c>
      <c r="N40" s="1">
        <v>3.3078616759999999</v>
      </c>
      <c r="O40" s="1">
        <v>27.016444790000001</v>
      </c>
      <c r="P40" s="1">
        <f t="shared" si="0"/>
        <v>3</v>
      </c>
      <c r="V40" t="str">
        <f t="shared" si="1"/>
        <v>Average Performer</v>
      </c>
      <c r="W40" t="e" cm="1">
        <f t="array" aca="1" ref="W40" ca="1">_xlfn.IFS(N40&gt;=20, "High",N40&gt;=10, "Medium", N40&lt;10, "Low")</f>
        <v>#NAME?</v>
      </c>
      <c r="X40" t="str">
        <f t="shared" si="2"/>
        <v>High Budget</v>
      </c>
      <c r="Y40" s="7">
        <f>VLOOKUP(G40, Lookup_table!B:C,2,0)</f>
        <v>1.2</v>
      </c>
      <c r="Z40" t="str">
        <f t="shared" si="3"/>
        <v>Inefficient Spend</v>
      </c>
      <c r="AA40" t="str">
        <f>VLOOKUP(H40, Lookup_table!E:F,2,0)</f>
        <v>Medium</v>
      </c>
    </row>
    <row r="41" spans="1:27" ht="17.5" customHeight="1" x14ac:dyDescent="0.35">
      <c r="A41" s="1" t="s">
        <v>110</v>
      </c>
      <c r="B41" s="2">
        <v>45631</v>
      </c>
      <c r="C41" s="1" t="s">
        <v>111</v>
      </c>
      <c r="D41" s="1">
        <v>43</v>
      </c>
      <c r="E41" s="1" t="s">
        <v>29</v>
      </c>
      <c r="F41" s="1" t="s">
        <v>24</v>
      </c>
      <c r="G41" s="1" t="s">
        <v>42</v>
      </c>
      <c r="H41" s="1" t="s">
        <v>36</v>
      </c>
      <c r="I41" s="1">
        <v>1376.17</v>
      </c>
      <c r="J41" s="1">
        <v>15902</v>
      </c>
      <c r="K41" s="1">
        <v>526</v>
      </c>
      <c r="L41" s="1">
        <v>289</v>
      </c>
      <c r="M41" s="1">
        <v>5</v>
      </c>
      <c r="N41" s="1">
        <v>3.3077600299999999</v>
      </c>
      <c r="O41" s="1">
        <v>54.942965780000002</v>
      </c>
      <c r="P41" s="1">
        <f t="shared" si="0"/>
        <v>5</v>
      </c>
      <c r="V41" t="str">
        <f t="shared" si="1"/>
        <v>Low Performer</v>
      </c>
      <c r="W41" t="e" cm="1">
        <f t="array" aca="1" ref="W41" ca="1">_xlfn.IFS(N41&gt;=20, "High",N41&gt;=10, "Medium", N41&lt;10, "Low")</f>
        <v>#NAME?</v>
      </c>
      <c r="X41" t="str">
        <f t="shared" si="2"/>
        <v>High Budget</v>
      </c>
      <c r="Y41" s="7">
        <f>VLOOKUP(G41, Lookup_table!B:C,2,0)</f>
        <v>0.3</v>
      </c>
      <c r="Z41" t="str">
        <f t="shared" si="3"/>
        <v>Inefficient Spend</v>
      </c>
      <c r="AA41" t="str">
        <f>VLOOKUP(H41, Lookup_table!E:F,2,0)</f>
        <v>High</v>
      </c>
    </row>
    <row r="42" spans="1:27" ht="17.5" customHeight="1" x14ac:dyDescent="0.35">
      <c r="A42" s="1" t="s">
        <v>112</v>
      </c>
      <c r="B42" s="2">
        <v>45549</v>
      </c>
      <c r="C42" s="1" t="s">
        <v>113</v>
      </c>
      <c r="D42" s="1">
        <v>43</v>
      </c>
      <c r="E42" s="1" t="s">
        <v>23</v>
      </c>
      <c r="F42" s="1" t="s">
        <v>50</v>
      </c>
      <c r="G42" s="1" t="s">
        <v>31</v>
      </c>
      <c r="H42" s="1" t="s">
        <v>32</v>
      </c>
      <c r="I42" s="1">
        <v>1962.25</v>
      </c>
      <c r="J42" s="1">
        <v>37012</v>
      </c>
      <c r="K42" s="1">
        <v>4018</v>
      </c>
      <c r="L42" s="1">
        <v>70</v>
      </c>
      <c r="M42" s="1">
        <v>1</v>
      </c>
      <c r="N42" s="1">
        <v>10.855938610000001</v>
      </c>
      <c r="O42" s="1">
        <v>1.7421602789999999</v>
      </c>
      <c r="P42" s="1">
        <f t="shared" si="0"/>
        <v>1</v>
      </c>
      <c r="V42" t="str">
        <f t="shared" si="1"/>
        <v>Low Performer</v>
      </c>
      <c r="W42" t="e" cm="1">
        <f t="array" aca="1" ref="W42" ca="1">_xlfn.IFS(N42&gt;=20, "High",N42&gt;=10, "Medium", N42&lt;10, "Low")</f>
        <v>#NAME?</v>
      </c>
      <c r="X42" t="str">
        <f t="shared" si="2"/>
        <v>High Budget</v>
      </c>
      <c r="Y42" s="7">
        <f>VLOOKUP(G42, Lookup_table!B:C,2,0)</f>
        <v>1.2</v>
      </c>
      <c r="Z42" t="str">
        <f t="shared" si="3"/>
        <v>Efficient Spend</v>
      </c>
      <c r="AA42" t="str">
        <f>VLOOKUP(H42, Lookup_table!E:F,2,0)</f>
        <v>Medium</v>
      </c>
    </row>
    <row r="43" spans="1:27" ht="17.5" customHeight="1" x14ac:dyDescent="0.35">
      <c r="A43" s="1" t="s">
        <v>114</v>
      </c>
      <c r="B43" s="2">
        <v>45484</v>
      </c>
      <c r="C43" s="1" t="s">
        <v>115</v>
      </c>
      <c r="D43" s="1">
        <v>64</v>
      </c>
      <c r="E43" s="1" t="s">
        <v>35</v>
      </c>
      <c r="F43" s="1" t="s">
        <v>57</v>
      </c>
      <c r="G43" s="1" t="s">
        <v>25</v>
      </c>
      <c r="H43" s="1" t="s">
        <v>62</v>
      </c>
      <c r="I43" s="1">
        <v>1563.06</v>
      </c>
      <c r="J43" s="1">
        <v>41009</v>
      </c>
      <c r="K43" s="1">
        <v>2687</v>
      </c>
      <c r="L43" s="1">
        <v>126</v>
      </c>
      <c r="N43" s="1">
        <v>6.5522202439999999</v>
      </c>
      <c r="O43" s="1">
        <v>4.6892445110000001</v>
      </c>
      <c r="P43" s="1">
        <f t="shared" si="0"/>
        <v>3</v>
      </c>
      <c r="V43" t="str">
        <f t="shared" si="1"/>
        <v>Average Performer</v>
      </c>
      <c r="W43" t="e" cm="1">
        <f t="array" aca="1" ref="W43" ca="1">_xlfn.IFS(N43&gt;=20, "High",N43&gt;=10, "Medium", N43&lt;10, "Low")</f>
        <v>#NAME?</v>
      </c>
      <c r="X43" t="str">
        <f t="shared" si="2"/>
        <v>High Budget</v>
      </c>
      <c r="Y43" s="7">
        <f>VLOOKUP(G43, Lookup_table!B:C,2,0)</f>
        <v>0.5</v>
      </c>
      <c r="Z43" t="str">
        <f t="shared" si="3"/>
        <v>Inefficient Spend</v>
      </c>
      <c r="AA43" t="str">
        <f>VLOOKUP(H43, Lookup_table!E:F,2,0)</f>
        <v>Medium</v>
      </c>
    </row>
    <row r="44" spans="1:27" ht="17.5" customHeight="1" x14ac:dyDescent="0.35">
      <c r="A44" s="1" t="s">
        <v>116</v>
      </c>
      <c r="B44" s="2">
        <v>45641</v>
      </c>
      <c r="C44" s="1" t="s">
        <v>117</v>
      </c>
      <c r="D44" s="1">
        <v>48</v>
      </c>
      <c r="E44" s="1" t="s">
        <v>23</v>
      </c>
      <c r="F44" s="1" t="s">
        <v>24</v>
      </c>
      <c r="G44" s="1" t="s">
        <v>25</v>
      </c>
      <c r="H44" s="1" t="s">
        <v>36</v>
      </c>
      <c r="I44" s="1">
        <v>1949.17</v>
      </c>
      <c r="J44" s="1">
        <v>7283</v>
      </c>
      <c r="K44" s="1">
        <v>4633</v>
      </c>
      <c r="L44" s="1">
        <v>399</v>
      </c>
      <c r="M44" s="1">
        <v>3</v>
      </c>
      <c r="N44" s="1">
        <v>63.613895370000002</v>
      </c>
      <c r="O44" s="1">
        <v>8.6121303690000008</v>
      </c>
      <c r="P44" s="1">
        <f t="shared" si="0"/>
        <v>3</v>
      </c>
      <c r="V44" t="str">
        <f t="shared" si="1"/>
        <v>Top Performer</v>
      </c>
      <c r="W44" t="e" cm="1">
        <f t="array" aca="1" ref="W44" ca="1">_xlfn.IFS(N44&gt;=20, "High",N44&gt;=10, "Medium", N44&lt;10, "Low")</f>
        <v>#NAME?</v>
      </c>
      <c r="X44" t="str">
        <f t="shared" si="2"/>
        <v>High Budget</v>
      </c>
      <c r="Y44" s="7">
        <f>VLOOKUP(G44, Lookup_table!B:C,2,0)</f>
        <v>0.5</v>
      </c>
      <c r="Z44" t="str">
        <f t="shared" si="3"/>
        <v>Efficient Spend</v>
      </c>
      <c r="AA44" t="str">
        <f>VLOOKUP(H44, Lookup_table!E:F,2,0)</f>
        <v>High</v>
      </c>
    </row>
    <row r="45" spans="1:27" ht="17.5" customHeight="1" x14ac:dyDescent="0.35">
      <c r="A45" s="1" t="s">
        <v>118</v>
      </c>
      <c r="B45" s="2">
        <v>45384</v>
      </c>
      <c r="C45" s="1" t="s">
        <v>119</v>
      </c>
      <c r="D45" s="1">
        <v>60</v>
      </c>
      <c r="E45" s="1" t="s">
        <v>35</v>
      </c>
      <c r="F45" s="1" t="s">
        <v>30</v>
      </c>
      <c r="G45" s="1" t="s">
        <v>46</v>
      </c>
      <c r="H45" s="1" t="s">
        <v>62</v>
      </c>
      <c r="I45" s="1">
        <v>1359.28</v>
      </c>
      <c r="J45" s="1">
        <v>3809</v>
      </c>
      <c r="K45" s="1">
        <v>831</v>
      </c>
      <c r="L45" s="1">
        <v>263</v>
      </c>
      <c r="M45" s="1">
        <v>4</v>
      </c>
      <c r="N45" s="1">
        <v>21.8167498</v>
      </c>
      <c r="O45" s="1">
        <v>31.648616130000001</v>
      </c>
      <c r="P45" s="1">
        <f t="shared" si="0"/>
        <v>4</v>
      </c>
      <c r="V45" t="str">
        <f t="shared" si="1"/>
        <v>Low Performer</v>
      </c>
      <c r="W45" t="e" cm="1">
        <f t="array" aca="1" ref="W45" ca="1">_xlfn.IFS(N45&gt;=20, "High",N45&gt;=10, "Medium", N45&lt;10, "Low")</f>
        <v>#NAME?</v>
      </c>
      <c r="X45" t="str">
        <f t="shared" si="2"/>
        <v>High Budget</v>
      </c>
      <c r="Y45" s="7">
        <f>VLOOKUP(G45, Lookup_table!B:C,2,0)</f>
        <v>0.75</v>
      </c>
      <c r="Z45" t="str">
        <f t="shared" si="3"/>
        <v>Inefficient Spend</v>
      </c>
      <c r="AA45" t="str">
        <f>VLOOKUP(H45, Lookup_table!E:F,2,0)</f>
        <v>Medium</v>
      </c>
    </row>
    <row r="46" spans="1:27" ht="17.5" customHeight="1" x14ac:dyDescent="0.35">
      <c r="A46" s="1" t="s">
        <v>120</v>
      </c>
      <c r="B46" s="2">
        <v>45544</v>
      </c>
      <c r="C46" s="1" t="s">
        <v>121</v>
      </c>
      <c r="D46" s="1">
        <v>30</v>
      </c>
      <c r="E46" s="1" t="s">
        <v>23</v>
      </c>
      <c r="F46" s="1" t="s">
        <v>45</v>
      </c>
      <c r="G46" s="1" t="s">
        <v>61</v>
      </c>
      <c r="H46" s="1" t="s">
        <v>26</v>
      </c>
      <c r="I46" s="1">
        <v>1323.7</v>
      </c>
      <c r="J46" s="1">
        <v>42287</v>
      </c>
      <c r="K46" s="1">
        <v>2796</v>
      </c>
      <c r="L46" s="1">
        <v>285</v>
      </c>
      <c r="M46" s="1">
        <v>5</v>
      </c>
      <c r="N46" s="1">
        <v>6.6119611230000004</v>
      </c>
      <c r="O46" s="1">
        <v>10.19313305</v>
      </c>
      <c r="P46" s="1">
        <f t="shared" si="0"/>
        <v>5</v>
      </c>
      <c r="V46" t="str">
        <f t="shared" si="1"/>
        <v>Average Performer</v>
      </c>
      <c r="W46" t="e" cm="1">
        <f t="array" aca="1" ref="W46" ca="1">_xlfn.IFS(N46&gt;=20, "High",N46&gt;=10, "Medium", N46&lt;10, "Low")</f>
        <v>#NAME?</v>
      </c>
      <c r="X46" t="str">
        <f t="shared" si="2"/>
        <v>High Budget</v>
      </c>
      <c r="Y46" s="7">
        <f>VLOOKUP(G46, Lookup_table!B:C,2,0)</f>
        <v>0.2</v>
      </c>
      <c r="Z46" t="str">
        <f t="shared" si="3"/>
        <v>Inefficient Spend</v>
      </c>
      <c r="AA46" t="str">
        <f>VLOOKUP(H46, Lookup_table!E:F,2,0)</f>
        <v>High</v>
      </c>
    </row>
    <row r="47" spans="1:27" ht="17.5" customHeight="1" x14ac:dyDescent="0.35">
      <c r="A47" s="1" t="s">
        <v>122</v>
      </c>
      <c r="B47" s="2">
        <v>45363</v>
      </c>
      <c r="C47" s="1" t="s">
        <v>123</v>
      </c>
      <c r="D47" s="1">
        <v>64</v>
      </c>
      <c r="E47" s="1" t="s">
        <v>35</v>
      </c>
      <c r="F47" s="1" t="s">
        <v>57</v>
      </c>
      <c r="G47" s="1" t="s">
        <v>61</v>
      </c>
      <c r="H47" s="1" t="s">
        <v>36</v>
      </c>
      <c r="I47" s="1">
        <v>162.71</v>
      </c>
      <c r="J47" s="1">
        <v>28327</v>
      </c>
      <c r="K47" s="1">
        <v>3653</v>
      </c>
      <c r="L47" s="1">
        <v>341</v>
      </c>
      <c r="M47" s="1">
        <v>5</v>
      </c>
      <c r="N47" s="1">
        <v>12.89582377</v>
      </c>
      <c r="O47" s="1">
        <v>9.3347933209999994</v>
      </c>
      <c r="P47" s="1">
        <f t="shared" si="0"/>
        <v>5</v>
      </c>
      <c r="V47" t="str">
        <f t="shared" si="1"/>
        <v>Top Performer</v>
      </c>
      <c r="W47" t="e" cm="1">
        <f t="array" aca="1" ref="W47" ca="1">_xlfn.IFS(N47&gt;=20, "High",N47&gt;=10, "Medium", N47&lt;10, "Low")</f>
        <v>#NAME?</v>
      </c>
      <c r="X47" t="str">
        <f t="shared" si="2"/>
        <v>Low Budget</v>
      </c>
      <c r="Y47" s="7">
        <f>VLOOKUP(G47, Lookup_table!B:C,2,0)</f>
        <v>0.2</v>
      </c>
      <c r="Z47" t="str">
        <f t="shared" si="3"/>
        <v>Efficient Spend</v>
      </c>
      <c r="AA47" t="str">
        <f>VLOOKUP(H47, Lookup_table!E:F,2,0)</f>
        <v>High</v>
      </c>
    </row>
    <row r="48" spans="1:27" ht="17.5" customHeight="1" x14ac:dyDescent="0.35">
      <c r="A48" s="1" t="s">
        <v>124</v>
      </c>
      <c r="B48" s="2">
        <v>45571</v>
      </c>
      <c r="C48" s="1" t="s">
        <v>85</v>
      </c>
      <c r="D48" s="1">
        <v>63</v>
      </c>
      <c r="E48" s="1" t="s">
        <v>35</v>
      </c>
      <c r="F48" s="1" t="s">
        <v>24</v>
      </c>
      <c r="G48" s="1" t="s">
        <v>42</v>
      </c>
      <c r="H48" s="1" t="s">
        <v>62</v>
      </c>
      <c r="I48" s="1">
        <v>1004.84</v>
      </c>
      <c r="J48" s="1">
        <v>38048</v>
      </c>
      <c r="K48" s="1">
        <v>1079</v>
      </c>
      <c r="L48" s="1">
        <v>77</v>
      </c>
      <c r="M48" s="1">
        <v>4</v>
      </c>
      <c r="N48" s="1">
        <v>2.8358915050000002</v>
      </c>
      <c r="O48" s="1">
        <v>7.1362372570000003</v>
      </c>
      <c r="P48" s="1">
        <f t="shared" si="0"/>
        <v>4</v>
      </c>
      <c r="V48" t="str">
        <f t="shared" si="1"/>
        <v>Low Performer</v>
      </c>
      <c r="W48" t="e" cm="1">
        <f t="array" aca="1" ref="W48" ca="1">_xlfn.IFS(N48&gt;=20, "High",N48&gt;=10, "Medium", N48&lt;10, "Low")</f>
        <v>#NAME?</v>
      </c>
      <c r="X48" t="str">
        <f t="shared" si="2"/>
        <v>High Budget</v>
      </c>
      <c r="Y48" s="7">
        <f>VLOOKUP(G48, Lookup_table!B:C,2,0)</f>
        <v>0.3</v>
      </c>
      <c r="Z48" t="str">
        <f t="shared" si="3"/>
        <v>Inefficient Spend</v>
      </c>
      <c r="AA48" t="str">
        <f>VLOOKUP(H48, Lookup_table!E:F,2,0)</f>
        <v>Medium</v>
      </c>
    </row>
    <row r="49" spans="1:27" ht="17.5" customHeight="1" x14ac:dyDescent="0.35">
      <c r="A49" s="1" t="s">
        <v>125</v>
      </c>
      <c r="B49" s="2">
        <v>45302</v>
      </c>
      <c r="C49" s="1" t="s">
        <v>126</v>
      </c>
      <c r="D49" s="1">
        <v>41</v>
      </c>
      <c r="E49" s="1" t="s">
        <v>35</v>
      </c>
      <c r="F49" s="1" t="s">
        <v>30</v>
      </c>
      <c r="G49" s="1" t="s">
        <v>46</v>
      </c>
      <c r="H49" s="1" t="s">
        <v>26</v>
      </c>
      <c r="I49" s="1">
        <v>694.66</v>
      </c>
      <c r="J49" s="1">
        <v>30529</v>
      </c>
      <c r="K49" s="1">
        <v>26</v>
      </c>
      <c r="L49" s="1">
        <v>96</v>
      </c>
      <c r="M49" s="1">
        <v>2</v>
      </c>
      <c r="N49" s="1">
        <v>8.5164925000000002E-2</v>
      </c>
      <c r="O49" s="1">
        <v>369.2307692</v>
      </c>
      <c r="P49" s="1">
        <f t="shared" si="0"/>
        <v>2</v>
      </c>
      <c r="V49" t="str">
        <f t="shared" si="1"/>
        <v>Low Performer</v>
      </c>
      <c r="W49" t="e" cm="1">
        <f t="array" aca="1" ref="W49" ca="1">_xlfn.IFS(N49&gt;=20, "High",N49&gt;=10, "Medium", N49&lt;10, "Low")</f>
        <v>#NAME?</v>
      </c>
      <c r="X49" t="str">
        <f t="shared" si="2"/>
        <v>Medium Budget</v>
      </c>
      <c r="Y49" s="7">
        <f>VLOOKUP(G49, Lookup_table!B:C,2,0)</f>
        <v>0.75</v>
      </c>
      <c r="Z49" t="str">
        <f t="shared" si="3"/>
        <v>Inefficient Spend</v>
      </c>
      <c r="AA49" t="str">
        <f>VLOOKUP(H49, Lookup_table!E:F,2,0)</f>
        <v>High</v>
      </c>
    </row>
    <row r="50" spans="1:27" ht="17.5" customHeight="1" x14ac:dyDescent="0.35">
      <c r="A50" s="1" t="s">
        <v>127</v>
      </c>
      <c r="B50" s="2">
        <v>45525</v>
      </c>
      <c r="C50" s="1" t="s">
        <v>128</v>
      </c>
      <c r="D50" s="1">
        <v>56</v>
      </c>
      <c r="E50" s="1" t="s">
        <v>23</v>
      </c>
      <c r="F50" s="1" t="s">
        <v>50</v>
      </c>
      <c r="G50" s="1" t="s">
        <v>31</v>
      </c>
      <c r="H50" s="1" t="s">
        <v>26</v>
      </c>
      <c r="I50" s="1">
        <v>138.05000000000001</v>
      </c>
      <c r="J50" s="1">
        <v>17610</v>
      </c>
      <c r="K50" s="1">
        <v>4239</v>
      </c>
      <c r="L50" s="1">
        <v>114</v>
      </c>
      <c r="M50" s="1">
        <v>2</v>
      </c>
      <c r="N50" s="1">
        <v>24.071550259999999</v>
      </c>
      <c r="O50" s="1">
        <v>2.689313517</v>
      </c>
      <c r="P50" s="1">
        <f t="shared" si="0"/>
        <v>2</v>
      </c>
      <c r="V50" t="str">
        <f t="shared" si="1"/>
        <v>Average Performer</v>
      </c>
      <c r="W50" t="e" cm="1">
        <f t="array" aca="1" ref="W50" ca="1">_xlfn.IFS(N50&gt;=20, "High",N50&gt;=10, "Medium", N50&lt;10, "Low")</f>
        <v>#NAME?</v>
      </c>
      <c r="X50" t="str">
        <f t="shared" si="2"/>
        <v>Low Budget</v>
      </c>
      <c r="Y50" s="7">
        <f>VLOOKUP(G50, Lookup_table!B:C,2,0)</f>
        <v>1.2</v>
      </c>
      <c r="Z50" t="str">
        <f t="shared" si="3"/>
        <v>Efficient Spend</v>
      </c>
      <c r="AA50" t="str">
        <f>VLOOKUP(H50, Lookup_table!E:F,2,0)</f>
        <v>High</v>
      </c>
    </row>
    <row r="51" spans="1:27" ht="17.5" customHeight="1" x14ac:dyDescent="0.35">
      <c r="A51" s="1" t="s">
        <v>129</v>
      </c>
      <c r="B51" s="2">
        <v>45583</v>
      </c>
      <c r="C51" s="1" t="s">
        <v>130</v>
      </c>
      <c r="D51" s="1">
        <v>42</v>
      </c>
      <c r="E51" s="1" t="s">
        <v>23</v>
      </c>
      <c r="F51" s="1" t="s">
        <v>24</v>
      </c>
      <c r="G51" s="1" t="s">
        <v>31</v>
      </c>
      <c r="H51" s="1" t="s">
        <v>32</v>
      </c>
      <c r="I51" s="1">
        <v>1288.67</v>
      </c>
      <c r="J51" s="1">
        <v>33696</v>
      </c>
      <c r="K51" s="1">
        <v>3552</v>
      </c>
      <c r="L51" s="1">
        <v>279</v>
      </c>
      <c r="M51" s="1">
        <v>1</v>
      </c>
      <c r="N51" s="1">
        <v>10.54131054</v>
      </c>
      <c r="O51" s="1">
        <v>7.8547297299999999</v>
      </c>
      <c r="P51" s="1">
        <f t="shared" si="0"/>
        <v>1</v>
      </c>
      <c r="V51" t="str">
        <f t="shared" si="1"/>
        <v>Top Performer</v>
      </c>
      <c r="W51" t="e" cm="1">
        <f t="array" aca="1" ref="W51" ca="1">_xlfn.IFS(N51&gt;=20, "High",N51&gt;=10, "Medium", N51&lt;10, "Low")</f>
        <v>#NAME?</v>
      </c>
      <c r="X51" t="str">
        <f t="shared" si="2"/>
        <v>High Budget</v>
      </c>
      <c r="Y51" s="7">
        <f>VLOOKUP(G51, Lookup_table!B:C,2,0)</f>
        <v>1.2</v>
      </c>
      <c r="Z51" t="str">
        <f t="shared" si="3"/>
        <v>Efficient Spend</v>
      </c>
      <c r="AA51" t="str">
        <f>VLOOKUP(H51, Lookup_table!E:F,2,0)</f>
        <v>Medium</v>
      </c>
    </row>
    <row r="52" spans="1:27" ht="17.5" customHeight="1" x14ac:dyDescent="0.35">
      <c r="A52" s="1" t="s">
        <v>131</v>
      </c>
      <c r="B52" s="2">
        <v>45609</v>
      </c>
      <c r="C52" s="1" t="s">
        <v>132</v>
      </c>
      <c r="D52" s="1">
        <v>40</v>
      </c>
      <c r="E52" s="1" t="s">
        <v>35</v>
      </c>
      <c r="F52" s="1" t="s">
        <v>41</v>
      </c>
      <c r="G52" s="1" t="s">
        <v>46</v>
      </c>
      <c r="H52" s="1" t="s">
        <v>26</v>
      </c>
      <c r="I52" s="1">
        <v>1943.85</v>
      </c>
      <c r="J52" s="1">
        <v>46596</v>
      </c>
      <c r="K52" s="1">
        <v>3817</v>
      </c>
      <c r="L52" s="1">
        <v>121</v>
      </c>
      <c r="M52" s="1">
        <v>1</v>
      </c>
      <c r="N52" s="1">
        <v>8.1916902740000008</v>
      </c>
      <c r="O52" s="1">
        <v>3.170028818</v>
      </c>
      <c r="P52" s="1">
        <f t="shared" si="0"/>
        <v>1</v>
      </c>
      <c r="V52" t="str">
        <f t="shared" si="1"/>
        <v>Average Performer</v>
      </c>
      <c r="W52" t="e" cm="1">
        <f t="array" aca="1" ref="W52" ca="1">_xlfn.IFS(N52&gt;=20, "High",N52&gt;=10, "Medium", N52&lt;10, "Low")</f>
        <v>#NAME?</v>
      </c>
      <c r="X52" t="str">
        <f t="shared" si="2"/>
        <v>High Budget</v>
      </c>
      <c r="Y52" s="7">
        <f>VLOOKUP(G52, Lookup_table!B:C,2,0)</f>
        <v>0.75</v>
      </c>
      <c r="Z52" t="str">
        <f t="shared" si="3"/>
        <v>Efficient Spend</v>
      </c>
      <c r="AA52" t="str">
        <f>VLOOKUP(H52, Lookup_table!E:F,2,0)</f>
        <v>High</v>
      </c>
    </row>
    <row r="53" spans="1:27" ht="17.5" customHeight="1" x14ac:dyDescent="0.35">
      <c r="A53" s="1" t="s">
        <v>133</v>
      </c>
      <c r="B53" s="2">
        <v>45443</v>
      </c>
      <c r="C53" s="1" t="s">
        <v>134</v>
      </c>
      <c r="D53" s="1">
        <v>45</v>
      </c>
      <c r="E53" s="1" t="s">
        <v>23</v>
      </c>
      <c r="F53" s="1" t="s">
        <v>50</v>
      </c>
      <c r="G53" s="1" t="s">
        <v>31</v>
      </c>
      <c r="H53" s="1" t="s">
        <v>32</v>
      </c>
      <c r="I53" s="1">
        <v>1164.96</v>
      </c>
      <c r="J53" s="1">
        <v>28535</v>
      </c>
      <c r="K53" s="1">
        <v>2338</v>
      </c>
      <c r="L53" s="1">
        <v>326</v>
      </c>
      <c r="M53" s="1">
        <v>2</v>
      </c>
      <c r="N53" s="1">
        <v>8.1934466439999998</v>
      </c>
      <c r="O53" s="1">
        <v>13.943541489999999</v>
      </c>
      <c r="P53" s="1">
        <f t="shared" si="0"/>
        <v>2</v>
      </c>
      <c r="V53" t="str">
        <f t="shared" si="1"/>
        <v>Average Performer</v>
      </c>
      <c r="W53" t="e" cm="1">
        <f t="array" aca="1" ref="W53" ca="1">_xlfn.IFS(N53&gt;=20, "High",N53&gt;=10, "Medium", N53&lt;10, "Low")</f>
        <v>#NAME?</v>
      </c>
      <c r="X53" t="str">
        <f t="shared" si="2"/>
        <v>High Budget</v>
      </c>
      <c r="Y53" s="7">
        <f>VLOOKUP(G53, Lookup_table!B:C,2,0)</f>
        <v>1.2</v>
      </c>
      <c r="Z53" t="str">
        <f t="shared" si="3"/>
        <v>Efficient Spend</v>
      </c>
      <c r="AA53" t="str">
        <f>VLOOKUP(H53, Lookup_table!E:F,2,0)</f>
        <v>Medium</v>
      </c>
    </row>
    <row r="54" spans="1:27" ht="17.5" customHeight="1" x14ac:dyDescent="0.35">
      <c r="A54" s="1" t="s">
        <v>135</v>
      </c>
      <c r="B54" s="2">
        <v>45384</v>
      </c>
      <c r="C54" s="1" t="s">
        <v>136</v>
      </c>
      <c r="D54" s="1">
        <v>20</v>
      </c>
      <c r="E54" s="1" t="s">
        <v>35</v>
      </c>
      <c r="F54" s="1" t="s">
        <v>57</v>
      </c>
      <c r="G54" s="1" t="s">
        <v>46</v>
      </c>
      <c r="H54" s="1" t="s">
        <v>36</v>
      </c>
      <c r="I54" s="1">
        <v>741.59</v>
      </c>
      <c r="J54" s="1">
        <v>2451</v>
      </c>
      <c r="K54" s="1">
        <v>3558</v>
      </c>
      <c r="L54" s="1">
        <v>296</v>
      </c>
      <c r="M54" s="1">
        <v>3</v>
      </c>
      <c r="N54" s="1">
        <v>145.1652387</v>
      </c>
      <c r="O54" s="1">
        <v>8.3192804949999992</v>
      </c>
      <c r="P54" s="1">
        <f t="shared" si="0"/>
        <v>3</v>
      </c>
      <c r="U54" s="1">
        <f>COUNTIF(N50:N1000, N54&gt;100)</f>
        <v>0</v>
      </c>
      <c r="V54" t="str">
        <f t="shared" si="1"/>
        <v>Top Performer</v>
      </c>
      <c r="W54" t="e" cm="1">
        <f t="array" aca="1" ref="W54" ca="1">_xlfn.IFS(N54&gt;=20, "High",N54&gt;=10, "Medium", N54&lt;10, "Low")</f>
        <v>#NAME?</v>
      </c>
      <c r="X54" t="str">
        <f t="shared" si="2"/>
        <v>Medium Budget</v>
      </c>
      <c r="Y54" s="7">
        <f>VLOOKUP(G54, Lookup_table!B:C,2,0)</f>
        <v>0.75</v>
      </c>
      <c r="Z54" t="str">
        <f t="shared" si="3"/>
        <v>Efficient Spend</v>
      </c>
      <c r="AA54" t="str">
        <f>VLOOKUP(H54, Lookup_table!E:F,2,0)</f>
        <v>High</v>
      </c>
    </row>
    <row r="55" spans="1:27" ht="17.5" customHeight="1" x14ac:dyDescent="0.35">
      <c r="A55" s="1" t="s">
        <v>137</v>
      </c>
      <c r="B55" s="2">
        <v>45539</v>
      </c>
      <c r="C55" s="1" t="s">
        <v>138</v>
      </c>
      <c r="D55" s="1">
        <v>36</v>
      </c>
      <c r="E55" s="1" t="s">
        <v>35</v>
      </c>
      <c r="F55" s="1" t="s">
        <v>45</v>
      </c>
      <c r="G55" s="1" t="s">
        <v>31</v>
      </c>
      <c r="H55" s="1" t="s">
        <v>36</v>
      </c>
      <c r="I55" s="1">
        <v>1892.73</v>
      </c>
      <c r="J55" s="1">
        <v>21272</v>
      </c>
      <c r="K55" s="1">
        <v>1201</v>
      </c>
      <c r="L55" s="1">
        <v>365</v>
      </c>
      <c r="M55" s="1">
        <v>4</v>
      </c>
      <c r="N55" s="1">
        <v>5.6459195190000004</v>
      </c>
      <c r="O55" s="1">
        <v>30.391340549999999</v>
      </c>
      <c r="P55" s="1">
        <f t="shared" si="0"/>
        <v>4</v>
      </c>
      <c r="V55" t="str">
        <f t="shared" si="1"/>
        <v>Average Performer</v>
      </c>
      <c r="W55" t="e" cm="1">
        <f t="array" aca="1" ref="W55" ca="1">_xlfn.IFS(N55&gt;=20, "High",N55&gt;=10, "Medium", N55&lt;10, "Low")</f>
        <v>#NAME?</v>
      </c>
      <c r="X55" t="str">
        <f t="shared" si="2"/>
        <v>High Budget</v>
      </c>
      <c r="Y55" s="7">
        <f>VLOOKUP(G55, Lookup_table!B:C,2,0)</f>
        <v>1.2</v>
      </c>
      <c r="Z55" t="str">
        <f t="shared" si="3"/>
        <v>Inefficient Spend</v>
      </c>
      <c r="AA55" t="str">
        <f>VLOOKUP(H55, Lookup_table!E:F,2,0)</f>
        <v>High</v>
      </c>
    </row>
    <row r="56" spans="1:27" ht="17.5" customHeight="1" x14ac:dyDescent="0.35">
      <c r="A56" s="1" t="s">
        <v>139</v>
      </c>
      <c r="B56" s="2">
        <v>45516</v>
      </c>
      <c r="C56" s="1" t="s">
        <v>140</v>
      </c>
      <c r="D56" s="1">
        <v>61</v>
      </c>
      <c r="E56" s="1" t="s">
        <v>23</v>
      </c>
      <c r="F56" s="1" t="s">
        <v>57</v>
      </c>
      <c r="G56" s="1" t="s">
        <v>46</v>
      </c>
      <c r="H56" s="1" t="s">
        <v>36</v>
      </c>
      <c r="I56" s="1">
        <v>1379.45</v>
      </c>
      <c r="J56" s="1">
        <v>724</v>
      </c>
      <c r="K56" s="1">
        <v>229</v>
      </c>
      <c r="L56" s="1">
        <v>157</v>
      </c>
      <c r="N56" s="1">
        <v>31.629834249999998</v>
      </c>
      <c r="O56" s="1">
        <v>68.558951969999995</v>
      </c>
      <c r="P56" s="1">
        <f t="shared" si="0"/>
        <v>3</v>
      </c>
      <c r="V56" t="str">
        <f t="shared" si="1"/>
        <v>Low Performer</v>
      </c>
      <c r="W56" t="e" cm="1">
        <f t="array" aca="1" ref="W56" ca="1">_xlfn.IFS(N56&gt;=20, "High",N56&gt;=10, "Medium", N56&lt;10, "Low")</f>
        <v>#NAME?</v>
      </c>
      <c r="X56" t="str">
        <f t="shared" si="2"/>
        <v>High Budget</v>
      </c>
      <c r="Y56" s="7">
        <f>VLOOKUP(G56, Lookup_table!B:C,2,0)</f>
        <v>0.75</v>
      </c>
      <c r="Z56" t="str">
        <f t="shared" si="3"/>
        <v>Inefficient Spend</v>
      </c>
      <c r="AA56" t="str">
        <f>VLOOKUP(H56, Lookup_table!E:F,2,0)</f>
        <v>High</v>
      </c>
    </row>
    <row r="57" spans="1:27" ht="17.5" customHeight="1" x14ac:dyDescent="0.35">
      <c r="A57" s="1" t="s">
        <v>141</v>
      </c>
      <c r="B57" s="2">
        <v>45441</v>
      </c>
      <c r="C57" s="1" t="s">
        <v>142</v>
      </c>
      <c r="D57" s="1">
        <v>55</v>
      </c>
      <c r="E57" s="1" t="s">
        <v>23</v>
      </c>
      <c r="F57" s="1" t="s">
        <v>30</v>
      </c>
      <c r="G57" s="1" t="s">
        <v>61</v>
      </c>
      <c r="H57" s="1" t="s">
        <v>26</v>
      </c>
      <c r="I57" s="1">
        <v>355.66</v>
      </c>
      <c r="J57" s="1">
        <v>1683</v>
      </c>
      <c r="K57" s="1">
        <v>547</v>
      </c>
      <c r="L57" s="1">
        <v>299</v>
      </c>
      <c r="M57" s="1">
        <v>1</v>
      </c>
      <c r="N57" s="1">
        <v>32.501485440000003</v>
      </c>
      <c r="O57" s="1">
        <v>54.66179159</v>
      </c>
      <c r="P57" s="1">
        <f t="shared" si="0"/>
        <v>1</v>
      </c>
      <c r="V57" t="str">
        <f t="shared" si="1"/>
        <v>Low Performer</v>
      </c>
      <c r="W57" t="e" cm="1">
        <f t="array" aca="1" ref="W57" ca="1">_xlfn.IFS(N57&gt;=20, "High",N57&gt;=10, "Medium", N57&lt;10, "Low")</f>
        <v>#NAME?</v>
      </c>
      <c r="X57" t="str">
        <f t="shared" si="2"/>
        <v>Low Budget</v>
      </c>
      <c r="Y57" s="7">
        <f>VLOOKUP(G57, Lookup_table!B:C,2,0)</f>
        <v>0.2</v>
      </c>
      <c r="Z57" t="str">
        <f t="shared" si="3"/>
        <v>Inefficient Spend</v>
      </c>
      <c r="AA57" t="str">
        <f>VLOOKUP(H57, Lookup_table!E:F,2,0)</f>
        <v>High</v>
      </c>
    </row>
    <row r="58" spans="1:27" ht="17.5" customHeight="1" x14ac:dyDescent="0.35">
      <c r="A58" s="1" t="s">
        <v>143</v>
      </c>
      <c r="B58" s="2">
        <v>45648</v>
      </c>
      <c r="C58" s="1" t="s">
        <v>144</v>
      </c>
      <c r="D58" s="1">
        <v>35</v>
      </c>
      <c r="E58" s="1" t="s">
        <v>29</v>
      </c>
      <c r="F58" s="1" t="s">
        <v>41</v>
      </c>
      <c r="G58" s="1" t="s">
        <v>46</v>
      </c>
      <c r="H58" s="1" t="s">
        <v>36</v>
      </c>
      <c r="I58" s="1">
        <v>1233.05</v>
      </c>
      <c r="J58" s="1">
        <v>43478</v>
      </c>
      <c r="K58" s="1">
        <v>1045</v>
      </c>
      <c r="L58" s="1">
        <v>301</v>
      </c>
      <c r="M58" s="1">
        <v>2</v>
      </c>
      <c r="N58" s="1">
        <v>2.4035144210000001</v>
      </c>
      <c r="O58" s="1">
        <v>28.80382775</v>
      </c>
      <c r="P58" s="1">
        <f t="shared" si="0"/>
        <v>2</v>
      </c>
      <c r="V58" t="str">
        <f t="shared" si="1"/>
        <v>Average Performer</v>
      </c>
      <c r="W58" t="e" cm="1">
        <f t="array" aca="1" ref="W58" ca="1">_xlfn.IFS(N58&gt;=20, "High",N58&gt;=10, "Medium", N58&lt;10, "Low")</f>
        <v>#NAME?</v>
      </c>
      <c r="X58" t="str">
        <f t="shared" si="2"/>
        <v>High Budget</v>
      </c>
      <c r="Y58" s="7">
        <f>VLOOKUP(G58, Lookup_table!B:C,2,0)</f>
        <v>0.75</v>
      </c>
      <c r="Z58" t="str">
        <f t="shared" si="3"/>
        <v>Inefficient Spend</v>
      </c>
      <c r="AA58" t="str">
        <f>VLOOKUP(H58, Lookup_table!E:F,2,0)</f>
        <v>High</v>
      </c>
    </row>
    <row r="59" spans="1:27" ht="17.5" customHeight="1" x14ac:dyDescent="0.35">
      <c r="A59" s="1" t="s">
        <v>145</v>
      </c>
      <c r="B59" s="2">
        <v>45359</v>
      </c>
      <c r="C59" s="1" t="s">
        <v>138</v>
      </c>
      <c r="D59" s="1">
        <v>35</v>
      </c>
      <c r="E59" s="1" t="s">
        <v>35</v>
      </c>
      <c r="F59" s="1" t="s">
        <v>50</v>
      </c>
      <c r="G59" s="1" t="s">
        <v>61</v>
      </c>
      <c r="H59" s="1" t="s">
        <v>62</v>
      </c>
      <c r="I59" s="1">
        <v>1720.54</v>
      </c>
      <c r="J59" s="1">
        <v>15509</v>
      </c>
      <c r="K59" s="1">
        <v>1482</v>
      </c>
      <c r="L59" s="1">
        <v>356</v>
      </c>
      <c r="M59" s="1">
        <v>3</v>
      </c>
      <c r="N59" s="1">
        <v>9.5557418270000003</v>
      </c>
      <c r="O59" s="1">
        <v>24.021592439999999</v>
      </c>
      <c r="P59" s="1">
        <f t="shared" si="0"/>
        <v>3</v>
      </c>
      <c r="V59" t="str">
        <f t="shared" si="1"/>
        <v>Average Performer</v>
      </c>
      <c r="W59" t="e" cm="1">
        <f t="array" aca="1" ref="W59" ca="1">_xlfn.IFS(N59&gt;=20, "High",N59&gt;=10, "Medium", N59&lt;10, "Low")</f>
        <v>#NAME?</v>
      </c>
      <c r="X59" t="str">
        <f t="shared" si="2"/>
        <v>High Budget</v>
      </c>
      <c r="Y59" s="7">
        <f>VLOOKUP(G59, Lookup_table!B:C,2,0)</f>
        <v>0.2</v>
      </c>
      <c r="Z59" t="str">
        <f t="shared" si="3"/>
        <v>Inefficient Spend</v>
      </c>
      <c r="AA59" t="str">
        <f>VLOOKUP(H59, Lookup_table!E:F,2,0)</f>
        <v>Medium</v>
      </c>
    </row>
    <row r="60" spans="1:27" ht="17.5" customHeight="1" x14ac:dyDescent="0.35">
      <c r="A60" s="1" t="s">
        <v>146</v>
      </c>
      <c r="B60" s="2">
        <v>45511</v>
      </c>
      <c r="C60" s="1" t="s">
        <v>147</v>
      </c>
      <c r="D60" s="1">
        <v>22</v>
      </c>
      <c r="E60" s="1" t="s">
        <v>35</v>
      </c>
      <c r="F60" s="1" t="s">
        <v>24</v>
      </c>
      <c r="G60" s="1" t="s">
        <v>46</v>
      </c>
      <c r="H60" s="1" t="s">
        <v>36</v>
      </c>
      <c r="I60" s="1">
        <v>1566.16</v>
      </c>
      <c r="J60" s="1">
        <v>28529</v>
      </c>
      <c r="K60" s="1">
        <v>839</v>
      </c>
      <c r="L60" s="1">
        <v>361</v>
      </c>
      <c r="M60" s="1">
        <v>1</v>
      </c>
      <c r="N60" s="1">
        <v>2.9408671879999999</v>
      </c>
      <c r="O60" s="1">
        <v>43.027413590000002</v>
      </c>
      <c r="P60" s="1">
        <f t="shared" si="0"/>
        <v>1</v>
      </c>
      <c r="V60" t="str">
        <f t="shared" si="1"/>
        <v>Low Performer</v>
      </c>
      <c r="W60" t="e" cm="1">
        <f t="array" aca="1" ref="W60" ca="1">_xlfn.IFS(N60&gt;=20, "High",N60&gt;=10, "Medium", N60&lt;10, "Low")</f>
        <v>#NAME?</v>
      </c>
      <c r="X60" t="str">
        <f t="shared" si="2"/>
        <v>High Budget</v>
      </c>
      <c r="Y60" s="7">
        <f>VLOOKUP(G60, Lookup_table!B:C,2,0)</f>
        <v>0.75</v>
      </c>
      <c r="Z60" t="str">
        <f t="shared" si="3"/>
        <v>Inefficient Spend</v>
      </c>
      <c r="AA60" t="str">
        <f>VLOOKUP(H60, Lookup_table!E:F,2,0)</f>
        <v>High</v>
      </c>
    </row>
    <row r="61" spans="1:27" ht="17.5" customHeight="1" x14ac:dyDescent="0.35">
      <c r="A61" s="1" t="s">
        <v>148</v>
      </c>
      <c r="B61" s="2">
        <v>45311</v>
      </c>
      <c r="C61" s="1" t="s">
        <v>83</v>
      </c>
      <c r="D61" s="1">
        <v>43</v>
      </c>
      <c r="E61" s="1" t="s">
        <v>23</v>
      </c>
      <c r="F61" s="1" t="s">
        <v>45</v>
      </c>
      <c r="G61" s="1" t="s">
        <v>42</v>
      </c>
      <c r="H61" s="1" t="s">
        <v>36</v>
      </c>
      <c r="I61" s="1">
        <v>1018.6</v>
      </c>
      <c r="J61" s="1">
        <v>2989</v>
      </c>
      <c r="K61" s="1">
        <v>713</v>
      </c>
      <c r="L61" s="1">
        <v>105</v>
      </c>
      <c r="M61" s="1">
        <v>5</v>
      </c>
      <c r="N61" s="1">
        <v>23.854131819999999</v>
      </c>
      <c r="O61" s="1">
        <v>14.72650771</v>
      </c>
      <c r="P61" s="1">
        <f t="shared" si="0"/>
        <v>5</v>
      </c>
      <c r="V61" t="str">
        <f t="shared" si="1"/>
        <v>Low Performer</v>
      </c>
      <c r="W61" t="e" cm="1">
        <f t="array" aca="1" ref="W61" ca="1">_xlfn.IFS(N61&gt;=20, "High",N61&gt;=10, "Medium", N61&lt;10, "Low")</f>
        <v>#NAME?</v>
      </c>
      <c r="X61" t="str">
        <f t="shared" si="2"/>
        <v>High Budget</v>
      </c>
      <c r="Y61" s="7">
        <f>VLOOKUP(G61, Lookup_table!B:C,2,0)</f>
        <v>0.3</v>
      </c>
      <c r="Z61" t="str">
        <f t="shared" si="3"/>
        <v>Inefficient Spend</v>
      </c>
      <c r="AA61" t="str">
        <f>VLOOKUP(H61, Lookup_table!E:F,2,0)</f>
        <v>High</v>
      </c>
    </row>
    <row r="62" spans="1:27" ht="17.5" customHeight="1" x14ac:dyDescent="0.35">
      <c r="A62" s="1" t="s">
        <v>149</v>
      </c>
      <c r="B62" s="2">
        <v>45296</v>
      </c>
      <c r="C62" s="1" t="s">
        <v>150</v>
      </c>
      <c r="D62" s="1">
        <v>47</v>
      </c>
      <c r="E62" s="1" t="s">
        <v>29</v>
      </c>
      <c r="F62" s="1" t="s">
        <v>30</v>
      </c>
      <c r="G62" s="1" t="s">
        <v>61</v>
      </c>
      <c r="H62" s="1" t="s">
        <v>26</v>
      </c>
      <c r="I62" s="1">
        <v>1383.45</v>
      </c>
      <c r="J62" s="1">
        <v>38648</v>
      </c>
      <c r="K62" s="1">
        <v>2706</v>
      </c>
      <c r="L62" s="1">
        <v>393</v>
      </c>
      <c r="M62" s="1">
        <v>2</v>
      </c>
      <c r="N62" s="1">
        <v>7.001655972</v>
      </c>
      <c r="O62" s="1">
        <v>14.523281600000001</v>
      </c>
      <c r="P62" s="1">
        <f t="shared" si="0"/>
        <v>2</v>
      </c>
      <c r="V62" t="str">
        <f t="shared" si="1"/>
        <v>Average Performer</v>
      </c>
      <c r="W62" t="e" cm="1">
        <f t="array" aca="1" ref="W62" ca="1">_xlfn.IFS(N62&gt;=20, "High",N62&gt;=10, "Medium", N62&lt;10, "Low")</f>
        <v>#NAME?</v>
      </c>
      <c r="X62" t="str">
        <f t="shared" si="2"/>
        <v>High Budget</v>
      </c>
      <c r="Y62" s="7">
        <f>VLOOKUP(G62, Lookup_table!B:C,2,0)</f>
        <v>0.2</v>
      </c>
      <c r="Z62" t="str">
        <f t="shared" si="3"/>
        <v>Inefficient Spend</v>
      </c>
      <c r="AA62" t="str">
        <f>VLOOKUP(H62, Lookup_table!E:F,2,0)</f>
        <v>High</v>
      </c>
    </row>
    <row r="63" spans="1:27" ht="17.5" customHeight="1" x14ac:dyDescent="0.35">
      <c r="A63" s="1" t="s">
        <v>151</v>
      </c>
      <c r="B63" s="2">
        <v>45567</v>
      </c>
      <c r="C63" s="1" t="s">
        <v>152</v>
      </c>
      <c r="D63" s="1">
        <v>29</v>
      </c>
      <c r="E63" s="1" t="s">
        <v>23</v>
      </c>
      <c r="F63" s="1" t="s">
        <v>57</v>
      </c>
      <c r="G63" s="1" t="s">
        <v>25</v>
      </c>
      <c r="H63" s="1" t="s">
        <v>26</v>
      </c>
      <c r="I63" s="1">
        <v>1772.21</v>
      </c>
      <c r="J63" s="1">
        <v>38917</v>
      </c>
      <c r="K63" s="1">
        <v>4997</v>
      </c>
      <c r="L63" s="1">
        <v>57</v>
      </c>
      <c r="M63" s="1">
        <v>1</v>
      </c>
      <c r="N63" s="1">
        <v>12.84014698</v>
      </c>
      <c r="O63" s="1">
        <v>1.1406844110000001</v>
      </c>
      <c r="P63" s="1">
        <f t="shared" si="0"/>
        <v>1</v>
      </c>
      <c r="V63" t="str">
        <f t="shared" si="1"/>
        <v>Low Performer</v>
      </c>
      <c r="W63" t="e" cm="1">
        <f t="array" aca="1" ref="W63" ca="1">_xlfn.IFS(N63&gt;=20, "High",N63&gt;=10, "Medium", N63&lt;10, "Low")</f>
        <v>#NAME?</v>
      </c>
      <c r="X63" t="str">
        <f t="shared" si="2"/>
        <v>High Budget</v>
      </c>
      <c r="Y63" s="7">
        <f>VLOOKUP(G63, Lookup_table!B:C,2,0)</f>
        <v>0.5</v>
      </c>
      <c r="Z63" t="str">
        <f t="shared" si="3"/>
        <v>Efficient Spend</v>
      </c>
      <c r="AA63" t="str">
        <f>VLOOKUP(H63, Lookup_table!E:F,2,0)</f>
        <v>High</v>
      </c>
    </row>
    <row r="64" spans="1:27" ht="17.5" customHeight="1" x14ac:dyDescent="0.35">
      <c r="A64" s="1" t="s">
        <v>153</v>
      </c>
      <c r="B64" s="2">
        <v>45325</v>
      </c>
      <c r="C64" s="1" t="s">
        <v>136</v>
      </c>
      <c r="D64" s="1">
        <v>55</v>
      </c>
      <c r="E64" s="1" t="s">
        <v>35</v>
      </c>
      <c r="F64" s="1" t="s">
        <v>30</v>
      </c>
      <c r="G64" s="1" t="s">
        <v>61</v>
      </c>
      <c r="H64" s="1" t="s">
        <v>32</v>
      </c>
      <c r="I64" s="1">
        <v>1493.49</v>
      </c>
      <c r="J64" s="1">
        <v>624</v>
      </c>
      <c r="K64" s="1">
        <v>2762</v>
      </c>
      <c r="L64" s="1">
        <v>119</v>
      </c>
      <c r="M64" s="1">
        <v>4</v>
      </c>
      <c r="N64" s="1">
        <v>442.6282051</v>
      </c>
      <c r="O64" s="1">
        <v>4.3084721220000004</v>
      </c>
      <c r="P64" s="1">
        <f t="shared" si="0"/>
        <v>4</v>
      </c>
      <c r="U64" s="1">
        <f>COUNTIF(N60:N1000, N64&gt;100)</f>
        <v>0</v>
      </c>
      <c r="V64" t="str">
        <f t="shared" si="1"/>
        <v>Average Performer</v>
      </c>
      <c r="W64" t="e" cm="1">
        <f t="array" aca="1" ref="W64" ca="1">_xlfn.IFS(N64&gt;=20, "High",N64&gt;=10, "Medium", N64&lt;10, "Low")</f>
        <v>#NAME?</v>
      </c>
      <c r="X64" t="str">
        <f t="shared" si="2"/>
        <v>High Budget</v>
      </c>
      <c r="Y64" s="7">
        <f>VLOOKUP(G64, Lookup_table!B:C,2,0)</f>
        <v>0.2</v>
      </c>
      <c r="Z64" t="str">
        <f t="shared" si="3"/>
        <v>Inefficient Spend</v>
      </c>
      <c r="AA64" t="str">
        <f>VLOOKUP(H64, Lookup_table!E:F,2,0)</f>
        <v>Medium</v>
      </c>
    </row>
    <row r="65" spans="1:27" ht="17.5" customHeight="1" x14ac:dyDescent="0.35">
      <c r="A65" s="1" t="s">
        <v>154</v>
      </c>
      <c r="B65" s="2">
        <v>45415</v>
      </c>
      <c r="C65" s="1" t="s">
        <v>155</v>
      </c>
      <c r="D65" s="1">
        <v>49</v>
      </c>
      <c r="E65" s="1" t="s">
        <v>29</v>
      </c>
      <c r="F65" s="1" t="s">
        <v>45</v>
      </c>
      <c r="G65" s="1" t="s">
        <v>46</v>
      </c>
      <c r="H65" s="1" t="s">
        <v>32</v>
      </c>
      <c r="I65" s="1">
        <v>1154.26</v>
      </c>
      <c r="J65" s="1">
        <v>1058</v>
      </c>
      <c r="K65" s="1">
        <v>2216</v>
      </c>
      <c r="L65" s="1">
        <v>260</v>
      </c>
      <c r="N65" s="1">
        <v>209.45179580000001</v>
      </c>
      <c r="O65" s="1">
        <v>11.73285199</v>
      </c>
      <c r="P65" s="1">
        <f t="shared" si="0"/>
        <v>3</v>
      </c>
      <c r="U65" s="1">
        <f>COUNTIF(N61:N1001, N65&gt;100)</f>
        <v>0</v>
      </c>
      <c r="V65" t="str">
        <f t="shared" si="1"/>
        <v>Average Performer</v>
      </c>
      <c r="W65" t="e" cm="1">
        <f t="array" aca="1" ref="W65" ca="1">_xlfn.IFS(N65&gt;=20, "High",N65&gt;=10, "Medium", N65&lt;10, "Low")</f>
        <v>#NAME?</v>
      </c>
      <c r="X65" t="str">
        <f t="shared" si="2"/>
        <v>High Budget</v>
      </c>
      <c r="Y65" s="7">
        <f>VLOOKUP(G65, Lookup_table!B:C,2,0)</f>
        <v>0.75</v>
      </c>
      <c r="Z65" t="str">
        <f t="shared" si="3"/>
        <v>Efficient Spend</v>
      </c>
      <c r="AA65" t="str">
        <f>VLOOKUP(H65, Lookup_table!E:F,2,0)</f>
        <v>Medium</v>
      </c>
    </row>
    <row r="66" spans="1:27" ht="17.5" customHeight="1" x14ac:dyDescent="0.35">
      <c r="A66" s="1" t="s">
        <v>156</v>
      </c>
      <c r="B66" s="2">
        <v>45578</v>
      </c>
      <c r="C66" s="1" t="s">
        <v>157</v>
      </c>
      <c r="D66" s="1">
        <v>21</v>
      </c>
      <c r="E66" s="1" t="s">
        <v>35</v>
      </c>
      <c r="F66" s="1" t="s">
        <v>50</v>
      </c>
      <c r="G66" s="1" t="s">
        <v>25</v>
      </c>
      <c r="H66" s="1" t="s">
        <v>62</v>
      </c>
      <c r="I66" s="1">
        <v>1956.26</v>
      </c>
      <c r="J66" s="1">
        <v>37867</v>
      </c>
      <c r="K66" s="1">
        <v>3402</v>
      </c>
      <c r="L66" s="1">
        <v>382</v>
      </c>
      <c r="M66" s="1">
        <v>5</v>
      </c>
      <c r="N66" s="1">
        <v>8.9840758439999995</v>
      </c>
      <c r="O66" s="1">
        <v>11.22868901</v>
      </c>
      <c r="P66" s="1">
        <f t="shared" si="0"/>
        <v>5</v>
      </c>
      <c r="V66" t="str">
        <f t="shared" ref="V66:V129" si="5">IF(AND(L66&gt;200,K66&gt;3000),"Top Performer", IF(AND(L66&gt;=100,K66&gt;=1000),"Average Performer","Low Performer"))</f>
        <v>Top Performer</v>
      </c>
      <c r="W66" t="e" cm="1">
        <f t="array" aca="1" ref="W66" ca="1">_xlfn.IFS(N66&gt;=20, "High",N66&gt;=10, "Medium", N66&lt;10, "Low")</f>
        <v>#NAME?</v>
      </c>
      <c r="X66" t="str">
        <f t="shared" ref="X66:X129" si="6">IF(I66&gt;1000, "High Budget",IF(I66&gt;=500, "Medium Budget", "Low Budget"))</f>
        <v>High Budget</v>
      </c>
      <c r="Y66" s="7">
        <f>VLOOKUP(G66, Lookup_table!B:C,2,0)</f>
        <v>0.5</v>
      </c>
      <c r="Z66" t="str">
        <f t="shared" ref="Z66:Z129" si="7">IF(I66/K66&lt;Y66, "Efficient Spend", "Inefficient Spend")</f>
        <v>Inefficient Spend</v>
      </c>
      <c r="AA66" t="str">
        <f>VLOOKUP(H66, Lookup_table!E:F,2,0)</f>
        <v>Medium</v>
      </c>
    </row>
    <row r="67" spans="1:27" ht="17.5" customHeight="1" x14ac:dyDescent="0.35">
      <c r="A67" s="1" t="s">
        <v>158</v>
      </c>
      <c r="B67" s="2">
        <v>45477</v>
      </c>
      <c r="C67" s="1" t="s">
        <v>64</v>
      </c>
      <c r="D67" s="1">
        <v>48</v>
      </c>
      <c r="E67" s="1" t="s">
        <v>23</v>
      </c>
      <c r="F67" s="1" t="s">
        <v>30</v>
      </c>
      <c r="G67" s="1" t="s">
        <v>42</v>
      </c>
      <c r="H67" s="1" t="s">
        <v>26</v>
      </c>
      <c r="I67" s="1">
        <v>168.77</v>
      </c>
      <c r="J67" s="1">
        <v>27081</v>
      </c>
      <c r="K67" s="1">
        <v>2077</v>
      </c>
      <c r="L67" s="1">
        <v>32</v>
      </c>
      <c r="N67" s="1">
        <v>7.6695838409999997</v>
      </c>
      <c r="O67" s="1">
        <v>1.5406836779999999</v>
      </c>
      <c r="P67" s="1">
        <f t="shared" si="0"/>
        <v>3</v>
      </c>
      <c r="V67" t="str">
        <f t="shared" si="5"/>
        <v>Low Performer</v>
      </c>
      <c r="W67" t="e" cm="1">
        <f t="array" aca="1" ref="W67" ca="1">_xlfn.IFS(N67&gt;=20, "High",N67&gt;=10, "Medium", N67&lt;10, "Low")</f>
        <v>#NAME?</v>
      </c>
      <c r="X67" t="str">
        <f t="shared" si="6"/>
        <v>Low Budget</v>
      </c>
      <c r="Y67" s="7">
        <f>VLOOKUP(G67, Lookup_table!B:C,2,0)</f>
        <v>0.3</v>
      </c>
      <c r="Z67" t="str">
        <f t="shared" si="7"/>
        <v>Efficient Spend</v>
      </c>
      <c r="AA67" t="str">
        <f>VLOOKUP(H67, Lookup_table!E:F,2,0)</f>
        <v>High</v>
      </c>
    </row>
    <row r="68" spans="1:27" ht="17.5" customHeight="1" x14ac:dyDescent="0.35">
      <c r="A68" s="1" t="s">
        <v>159</v>
      </c>
      <c r="B68" s="2">
        <v>45521</v>
      </c>
      <c r="C68" s="1" t="s">
        <v>160</v>
      </c>
      <c r="D68" s="1">
        <v>31</v>
      </c>
      <c r="E68" s="1" t="s">
        <v>23</v>
      </c>
      <c r="F68" s="1" t="s">
        <v>41</v>
      </c>
      <c r="G68" s="1" t="s">
        <v>42</v>
      </c>
      <c r="H68" s="1" t="s">
        <v>62</v>
      </c>
      <c r="I68" s="1">
        <v>661.87</v>
      </c>
      <c r="J68" s="1">
        <v>11233</v>
      </c>
      <c r="K68" s="1">
        <v>824</v>
      </c>
      <c r="L68" s="1">
        <v>10</v>
      </c>
      <c r="M68" s="1">
        <v>2</v>
      </c>
      <c r="N68" s="1">
        <v>7.3355292439999999</v>
      </c>
      <c r="O68" s="1">
        <v>1.213592233</v>
      </c>
      <c r="P68" s="1">
        <f t="shared" si="0"/>
        <v>2</v>
      </c>
      <c r="V68" t="str">
        <f t="shared" si="5"/>
        <v>Low Performer</v>
      </c>
      <c r="W68" t="e" cm="1">
        <f t="array" aca="1" ref="W68" ca="1">_xlfn.IFS(N68&gt;=20, "High",N68&gt;=10, "Medium", N68&lt;10, "Low")</f>
        <v>#NAME?</v>
      </c>
      <c r="X68" t="str">
        <f t="shared" si="6"/>
        <v>Medium Budget</v>
      </c>
      <c r="Y68" s="7">
        <f>VLOOKUP(G68, Lookup_table!B:C,2,0)</f>
        <v>0.3</v>
      </c>
      <c r="Z68" t="str">
        <f t="shared" si="7"/>
        <v>Inefficient Spend</v>
      </c>
      <c r="AA68" t="str">
        <f>VLOOKUP(H68, Lookup_table!E:F,2,0)</f>
        <v>Medium</v>
      </c>
    </row>
    <row r="69" spans="1:27" ht="17.5" customHeight="1" x14ac:dyDescent="0.35">
      <c r="A69" s="1" t="s">
        <v>161</v>
      </c>
      <c r="B69" s="2">
        <v>45621</v>
      </c>
      <c r="C69" s="1" t="s">
        <v>162</v>
      </c>
      <c r="D69" s="1">
        <v>23</v>
      </c>
      <c r="E69" s="1" t="s">
        <v>35</v>
      </c>
      <c r="F69" s="1" t="s">
        <v>57</v>
      </c>
      <c r="G69" s="1" t="s">
        <v>25</v>
      </c>
      <c r="H69" s="1" t="s">
        <v>62</v>
      </c>
      <c r="I69" s="1">
        <v>1911.99</v>
      </c>
      <c r="J69" s="1">
        <v>25029</v>
      </c>
      <c r="K69" s="1">
        <v>4641</v>
      </c>
      <c r="L69" s="1">
        <v>169</v>
      </c>
      <c r="M69" s="1">
        <v>3</v>
      </c>
      <c r="N69" s="1">
        <v>18.542490709999999</v>
      </c>
      <c r="O69" s="1">
        <v>3.6414565830000001</v>
      </c>
      <c r="P69" s="1">
        <f t="shared" si="0"/>
        <v>3</v>
      </c>
      <c r="V69" t="str">
        <f t="shared" si="5"/>
        <v>Average Performer</v>
      </c>
      <c r="W69" t="e" cm="1">
        <f t="array" aca="1" ref="W69" ca="1">_xlfn.IFS(N69&gt;=20, "High",N69&gt;=10, "Medium", N69&lt;10, "Low")</f>
        <v>#NAME?</v>
      </c>
      <c r="X69" t="str">
        <f t="shared" si="6"/>
        <v>High Budget</v>
      </c>
      <c r="Y69" s="7">
        <f>VLOOKUP(G69, Lookup_table!B:C,2,0)</f>
        <v>0.5</v>
      </c>
      <c r="Z69" t="str">
        <f t="shared" si="7"/>
        <v>Efficient Spend</v>
      </c>
      <c r="AA69" t="str">
        <f>VLOOKUP(H69, Lookup_table!E:F,2,0)</f>
        <v>Medium</v>
      </c>
    </row>
    <row r="70" spans="1:27" ht="17.5" customHeight="1" x14ac:dyDescent="0.35">
      <c r="A70" s="1" t="s">
        <v>163</v>
      </c>
      <c r="B70" s="2">
        <v>45422</v>
      </c>
      <c r="C70" s="1" t="s">
        <v>81</v>
      </c>
      <c r="D70" s="1">
        <v>57</v>
      </c>
      <c r="E70" s="1" t="s">
        <v>23</v>
      </c>
      <c r="F70" s="1" t="s">
        <v>24</v>
      </c>
      <c r="G70" s="1" t="s">
        <v>46</v>
      </c>
      <c r="H70" s="1" t="s">
        <v>36</v>
      </c>
      <c r="I70" s="1">
        <v>110.41</v>
      </c>
      <c r="J70" s="1">
        <v>5090</v>
      </c>
      <c r="K70" s="1">
        <v>3051</v>
      </c>
      <c r="L70" s="1">
        <v>27</v>
      </c>
      <c r="M70" s="1">
        <v>5</v>
      </c>
      <c r="N70" s="1">
        <v>59.941060899999997</v>
      </c>
      <c r="O70" s="1">
        <v>0.88495575199999998</v>
      </c>
      <c r="P70" s="1">
        <f t="shared" si="0"/>
        <v>5</v>
      </c>
      <c r="V70" t="str">
        <f t="shared" si="5"/>
        <v>Low Performer</v>
      </c>
      <c r="W70" t="e" cm="1">
        <f t="array" aca="1" ref="W70" ca="1">_xlfn.IFS(N70&gt;=20, "High",N70&gt;=10, "Medium", N70&lt;10, "Low")</f>
        <v>#NAME?</v>
      </c>
      <c r="X70" t="str">
        <f t="shared" si="6"/>
        <v>Low Budget</v>
      </c>
      <c r="Y70" s="7">
        <f>VLOOKUP(G70, Lookup_table!B:C,2,0)</f>
        <v>0.75</v>
      </c>
      <c r="Z70" t="str">
        <f t="shared" si="7"/>
        <v>Efficient Spend</v>
      </c>
      <c r="AA70" t="str">
        <f>VLOOKUP(H70, Lookup_table!E:F,2,0)</f>
        <v>High</v>
      </c>
    </row>
    <row r="71" spans="1:27" ht="17.5" customHeight="1" x14ac:dyDescent="0.35">
      <c r="A71" s="1" t="s">
        <v>164</v>
      </c>
      <c r="B71" s="2">
        <v>45375</v>
      </c>
      <c r="C71" s="1" t="s">
        <v>160</v>
      </c>
      <c r="D71" s="1">
        <v>18</v>
      </c>
      <c r="E71" s="1" t="s">
        <v>29</v>
      </c>
      <c r="F71" s="1" t="s">
        <v>24</v>
      </c>
      <c r="G71" s="1" t="s">
        <v>31</v>
      </c>
      <c r="H71" s="1" t="s">
        <v>36</v>
      </c>
      <c r="I71" s="1">
        <v>1409.27</v>
      </c>
      <c r="J71" s="1">
        <v>37239</v>
      </c>
      <c r="K71" s="1">
        <v>2554</v>
      </c>
      <c r="L71" s="1">
        <v>347</v>
      </c>
      <c r="N71" s="1">
        <v>6.8584011389999997</v>
      </c>
      <c r="O71" s="1">
        <v>13.58653093</v>
      </c>
      <c r="P71" s="1">
        <f t="shared" si="0"/>
        <v>3</v>
      </c>
      <c r="V71" t="str">
        <f t="shared" si="5"/>
        <v>Average Performer</v>
      </c>
      <c r="W71" t="e" cm="1">
        <f t="array" aca="1" ref="W71" ca="1">_xlfn.IFS(N71&gt;=20, "High",N71&gt;=10, "Medium", N71&lt;10, "Low")</f>
        <v>#NAME?</v>
      </c>
      <c r="X71" t="str">
        <f t="shared" si="6"/>
        <v>High Budget</v>
      </c>
      <c r="Y71" s="7">
        <f>VLOOKUP(G71, Lookup_table!B:C,2,0)</f>
        <v>1.2</v>
      </c>
      <c r="Z71" t="str">
        <f t="shared" si="7"/>
        <v>Efficient Spend</v>
      </c>
      <c r="AA71" t="str">
        <f>VLOOKUP(H71, Lookup_table!E:F,2,0)</f>
        <v>High</v>
      </c>
    </row>
    <row r="72" spans="1:27" ht="17.5" customHeight="1" x14ac:dyDescent="0.35">
      <c r="A72" s="1" t="s">
        <v>165</v>
      </c>
      <c r="B72" s="2">
        <v>45313</v>
      </c>
      <c r="C72" s="1" t="s">
        <v>166</v>
      </c>
      <c r="D72" s="1">
        <v>60</v>
      </c>
      <c r="E72" s="1" t="s">
        <v>23</v>
      </c>
      <c r="F72" s="1" t="s">
        <v>57</v>
      </c>
      <c r="G72" s="1" t="s">
        <v>46</v>
      </c>
      <c r="H72" s="1" t="s">
        <v>32</v>
      </c>
      <c r="I72" s="1">
        <v>1082.1300000000001</v>
      </c>
      <c r="J72" s="1">
        <v>13277</v>
      </c>
      <c r="K72" s="1">
        <v>4785</v>
      </c>
      <c r="L72" s="1">
        <v>252</v>
      </c>
      <c r="M72" s="1">
        <v>1</v>
      </c>
      <c r="N72" s="1">
        <v>36.039768019999997</v>
      </c>
      <c r="O72" s="1">
        <v>5.2664576800000003</v>
      </c>
      <c r="P72" s="1">
        <f t="shared" si="0"/>
        <v>1</v>
      </c>
      <c r="V72" t="str">
        <f t="shared" si="5"/>
        <v>Top Performer</v>
      </c>
      <c r="W72" t="e" cm="1">
        <f t="array" aca="1" ref="W72" ca="1">_xlfn.IFS(N72&gt;=20, "High",N72&gt;=10, "Medium", N72&lt;10, "Low")</f>
        <v>#NAME?</v>
      </c>
      <c r="X72" t="str">
        <f t="shared" si="6"/>
        <v>High Budget</v>
      </c>
      <c r="Y72" s="7">
        <f>VLOOKUP(G72, Lookup_table!B:C,2,0)</f>
        <v>0.75</v>
      </c>
      <c r="Z72" t="str">
        <f t="shared" si="7"/>
        <v>Efficient Spend</v>
      </c>
      <c r="AA72" t="str">
        <f>VLOOKUP(H72, Lookup_table!E:F,2,0)</f>
        <v>Medium</v>
      </c>
    </row>
    <row r="73" spans="1:27" ht="17.5" customHeight="1" x14ac:dyDescent="0.35">
      <c r="A73" s="1" t="s">
        <v>167</v>
      </c>
      <c r="B73" s="2">
        <v>45411</v>
      </c>
      <c r="C73" s="1" t="s">
        <v>92</v>
      </c>
      <c r="D73" s="1">
        <v>62</v>
      </c>
      <c r="E73" s="1" t="s">
        <v>29</v>
      </c>
      <c r="F73" s="1" t="s">
        <v>50</v>
      </c>
      <c r="G73" s="1" t="s">
        <v>61</v>
      </c>
      <c r="H73" s="1" t="s">
        <v>62</v>
      </c>
      <c r="I73" s="1">
        <v>1211.99</v>
      </c>
      <c r="J73" s="1">
        <v>42354</v>
      </c>
      <c r="K73" s="1">
        <v>2551</v>
      </c>
      <c r="L73" s="1">
        <v>8</v>
      </c>
      <c r="N73" s="1">
        <v>6.0230438680000002</v>
      </c>
      <c r="O73" s="1">
        <v>0.31360250899999997</v>
      </c>
      <c r="P73" s="1">
        <f t="shared" si="0"/>
        <v>3</v>
      </c>
      <c r="V73" t="str">
        <f t="shared" si="5"/>
        <v>Low Performer</v>
      </c>
      <c r="W73" t="e" cm="1">
        <f t="array" aca="1" ref="W73" ca="1">_xlfn.IFS(N73&gt;=20, "High",N73&gt;=10, "Medium", N73&lt;10, "Low")</f>
        <v>#NAME?</v>
      </c>
      <c r="X73" t="str">
        <f t="shared" si="6"/>
        <v>High Budget</v>
      </c>
      <c r="Y73" s="7">
        <f>VLOOKUP(G73, Lookup_table!B:C,2,0)</f>
        <v>0.2</v>
      </c>
      <c r="Z73" t="str">
        <f t="shared" si="7"/>
        <v>Inefficient Spend</v>
      </c>
      <c r="AA73" t="str">
        <f>VLOOKUP(H73, Lookup_table!E:F,2,0)</f>
        <v>Medium</v>
      </c>
    </row>
    <row r="74" spans="1:27" ht="17.5" customHeight="1" x14ac:dyDescent="0.35">
      <c r="A74" s="1" t="s">
        <v>168</v>
      </c>
      <c r="B74" s="2">
        <v>45359</v>
      </c>
      <c r="C74" s="1" t="s">
        <v>109</v>
      </c>
      <c r="D74" s="1">
        <v>33</v>
      </c>
      <c r="E74" s="1" t="s">
        <v>23</v>
      </c>
      <c r="F74" s="1" t="s">
        <v>57</v>
      </c>
      <c r="G74" s="1" t="s">
        <v>25</v>
      </c>
      <c r="H74" s="1" t="s">
        <v>26</v>
      </c>
      <c r="I74" s="1">
        <v>191.91</v>
      </c>
      <c r="J74" s="1">
        <v>7346</v>
      </c>
      <c r="K74" s="1">
        <v>3172</v>
      </c>
      <c r="L74" s="1">
        <v>137</v>
      </c>
      <c r="M74" s="1">
        <v>5</v>
      </c>
      <c r="N74" s="1">
        <v>43.17996188</v>
      </c>
      <c r="O74" s="1">
        <v>4.3190416139999996</v>
      </c>
      <c r="P74" s="1">
        <f t="shared" si="0"/>
        <v>5</v>
      </c>
      <c r="V74" t="str">
        <f t="shared" si="5"/>
        <v>Average Performer</v>
      </c>
      <c r="W74" t="e" cm="1">
        <f t="array" aca="1" ref="W74" ca="1">_xlfn.IFS(N74&gt;=20, "High",N74&gt;=10, "Medium", N74&lt;10, "Low")</f>
        <v>#NAME?</v>
      </c>
      <c r="X74" t="str">
        <f t="shared" si="6"/>
        <v>Low Budget</v>
      </c>
      <c r="Y74" s="7">
        <f>VLOOKUP(G74, Lookup_table!B:C,2,0)</f>
        <v>0.5</v>
      </c>
      <c r="Z74" t="str">
        <f t="shared" si="7"/>
        <v>Efficient Spend</v>
      </c>
      <c r="AA74" t="str">
        <f>VLOOKUP(H74, Lookup_table!E:F,2,0)</f>
        <v>High</v>
      </c>
    </row>
    <row r="75" spans="1:27" ht="17.5" customHeight="1" x14ac:dyDescent="0.35">
      <c r="A75" s="1" t="s">
        <v>169</v>
      </c>
      <c r="B75" s="2">
        <v>45495</v>
      </c>
      <c r="C75" s="1" t="s">
        <v>170</v>
      </c>
      <c r="E75" s="1" t="s">
        <v>35</v>
      </c>
      <c r="G75" s="1" t="s">
        <v>46</v>
      </c>
      <c r="H75" s="1" t="s">
        <v>32</v>
      </c>
      <c r="I75" s="1">
        <v>65.67</v>
      </c>
      <c r="J75" s="1">
        <v>4948</v>
      </c>
      <c r="K75" s="1">
        <v>524</v>
      </c>
      <c r="L75" s="1">
        <v>10</v>
      </c>
      <c r="N75" s="1">
        <v>10.59013743</v>
      </c>
      <c r="O75" s="1">
        <v>1.908396947</v>
      </c>
      <c r="P75" s="1">
        <f t="shared" si="0"/>
        <v>3</v>
      </c>
      <c r="V75" t="str">
        <f t="shared" si="5"/>
        <v>Low Performer</v>
      </c>
      <c r="W75" t="e" cm="1">
        <f t="array" aca="1" ref="W75" ca="1">_xlfn.IFS(N75&gt;=20, "High",N75&gt;=10, "Medium", N75&lt;10, "Low")</f>
        <v>#NAME?</v>
      </c>
      <c r="X75" t="str">
        <f t="shared" si="6"/>
        <v>Low Budget</v>
      </c>
      <c r="Y75" s="7">
        <f>VLOOKUP(G75, Lookup_table!B:C,2,0)</f>
        <v>0.75</v>
      </c>
      <c r="Z75" t="str">
        <f t="shared" si="7"/>
        <v>Efficient Spend</v>
      </c>
      <c r="AA75" t="str">
        <f>VLOOKUP(H75, Lookup_table!E:F,2,0)</f>
        <v>Medium</v>
      </c>
    </row>
    <row r="76" spans="1:27" ht="17.5" customHeight="1" x14ac:dyDescent="0.35">
      <c r="A76" s="1" t="s">
        <v>171</v>
      </c>
      <c r="B76" s="2">
        <v>45339</v>
      </c>
      <c r="C76" s="1" t="s">
        <v>157</v>
      </c>
      <c r="D76" s="1">
        <v>62</v>
      </c>
      <c r="E76" s="1" t="s">
        <v>23</v>
      </c>
      <c r="F76" s="1" t="s">
        <v>57</v>
      </c>
      <c r="G76" s="1" t="s">
        <v>61</v>
      </c>
      <c r="H76" s="1" t="s">
        <v>62</v>
      </c>
      <c r="I76" s="1">
        <v>676.43</v>
      </c>
      <c r="J76" s="1">
        <v>14970</v>
      </c>
      <c r="K76" s="1">
        <v>1249</v>
      </c>
      <c r="L76" s="1">
        <v>22</v>
      </c>
      <c r="M76" s="1">
        <v>5</v>
      </c>
      <c r="N76" s="1">
        <v>8.3433533729999994</v>
      </c>
      <c r="O76" s="1">
        <v>1.7614091270000001</v>
      </c>
      <c r="P76" s="1">
        <f t="shared" si="0"/>
        <v>5</v>
      </c>
      <c r="V76" t="str">
        <f t="shared" si="5"/>
        <v>Low Performer</v>
      </c>
      <c r="W76" t="e" cm="1">
        <f t="array" aca="1" ref="W76" ca="1">_xlfn.IFS(N76&gt;=20, "High",N76&gt;=10, "Medium", N76&lt;10, "Low")</f>
        <v>#NAME?</v>
      </c>
      <c r="X76" t="str">
        <f t="shared" si="6"/>
        <v>Medium Budget</v>
      </c>
      <c r="Y76" s="7">
        <f>VLOOKUP(G76, Lookup_table!B:C,2,0)</f>
        <v>0.2</v>
      </c>
      <c r="Z76" t="str">
        <f t="shared" si="7"/>
        <v>Inefficient Spend</v>
      </c>
      <c r="AA76" t="str">
        <f>VLOOKUP(H76, Lookup_table!E:F,2,0)</f>
        <v>Medium</v>
      </c>
    </row>
    <row r="77" spans="1:27" ht="17.5" customHeight="1" x14ac:dyDescent="0.35">
      <c r="A77" s="1" t="s">
        <v>172</v>
      </c>
      <c r="B77" s="2">
        <v>45564</v>
      </c>
      <c r="C77" s="1" t="s">
        <v>52</v>
      </c>
      <c r="D77" s="1">
        <v>31</v>
      </c>
      <c r="E77" s="1" t="s">
        <v>29</v>
      </c>
      <c r="F77" s="1" t="s">
        <v>30</v>
      </c>
      <c r="G77" s="1" t="s">
        <v>61</v>
      </c>
      <c r="H77" s="1" t="s">
        <v>32</v>
      </c>
      <c r="I77" s="1">
        <v>830.1</v>
      </c>
      <c r="J77" s="1">
        <v>19575</v>
      </c>
      <c r="K77" s="1">
        <v>1786</v>
      </c>
      <c r="L77" s="1">
        <v>265</v>
      </c>
      <c r="M77" s="1">
        <v>4</v>
      </c>
      <c r="N77" s="1">
        <v>9.1238825030000008</v>
      </c>
      <c r="O77" s="1">
        <v>14.83762598</v>
      </c>
      <c r="P77" s="1">
        <f t="shared" si="0"/>
        <v>4</v>
      </c>
      <c r="V77" t="str">
        <f t="shared" si="5"/>
        <v>Average Performer</v>
      </c>
      <c r="W77" t="e" cm="1">
        <f t="array" aca="1" ref="W77" ca="1">_xlfn.IFS(N77&gt;=20, "High",N77&gt;=10, "Medium", N77&lt;10, "Low")</f>
        <v>#NAME?</v>
      </c>
      <c r="X77" t="str">
        <f t="shared" si="6"/>
        <v>Medium Budget</v>
      </c>
      <c r="Y77" s="7">
        <f>VLOOKUP(G77, Lookup_table!B:C,2,0)</f>
        <v>0.2</v>
      </c>
      <c r="Z77" t="str">
        <f t="shared" si="7"/>
        <v>Inefficient Spend</v>
      </c>
      <c r="AA77" t="str">
        <f>VLOOKUP(H77, Lookup_table!E:F,2,0)</f>
        <v>Medium</v>
      </c>
    </row>
    <row r="78" spans="1:27" ht="17.5" customHeight="1" x14ac:dyDescent="0.35">
      <c r="A78" s="1" t="s">
        <v>173</v>
      </c>
      <c r="B78" s="2">
        <v>45304</v>
      </c>
      <c r="C78" s="1" t="s">
        <v>22</v>
      </c>
      <c r="D78" s="1">
        <v>50</v>
      </c>
      <c r="E78" s="1" t="s">
        <v>29</v>
      </c>
      <c r="F78" s="1" t="s">
        <v>57</v>
      </c>
      <c r="G78" s="1" t="s">
        <v>46</v>
      </c>
      <c r="H78" s="1" t="s">
        <v>26</v>
      </c>
      <c r="I78" s="1">
        <v>1279.9100000000001</v>
      </c>
      <c r="J78" s="1">
        <v>22927</v>
      </c>
      <c r="K78" s="1">
        <v>4900</v>
      </c>
      <c r="L78" s="1">
        <v>375</v>
      </c>
      <c r="M78" s="1">
        <v>5</v>
      </c>
      <c r="N78" s="1">
        <v>21.372181269999999</v>
      </c>
      <c r="O78" s="1">
        <v>7.653061224</v>
      </c>
      <c r="P78" s="1">
        <f t="shared" si="0"/>
        <v>5</v>
      </c>
      <c r="V78" t="str">
        <f t="shared" si="5"/>
        <v>Top Performer</v>
      </c>
      <c r="W78" t="e" cm="1">
        <f t="array" aca="1" ref="W78" ca="1">_xlfn.IFS(N78&gt;=20, "High",N78&gt;=10, "Medium", N78&lt;10, "Low")</f>
        <v>#NAME?</v>
      </c>
      <c r="X78" t="str">
        <f t="shared" si="6"/>
        <v>High Budget</v>
      </c>
      <c r="Y78" s="7">
        <f>VLOOKUP(G78, Lookup_table!B:C,2,0)</f>
        <v>0.75</v>
      </c>
      <c r="Z78" t="str">
        <f t="shared" si="7"/>
        <v>Efficient Spend</v>
      </c>
      <c r="AA78" t="str">
        <f>VLOOKUP(H78, Lookup_table!E:F,2,0)</f>
        <v>High</v>
      </c>
    </row>
    <row r="79" spans="1:27" ht="17.5" customHeight="1" x14ac:dyDescent="0.35">
      <c r="A79" s="1" t="s">
        <v>174</v>
      </c>
      <c r="B79" s="2">
        <v>45641</v>
      </c>
      <c r="C79" s="1" t="s">
        <v>175</v>
      </c>
      <c r="D79" s="1">
        <v>50</v>
      </c>
      <c r="E79" s="1" t="s">
        <v>35</v>
      </c>
      <c r="F79" s="1" t="s">
        <v>57</v>
      </c>
      <c r="G79" s="1" t="s">
        <v>46</v>
      </c>
      <c r="H79" s="1" t="s">
        <v>26</v>
      </c>
      <c r="I79" s="1">
        <v>1108.8599999999999</v>
      </c>
      <c r="J79" s="1">
        <v>35586</v>
      </c>
      <c r="K79" s="1">
        <v>3331</v>
      </c>
      <c r="L79" s="1">
        <v>170</v>
      </c>
      <c r="M79" s="1">
        <v>2</v>
      </c>
      <c r="N79" s="1">
        <v>9.3604226379999993</v>
      </c>
      <c r="O79" s="1">
        <v>5.1035725010000004</v>
      </c>
      <c r="P79" s="1">
        <f t="shared" si="0"/>
        <v>2</v>
      </c>
      <c r="V79" t="str">
        <f t="shared" si="5"/>
        <v>Average Performer</v>
      </c>
      <c r="W79" t="e" cm="1">
        <f t="array" aca="1" ref="W79" ca="1">_xlfn.IFS(N79&gt;=20, "High",N79&gt;=10, "Medium", N79&lt;10, "Low")</f>
        <v>#NAME?</v>
      </c>
      <c r="X79" t="str">
        <f t="shared" si="6"/>
        <v>High Budget</v>
      </c>
      <c r="Y79" s="7">
        <f>VLOOKUP(G79, Lookup_table!B:C,2,0)</f>
        <v>0.75</v>
      </c>
      <c r="Z79" t="str">
        <f t="shared" si="7"/>
        <v>Efficient Spend</v>
      </c>
      <c r="AA79" t="str">
        <f>VLOOKUP(H79, Lookup_table!E:F,2,0)</f>
        <v>High</v>
      </c>
    </row>
    <row r="80" spans="1:27" ht="17.5" customHeight="1" x14ac:dyDescent="0.35">
      <c r="A80" s="1" t="s">
        <v>176</v>
      </c>
      <c r="B80" s="2">
        <v>45399</v>
      </c>
      <c r="C80" s="1" t="s">
        <v>126</v>
      </c>
      <c r="D80" s="1">
        <v>29</v>
      </c>
      <c r="E80" s="1" t="s">
        <v>35</v>
      </c>
      <c r="F80" s="1" t="s">
        <v>45</v>
      </c>
      <c r="G80" s="1" t="s">
        <v>61</v>
      </c>
      <c r="H80" s="1" t="s">
        <v>32</v>
      </c>
      <c r="I80" s="1">
        <v>166.91</v>
      </c>
      <c r="J80" s="1">
        <v>22637</v>
      </c>
      <c r="K80" s="1">
        <v>410</v>
      </c>
      <c r="L80" s="1">
        <v>109</v>
      </c>
      <c r="N80" s="1">
        <v>1.8111940630000001</v>
      </c>
      <c r="O80" s="1">
        <v>26.585365849999999</v>
      </c>
      <c r="P80" s="1">
        <f t="shared" si="0"/>
        <v>3</v>
      </c>
      <c r="V80" t="str">
        <f t="shared" si="5"/>
        <v>Low Performer</v>
      </c>
      <c r="W80" t="e" cm="1">
        <f t="array" aca="1" ref="W80" ca="1">_xlfn.IFS(N80&gt;=20, "High",N80&gt;=10, "Medium", N80&lt;10, "Low")</f>
        <v>#NAME?</v>
      </c>
      <c r="X80" t="str">
        <f t="shared" si="6"/>
        <v>Low Budget</v>
      </c>
      <c r="Y80" s="7">
        <f>VLOOKUP(G80, Lookup_table!B:C,2,0)</f>
        <v>0.2</v>
      </c>
      <c r="Z80" t="str">
        <f t="shared" si="7"/>
        <v>Inefficient Spend</v>
      </c>
      <c r="AA80" t="str">
        <f>VLOOKUP(H80, Lookup_table!E:F,2,0)</f>
        <v>Medium</v>
      </c>
    </row>
    <row r="81" spans="1:27" ht="17.5" customHeight="1" x14ac:dyDescent="0.35">
      <c r="A81" s="1" t="s">
        <v>177</v>
      </c>
      <c r="B81" s="2">
        <v>45525</v>
      </c>
      <c r="C81" s="1" t="s">
        <v>178</v>
      </c>
      <c r="D81" s="1">
        <v>61</v>
      </c>
      <c r="E81" s="1" t="s">
        <v>35</v>
      </c>
      <c r="F81" s="1" t="s">
        <v>41</v>
      </c>
      <c r="G81" s="1" t="s">
        <v>25</v>
      </c>
      <c r="H81" s="1" t="s">
        <v>62</v>
      </c>
      <c r="I81" s="1">
        <v>154.5</v>
      </c>
      <c r="J81" s="1">
        <v>3795</v>
      </c>
      <c r="K81" s="1">
        <v>3554</v>
      </c>
      <c r="L81" s="1">
        <v>121</v>
      </c>
      <c r="N81" s="1">
        <v>93.649538870000001</v>
      </c>
      <c r="O81" s="1">
        <v>3.4046145189999999</v>
      </c>
      <c r="P81" s="1">
        <f t="shared" si="0"/>
        <v>3</v>
      </c>
      <c r="V81" t="str">
        <f t="shared" si="5"/>
        <v>Average Performer</v>
      </c>
      <c r="W81" t="e" cm="1">
        <f t="array" aca="1" ref="W81" ca="1">_xlfn.IFS(N81&gt;=20, "High",N81&gt;=10, "Medium", N81&lt;10, "Low")</f>
        <v>#NAME?</v>
      </c>
      <c r="X81" t="str">
        <f t="shared" si="6"/>
        <v>Low Budget</v>
      </c>
      <c r="Y81" s="7">
        <f>VLOOKUP(G81, Lookup_table!B:C,2,0)</f>
        <v>0.5</v>
      </c>
      <c r="Z81" t="str">
        <f t="shared" si="7"/>
        <v>Efficient Spend</v>
      </c>
      <c r="AA81" t="str">
        <f>VLOOKUP(H81, Lookup_table!E:F,2,0)</f>
        <v>Medium</v>
      </c>
    </row>
    <row r="82" spans="1:27" ht="17.5" customHeight="1" x14ac:dyDescent="0.35">
      <c r="A82" s="1" t="s">
        <v>179</v>
      </c>
      <c r="B82" s="2">
        <v>45624</v>
      </c>
      <c r="C82" s="1" t="s">
        <v>138</v>
      </c>
      <c r="E82" s="1" t="s">
        <v>23</v>
      </c>
      <c r="G82" s="1" t="s">
        <v>25</v>
      </c>
      <c r="H82" s="1" t="s">
        <v>26</v>
      </c>
      <c r="I82" s="1">
        <v>1350.27</v>
      </c>
      <c r="J82" s="1">
        <v>39417</v>
      </c>
      <c r="K82" s="1">
        <v>3112</v>
      </c>
      <c r="L82" s="1">
        <v>135</v>
      </c>
      <c r="N82" s="1">
        <v>7.8950706549999996</v>
      </c>
      <c r="O82" s="1">
        <v>4.3380462719999997</v>
      </c>
      <c r="P82" s="1">
        <f t="shared" si="0"/>
        <v>3</v>
      </c>
      <c r="V82" t="str">
        <f t="shared" si="5"/>
        <v>Average Performer</v>
      </c>
      <c r="W82" t="e" cm="1">
        <f t="array" aca="1" ref="W82" ca="1">_xlfn.IFS(N82&gt;=20, "High",N82&gt;=10, "Medium", N82&lt;10, "Low")</f>
        <v>#NAME?</v>
      </c>
      <c r="X82" t="str">
        <f t="shared" si="6"/>
        <v>High Budget</v>
      </c>
      <c r="Y82" s="7">
        <f>VLOOKUP(G82, Lookup_table!B:C,2,0)</f>
        <v>0.5</v>
      </c>
      <c r="Z82" t="str">
        <f t="shared" si="7"/>
        <v>Efficient Spend</v>
      </c>
      <c r="AA82" t="str">
        <f>VLOOKUP(H82, Lookup_table!E:F,2,0)</f>
        <v>High</v>
      </c>
    </row>
    <row r="83" spans="1:27" ht="17.5" customHeight="1" x14ac:dyDescent="0.35">
      <c r="A83" s="1" t="s">
        <v>180</v>
      </c>
      <c r="B83" s="2">
        <v>45615</v>
      </c>
      <c r="C83" s="1" t="s">
        <v>181</v>
      </c>
      <c r="D83" s="1">
        <v>50</v>
      </c>
      <c r="E83" s="1" t="s">
        <v>29</v>
      </c>
      <c r="F83" s="1" t="s">
        <v>57</v>
      </c>
      <c r="G83" s="1" t="s">
        <v>61</v>
      </c>
      <c r="H83" s="1" t="s">
        <v>32</v>
      </c>
      <c r="I83" s="1">
        <v>1695.07</v>
      </c>
      <c r="J83" s="1">
        <v>20373</v>
      </c>
      <c r="K83" s="1">
        <v>3361</v>
      </c>
      <c r="L83" s="1">
        <v>137</v>
      </c>
      <c r="N83" s="1">
        <v>16.497324890000002</v>
      </c>
      <c r="O83" s="1">
        <v>4.076167807</v>
      </c>
      <c r="P83" s="1">
        <f t="shared" si="0"/>
        <v>3</v>
      </c>
      <c r="V83" t="str">
        <f t="shared" si="5"/>
        <v>Average Performer</v>
      </c>
      <c r="W83" t="e" cm="1">
        <f t="array" aca="1" ref="W83" ca="1">_xlfn.IFS(N83&gt;=20, "High",N83&gt;=10, "Medium", N83&lt;10, "Low")</f>
        <v>#NAME?</v>
      </c>
      <c r="X83" t="str">
        <f t="shared" si="6"/>
        <v>High Budget</v>
      </c>
      <c r="Y83" s="7">
        <f>VLOOKUP(G83, Lookup_table!B:C,2,0)</f>
        <v>0.2</v>
      </c>
      <c r="Z83" t="str">
        <f t="shared" si="7"/>
        <v>Inefficient Spend</v>
      </c>
      <c r="AA83" t="str">
        <f>VLOOKUP(H83, Lookup_table!E:F,2,0)</f>
        <v>Medium</v>
      </c>
    </row>
    <row r="84" spans="1:27" ht="17.5" customHeight="1" x14ac:dyDescent="0.35">
      <c r="A84" s="1" t="s">
        <v>182</v>
      </c>
      <c r="B84" s="2">
        <v>45402</v>
      </c>
      <c r="C84" s="1" t="s">
        <v>95</v>
      </c>
      <c r="D84" s="1">
        <v>57</v>
      </c>
      <c r="E84" s="1" t="s">
        <v>29</v>
      </c>
      <c r="F84" s="1" t="s">
        <v>41</v>
      </c>
      <c r="G84" s="1" t="s">
        <v>31</v>
      </c>
      <c r="H84" s="1" t="s">
        <v>36</v>
      </c>
      <c r="I84" s="1">
        <v>998.2</v>
      </c>
      <c r="J84" s="1">
        <v>25603</v>
      </c>
      <c r="K84" s="1">
        <v>1337</v>
      </c>
      <c r="L84" s="1">
        <v>45</v>
      </c>
      <c r="N84" s="1">
        <v>5.2220442919999996</v>
      </c>
      <c r="O84" s="1">
        <v>3.3657442030000002</v>
      </c>
      <c r="P84" s="1">
        <f t="shared" si="0"/>
        <v>3</v>
      </c>
      <c r="V84" t="str">
        <f t="shared" si="5"/>
        <v>Low Performer</v>
      </c>
      <c r="W84" t="e" cm="1">
        <f t="array" aca="1" ref="W84" ca="1">_xlfn.IFS(N84&gt;=20, "High",N84&gt;=10, "Medium", N84&lt;10, "Low")</f>
        <v>#NAME?</v>
      </c>
      <c r="X84" t="str">
        <f t="shared" si="6"/>
        <v>Medium Budget</v>
      </c>
      <c r="Y84" s="7">
        <f>VLOOKUP(G84, Lookup_table!B:C,2,0)</f>
        <v>1.2</v>
      </c>
      <c r="Z84" t="str">
        <f t="shared" si="7"/>
        <v>Efficient Spend</v>
      </c>
      <c r="AA84" t="str">
        <f>VLOOKUP(H84, Lookup_table!E:F,2,0)</f>
        <v>High</v>
      </c>
    </row>
    <row r="85" spans="1:27" ht="17.5" customHeight="1" x14ac:dyDescent="0.35">
      <c r="A85" s="1" t="s">
        <v>183</v>
      </c>
      <c r="B85" s="2">
        <v>45434</v>
      </c>
      <c r="C85" s="1" t="s">
        <v>184</v>
      </c>
      <c r="D85" s="1">
        <v>24</v>
      </c>
      <c r="E85" s="1" t="s">
        <v>23</v>
      </c>
      <c r="F85" s="1" t="s">
        <v>30</v>
      </c>
      <c r="G85" s="1" t="s">
        <v>31</v>
      </c>
      <c r="H85" s="1" t="s">
        <v>32</v>
      </c>
      <c r="I85" s="1">
        <v>512.29999999999995</v>
      </c>
      <c r="J85" s="1">
        <v>45407</v>
      </c>
      <c r="K85" s="1">
        <v>609</v>
      </c>
      <c r="L85" s="1">
        <v>196</v>
      </c>
      <c r="M85" s="1">
        <v>2</v>
      </c>
      <c r="N85" s="1">
        <v>1.3412028979999999</v>
      </c>
      <c r="O85" s="1">
        <v>32.183908049999999</v>
      </c>
      <c r="P85" s="1">
        <f t="shared" si="0"/>
        <v>2</v>
      </c>
      <c r="V85" t="str">
        <f t="shared" si="5"/>
        <v>Low Performer</v>
      </c>
      <c r="W85" t="e" cm="1">
        <f t="array" aca="1" ref="W85" ca="1">_xlfn.IFS(N85&gt;=20, "High",N85&gt;=10, "Medium", N85&lt;10, "Low")</f>
        <v>#NAME?</v>
      </c>
      <c r="X85" t="str">
        <f t="shared" si="6"/>
        <v>Medium Budget</v>
      </c>
      <c r="Y85" s="7">
        <f>VLOOKUP(G85, Lookup_table!B:C,2,0)</f>
        <v>1.2</v>
      </c>
      <c r="Z85" t="str">
        <f t="shared" si="7"/>
        <v>Efficient Spend</v>
      </c>
      <c r="AA85" t="str">
        <f>VLOOKUP(H85, Lookup_table!E:F,2,0)</f>
        <v>Medium</v>
      </c>
    </row>
    <row r="86" spans="1:27" ht="17.5" customHeight="1" x14ac:dyDescent="0.35">
      <c r="A86" s="1" t="s">
        <v>185</v>
      </c>
      <c r="B86" s="2">
        <v>45416</v>
      </c>
      <c r="C86" s="1" t="s">
        <v>186</v>
      </c>
      <c r="D86" s="1">
        <v>21</v>
      </c>
      <c r="E86" s="1" t="s">
        <v>35</v>
      </c>
      <c r="F86" s="1" t="s">
        <v>30</v>
      </c>
      <c r="G86" s="1" t="s">
        <v>42</v>
      </c>
      <c r="H86" s="1" t="s">
        <v>36</v>
      </c>
      <c r="I86" s="1">
        <v>826.62</v>
      </c>
      <c r="J86" s="1">
        <v>32518</v>
      </c>
      <c r="K86" s="1">
        <v>3074</v>
      </c>
      <c r="L86" s="1">
        <v>169</v>
      </c>
      <c r="M86" s="1">
        <v>3</v>
      </c>
      <c r="N86" s="1">
        <v>9.4532259060000001</v>
      </c>
      <c r="O86" s="1">
        <v>5.4977228370000004</v>
      </c>
      <c r="P86" s="1">
        <f t="shared" si="0"/>
        <v>3</v>
      </c>
      <c r="V86" t="str">
        <f t="shared" si="5"/>
        <v>Average Performer</v>
      </c>
      <c r="W86" t="e" cm="1">
        <f t="array" aca="1" ref="W86" ca="1">_xlfn.IFS(N86&gt;=20, "High",N86&gt;=10, "Medium", N86&lt;10, "Low")</f>
        <v>#NAME?</v>
      </c>
      <c r="X86" t="str">
        <f t="shared" si="6"/>
        <v>Medium Budget</v>
      </c>
      <c r="Y86" s="7">
        <f>VLOOKUP(G86, Lookup_table!B:C,2,0)</f>
        <v>0.3</v>
      </c>
      <c r="Z86" t="str">
        <f t="shared" si="7"/>
        <v>Efficient Spend</v>
      </c>
      <c r="AA86" t="str">
        <f>VLOOKUP(H86, Lookup_table!E:F,2,0)</f>
        <v>High</v>
      </c>
    </row>
    <row r="87" spans="1:27" ht="17.5" customHeight="1" x14ac:dyDescent="0.35">
      <c r="A87" s="1" t="s">
        <v>187</v>
      </c>
      <c r="B87" s="2">
        <v>45568</v>
      </c>
      <c r="C87" s="1" t="s">
        <v>188</v>
      </c>
      <c r="D87" s="1">
        <v>56</v>
      </c>
      <c r="E87" s="1" t="s">
        <v>35</v>
      </c>
      <c r="F87" s="1" t="s">
        <v>45</v>
      </c>
      <c r="G87" s="1" t="s">
        <v>46</v>
      </c>
      <c r="H87" s="1" t="s">
        <v>62</v>
      </c>
      <c r="I87" s="1">
        <v>162.76</v>
      </c>
      <c r="J87" s="1">
        <v>26231</v>
      </c>
      <c r="K87" s="1">
        <v>2329</v>
      </c>
      <c r="L87" s="1">
        <v>82</v>
      </c>
      <c r="M87" s="1">
        <v>3</v>
      </c>
      <c r="N87" s="1">
        <v>8.8788075180000003</v>
      </c>
      <c r="O87" s="1">
        <v>3.5208243879999999</v>
      </c>
      <c r="P87" s="1">
        <f t="shared" si="0"/>
        <v>3</v>
      </c>
      <c r="V87" t="str">
        <f t="shared" si="5"/>
        <v>Low Performer</v>
      </c>
      <c r="W87" t="e" cm="1">
        <f t="array" aca="1" ref="W87" ca="1">_xlfn.IFS(N87&gt;=20, "High",N87&gt;=10, "Medium", N87&lt;10, "Low")</f>
        <v>#NAME?</v>
      </c>
      <c r="X87" t="str">
        <f t="shared" si="6"/>
        <v>Low Budget</v>
      </c>
      <c r="Y87" s="7">
        <f>VLOOKUP(G87, Lookup_table!B:C,2,0)</f>
        <v>0.75</v>
      </c>
      <c r="Z87" t="str">
        <f t="shared" si="7"/>
        <v>Efficient Spend</v>
      </c>
      <c r="AA87" t="str">
        <f>VLOOKUP(H87, Lookup_table!E:F,2,0)</f>
        <v>Medium</v>
      </c>
    </row>
    <row r="88" spans="1:27" ht="17.5" customHeight="1" x14ac:dyDescent="0.35">
      <c r="A88" s="1" t="s">
        <v>189</v>
      </c>
      <c r="B88" s="2">
        <v>45601</v>
      </c>
      <c r="C88" s="1" t="s">
        <v>175</v>
      </c>
      <c r="D88" s="1">
        <v>48</v>
      </c>
      <c r="E88" s="1" t="s">
        <v>29</v>
      </c>
      <c r="F88" s="1" t="s">
        <v>50</v>
      </c>
      <c r="G88" s="1" t="s">
        <v>46</v>
      </c>
      <c r="H88" s="1" t="s">
        <v>32</v>
      </c>
      <c r="I88" s="1">
        <v>1452.05</v>
      </c>
      <c r="J88" s="1">
        <v>32061</v>
      </c>
      <c r="K88" s="1">
        <v>1216</v>
      </c>
      <c r="L88" s="1">
        <v>93</v>
      </c>
      <c r="M88" s="1">
        <v>5</v>
      </c>
      <c r="N88" s="1">
        <v>3.792770032</v>
      </c>
      <c r="O88" s="1">
        <v>7.6480263160000002</v>
      </c>
      <c r="P88" s="1">
        <f t="shared" si="0"/>
        <v>5</v>
      </c>
      <c r="V88" t="str">
        <f t="shared" si="5"/>
        <v>Low Performer</v>
      </c>
      <c r="W88" t="e" cm="1">
        <f t="array" aca="1" ref="W88" ca="1">_xlfn.IFS(N88&gt;=20, "High",N88&gt;=10, "Medium", N88&lt;10, "Low")</f>
        <v>#NAME?</v>
      </c>
      <c r="X88" t="str">
        <f t="shared" si="6"/>
        <v>High Budget</v>
      </c>
      <c r="Y88" s="7">
        <f>VLOOKUP(G88, Lookup_table!B:C,2,0)</f>
        <v>0.75</v>
      </c>
      <c r="Z88" t="str">
        <f t="shared" si="7"/>
        <v>Inefficient Spend</v>
      </c>
      <c r="AA88" t="str">
        <f>VLOOKUP(H88, Lookup_table!E:F,2,0)</f>
        <v>Medium</v>
      </c>
    </row>
    <row r="89" spans="1:27" ht="17.5" customHeight="1" x14ac:dyDescent="0.35">
      <c r="A89" s="1" t="s">
        <v>190</v>
      </c>
      <c r="B89" s="2">
        <v>45607</v>
      </c>
      <c r="C89" s="1" t="s">
        <v>191</v>
      </c>
      <c r="E89" s="1" t="s">
        <v>35</v>
      </c>
      <c r="G89" s="1" t="s">
        <v>31</v>
      </c>
      <c r="H89" s="1" t="s">
        <v>36</v>
      </c>
      <c r="I89" s="1">
        <v>488.2</v>
      </c>
      <c r="J89" s="1">
        <v>32198</v>
      </c>
      <c r="K89" s="1">
        <v>2749</v>
      </c>
      <c r="L89" s="1">
        <v>105</v>
      </c>
      <c r="N89" s="1">
        <v>8.5377973790000006</v>
      </c>
      <c r="O89" s="1">
        <v>3.8195707529999998</v>
      </c>
      <c r="P89" s="1">
        <f t="shared" si="0"/>
        <v>3</v>
      </c>
      <c r="V89" t="str">
        <f t="shared" si="5"/>
        <v>Average Performer</v>
      </c>
      <c r="W89" t="e" cm="1">
        <f t="array" aca="1" ref="W89" ca="1">_xlfn.IFS(N89&gt;=20, "High",N89&gt;=10, "Medium", N89&lt;10, "Low")</f>
        <v>#NAME?</v>
      </c>
      <c r="X89" t="str">
        <f t="shared" si="6"/>
        <v>Low Budget</v>
      </c>
      <c r="Y89" s="7">
        <f>VLOOKUP(G89, Lookup_table!B:C,2,0)</f>
        <v>1.2</v>
      </c>
      <c r="Z89" t="str">
        <f t="shared" si="7"/>
        <v>Efficient Spend</v>
      </c>
      <c r="AA89" t="str">
        <f>VLOOKUP(H89, Lookup_table!E:F,2,0)</f>
        <v>High</v>
      </c>
    </row>
    <row r="90" spans="1:27" ht="17.5" customHeight="1" x14ac:dyDescent="0.35">
      <c r="A90" s="1" t="s">
        <v>192</v>
      </c>
      <c r="B90" s="2">
        <v>45327</v>
      </c>
      <c r="C90" s="1" t="s">
        <v>193</v>
      </c>
      <c r="D90" s="1">
        <v>45</v>
      </c>
      <c r="E90" s="1" t="s">
        <v>35</v>
      </c>
      <c r="F90" s="1" t="s">
        <v>41</v>
      </c>
      <c r="G90" s="1" t="s">
        <v>46</v>
      </c>
      <c r="H90" s="1" t="s">
        <v>62</v>
      </c>
      <c r="I90" s="1">
        <v>976.33</v>
      </c>
      <c r="J90" s="1">
        <v>34635</v>
      </c>
      <c r="K90" s="1">
        <v>472</v>
      </c>
      <c r="L90" s="1">
        <v>74</v>
      </c>
      <c r="M90" s="1">
        <v>4</v>
      </c>
      <c r="N90" s="1">
        <v>1.3627833119999999</v>
      </c>
      <c r="O90" s="1">
        <v>15.677966100000001</v>
      </c>
      <c r="P90" s="1">
        <f t="shared" si="0"/>
        <v>4</v>
      </c>
      <c r="V90" t="str">
        <f t="shared" si="5"/>
        <v>Low Performer</v>
      </c>
      <c r="W90" t="e" cm="1">
        <f t="array" aca="1" ref="W90" ca="1">_xlfn.IFS(N90&gt;=20, "High",N90&gt;=10, "Medium", N90&lt;10, "Low")</f>
        <v>#NAME?</v>
      </c>
      <c r="X90" t="str">
        <f t="shared" si="6"/>
        <v>Medium Budget</v>
      </c>
      <c r="Y90" s="7">
        <f>VLOOKUP(G90, Lookup_table!B:C,2,0)</f>
        <v>0.75</v>
      </c>
      <c r="Z90" t="str">
        <f t="shared" si="7"/>
        <v>Inefficient Spend</v>
      </c>
      <c r="AA90" t="str">
        <f>VLOOKUP(H90, Lookup_table!E:F,2,0)</f>
        <v>Medium</v>
      </c>
    </row>
    <row r="91" spans="1:27" ht="17.5" customHeight="1" x14ac:dyDescent="0.35">
      <c r="A91" s="1" t="s">
        <v>194</v>
      </c>
      <c r="B91" s="2">
        <v>45596</v>
      </c>
      <c r="C91" s="1" t="s">
        <v>195</v>
      </c>
      <c r="D91" s="1">
        <v>58</v>
      </c>
      <c r="E91" s="1" t="s">
        <v>29</v>
      </c>
      <c r="F91" s="1" t="s">
        <v>45</v>
      </c>
      <c r="G91" s="1" t="s">
        <v>42</v>
      </c>
      <c r="H91" s="1" t="s">
        <v>26</v>
      </c>
      <c r="I91" s="1">
        <v>615.13</v>
      </c>
      <c r="J91" s="1">
        <v>23387</v>
      </c>
      <c r="K91" s="1">
        <v>744</v>
      </c>
      <c r="L91" s="1">
        <v>275</v>
      </c>
      <c r="M91" s="1">
        <v>5</v>
      </c>
      <c r="N91" s="1">
        <v>3.1812545430000001</v>
      </c>
      <c r="O91" s="1">
        <v>36.962365589999997</v>
      </c>
      <c r="P91" s="1">
        <f t="shared" si="0"/>
        <v>5</v>
      </c>
      <c r="V91" t="str">
        <f t="shared" si="5"/>
        <v>Low Performer</v>
      </c>
      <c r="W91" t="e" cm="1">
        <f t="array" aca="1" ref="W91" ca="1">_xlfn.IFS(N91&gt;=20, "High",N91&gt;=10, "Medium", N91&lt;10, "Low")</f>
        <v>#NAME?</v>
      </c>
      <c r="X91" t="str">
        <f t="shared" si="6"/>
        <v>Medium Budget</v>
      </c>
      <c r="Y91" s="7">
        <f>VLOOKUP(G91, Lookup_table!B:C,2,0)</f>
        <v>0.3</v>
      </c>
      <c r="Z91" t="str">
        <f t="shared" si="7"/>
        <v>Inefficient Spend</v>
      </c>
      <c r="AA91" t="str">
        <f>VLOOKUP(H91, Lookup_table!E:F,2,0)</f>
        <v>High</v>
      </c>
    </row>
    <row r="92" spans="1:27" ht="17.5" customHeight="1" x14ac:dyDescent="0.35">
      <c r="A92" s="1" t="s">
        <v>196</v>
      </c>
      <c r="B92" s="2">
        <v>45552</v>
      </c>
      <c r="C92" s="1" t="s">
        <v>64</v>
      </c>
      <c r="D92" s="1">
        <v>48</v>
      </c>
      <c r="E92" s="1" t="s">
        <v>35</v>
      </c>
      <c r="F92" s="1" t="s">
        <v>45</v>
      </c>
      <c r="G92" s="1" t="s">
        <v>61</v>
      </c>
      <c r="H92" s="1" t="s">
        <v>26</v>
      </c>
      <c r="I92" s="1">
        <v>770.28</v>
      </c>
      <c r="J92" s="1">
        <v>44596</v>
      </c>
      <c r="K92" s="1">
        <v>1852</v>
      </c>
      <c r="L92" s="1">
        <v>172</v>
      </c>
      <c r="M92" s="1">
        <v>5</v>
      </c>
      <c r="N92" s="1">
        <v>4.1528388200000004</v>
      </c>
      <c r="O92" s="1">
        <v>9.2872570190000001</v>
      </c>
      <c r="P92" s="1">
        <f t="shared" si="0"/>
        <v>5</v>
      </c>
      <c r="V92" t="str">
        <f t="shared" si="5"/>
        <v>Average Performer</v>
      </c>
      <c r="W92" t="e" cm="1">
        <f t="array" aca="1" ref="W92" ca="1">_xlfn.IFS(N92&gt;=20, "High",N92&gt;=10, "Medium", N92&lt;10, "Low")</f>
        <v>#NAME?</v>
      </c>
      <c r="X92" t="str">
        <f t="shared" si="6"/>
        <v>Medium Budget</v>
      </c>
      <c r="Y92" s="7">
        <f>VLOOKUP(G92, Lookup_table!B:C,2,0)</f>
        <v>0.2</v>
      </c>
      <c r="Z92" t="str">
        <f t="shared" si="7"/>
        <v>Inefficient Spend</v>
      </c>
      <c r="AA92" t="str">
        <f>VLOOKUP(H92, Lookup_table!E:F,2,0)</f>
        <v>High</v>
      </c>
    </row>
    <row r="93" spans="1:27" ht="17.5" customHeight="1" x14ac:dyDescent="0.35">
      <c r="A93" s="1" t="s">
        <v>197</v>
      </c>
      <c r="B93" s="2">
        <v>45591</v>
      </c>
      <c r="C93" s="1" t="s">
        <v>181</v>
      </c>
      <c r="D93" s="1">
        <v>44</v>
      </c>
      <c r="E93" s="1" t="s">
        <v>35</v>
      </c>
      <c r="F93" s="1" t="s">
        <v>30</v>
      </c>
      <c r="G93" s="1" t="s">
        <v>42</v>
      </c>
      <c r="H93" s="1" t="s">
        <v>26</v>
      </c>
      <c r="I93" s="1">
        <v>1041.72</v>
      </c>
      <c r="J93" s="1">
        <v>44592</v>
      </c>
      <c r="K93" s="1">
        <v>3671</v>
      </c>
      <c r="L93" s="1">
        <v>166</v>
      </c>
      <c r="M93" s="1">
        <v>4</v>
      </c>
      <c r="N93" s="1">
        <v>8.2324183709999996</v>
      </c>
      <c r="O93" s="1">
        <v>4.5219286299999997</v>
      </c>
      <c r="P93" s="1">
        <f t="shared" si="0"/>
        <v>4</v>
      </c>
      <c r="V93" t="str">
        <f t="shared" si="5"/>
        <v>Average Performer</v>
      </c>
      <c r="W93" t="e" cm="1">
        <f t="array" aca="1" ref="W93" ca="1">_xlfn.IFS(N93&gt;=20, "High",N93&gt;=10, "Medium", N93&lt;10, "Low")</f>
        <v>#NAME?</v>
      </c>
      <c r="X93" t="str">
        <f t="shared" si="6"/>
        <v>High Budget</v>
      </c>
      <c r="Y93" s="7">
        <f>VLOOKUP(G93, Lookup_table!B:C,2,0)</f>
        <v>0.3</v>
      </c>
      <c r="Z93" t="str">
        <f t="shared" si="7"/>
        <v>Efficient Spend</v>
      </c>
      <c r="AA93" t="str">
        <f>VLOOKUP(H93, Lookup_table!E:F,2,0)</f>
        <v>High</v>
      </c>
    </row>
    <row r="94" spans="1:27" ht="17.5" customHeight="1" x14ac:dyDescent="0.35">
      <c r="A94" s="1" t="s">
        <v>198</v>
      </c>
      <c r="B94" s="2">
        <v>45542</v>
      </c>
      <c r="C94" s="1" t="s">
        <v>199</v>
      </c>
      <c r="D94" s="1">
        <v>64</v>
      </c>
      <c r="E94" s="1" t="s">
        <v>29</v>
      </c>
      <c r="F94" s="1" t="s">
        <v>41</v>
      </c>
      <c r="G94" s="1" t="s">
        <v>46</v>
      </c>
      <c r="H94" s="1" t="s">
        <v>32</v>
      </c>
      <c r="I94" s="1">
        <v>421.11</v>
      </c>
      <c r="J94" s="1">
        <v>31096</v>
      </c>
      <c r="K94" s="1">
        <v>4306</v>
      </c>
      <c r="L94" s="1">
        <v>203</v>
      </c>
      <c r="M94" s="1">
        <v>5</v>
      </c>
      <c r="N94" s="1">
        <v>13.84744019</v>
      </c>
      <c r="O94" s="1">
        <v>4.7143520670000001</v>
      </c>
      <c r="P94" s="1">
        <f t="shared" si="0"/>
        <v>5</v>
      </c>
      <c r="V94" t="str">
        <f t="shared" si="5"/>
        <v>Top Performer</v>
      </c>
      <c r="W94" t="e" cm="1">
        <f t="array" aca="1" ref="W94" ca="1">_xlfn.IFS(N94&gt;=20, "High",N94&gt;=10, "Medium", N94&lt;10, "Low")</f>
        <v>#NAME?</v>
      </c>
      <c r="X94" t="str">
        <f t="shared" si="6"/>
        <v>Low Budget</v>
      </c>
      <c r="Y94" s="7">
        <f>VLOOKUP(G94, Lookup_table!B:C,2,0)</f>
        <v>0.75</v>
      </c>
      <c r="Z94" t="str">
        <f t="shared" si="7"/>
        <v>Efficient Spend</v>
      </c>
      <c r="AA94" t="str">
        <f>VLOOKUP(H94, Lookup_table!E:F,2,0)</f>
        <v>Medium</v>
      </c>
    </row>
    <row r="95" spans="1:27" ht="17.5" customHeight="1" x14ac:dyDescent="0.35">
      <c r="A95" s="1" t="s">
        <v>200</v>
      </c>
      <c r="B95" s="2">
        <v>45346</v>
      </c>
      <c r="C95" s="1" t="s">
        <v>201</v>
      </c>
      <c r="D95" s="1">
        <v>59</v>
      </c>
      <c r="E95" s="1" t="s">
        <v>29</v>
      </c>
      <c r="F95" s="1" t="s">
        <v>41</v>
      </c>
      <c r="G95" s="1" t="s">
        <v>25</v>
      </c>
      <c r="H95" s="1" t="s">
        <v>36</v>
      </c>
      <c r="I95" s="1">
        <v>1468.02</v>
      </c>
      <c r="J95" s="1">
        <v>24815</v>
      </c>
      <c r="K95" s="1">
        <v>3456</v>
      </c>
      <c r="L95" s="1">
        <v>76</v>
      </c>
      <c r="M95" s="1">
        <v>2</v>
      </c>
      <c r="N95" s="1">
        <v>13.92706025</v>
      </c>
      <c r="O95" s="1">
        <v>2.1990740739999999</v>
      </c>
      <c r="P95" s="1">
        <f t="shared" si="0"/>
        <v>2</v>
      </c>
      <c r="V95" t="str">
        <f t="shared" si="5"/>
        <v>Low Performer</v>
      </c>
      <c r="W95" t="e" cm="1">
        <f t="array" aca="1" ref="W95" ca="1">_xlfn.IFS(N95&gt;=20, "High",N95&gt;=10, "Medium", N95&lt;10, "Low")</f>
        <v>#NAME?</v>
      </c>
      <c r="X95" t="str">
        <f t="shared" si="6"/>
        <v>High Budget</v>
      </c>
      <c r="Y95" s="7">
        <f>VLOOKUP(G95, Lookup_table!B:C,2,0)</f>
        <v>0.5</v>
      </c>
      <c r="Z95" t="str">
        <f t="shared" si="7"/>
        <v>Efficient Spend</v>
      </c>
      <c r="AA95" t="str">
        <f>VLOOKUP(H95, Lookup_table!E:F,2,0)</f>
        <v>High</v>
      </c>
    </row>
    <row r="96" spans="1:27" ht="17.5" customHeight="1" x14ac:dyDescent="0.35">
      <c r="A96" s="1" t="s">
        <v>202</v>
      </c>
      <c r="B96" s="2">
        <v>45335</v>
      </c>
      <c r="C96" s="1" t="s">
        <v>203</v>
      </c>
      <c r="D96" s="1">
        <v>44</v>
      </c>
      <c r="E96" s="1" t="s">
        <v>35</v>
      </c>
      <c r="F96" s="1" t="s">
        <v>24</v>
      </c>
      <c r="G96" s="1" t="s">
        <v>25</v>
      </c>
      <c r="H96" s="1" t="s">
        <v>36</v>
      </c>
      <c r="I96" s="1">
        <v>259.36</v>
      </c>
      <c r="J96" s="1">
        <v>40912</v>
      </c>
      <c r="K96" s="1">
        <v>3299</v>
      </c>
      <c r="L96" s="1">
        <v>371</v>
      </c>
      <c r="M96" s="1">
        <v>3</v>
      </c>
      <c r="N96" s="1">
        <v>8.0636488069999999</v>
      </c>
      <c r="O96" s="1">
        <v>11.245832070000001</v>
      </c>
      <c r="P96" s="1">
        <f t="shared" si="0"/>
        <v>3</v>
      </c>
      <c r="V96" t="str">
        <f t="shared" si="5"/>
        <v>Top Performer</v>
      </c>
      <c r="W96" t="e" cm="1">
        <f t="array" aca="1" ref="W96" ca="1">_xlfn.IFS(N96&gt;=20, "High",N96&gt;=10, "Medium", N96&lt;10, "Low")</f>
        <v>#NAME?</v>
      </c>
      <c r="X96" t="str">
        <f t="shared" si="6"/>
        <v>Low Budget</v>
      </c>
      <c r="Y96" s="7">
        <f>VLOOKUP(G96, Lookup_table!B:C,2,0)</f>
        <v>0.5</v>
      </c>
      <c r="Z96" t="str">
        <f t="shared" si="7"/>
        <v>Efficient Spend</v>
      </c>
      <c r="AA96" t="str">
        <f>VLOOKUP(H96, Lookup_table!E:F,2,0)</f>
        <v>High</v>
      </c>
    </row>
    <row r="97" spans="1:27" ht="17.5" customHeight="1" x14ac:dyDescent="0.35">
      <c r="A97" s="1" t="s">
        <v>204</v>
      </c>
      <c r="B97" s="2">
        <v>45507</v>
      </c>
      <c r="C97" s="1" t="s">
        <v>205</v>
      </c>
      <c r="D97" s="1">
        <v>45</v>
      </c>
      <c r="E97" s="1" t="s">
        <v>35</v>
      </c>
      <c r="F97" s="1" t="s">
        <v>24</v>
      </c>
      <c r="G97" s="1" t="s">
        <v>46</v>
      </c>
      <c r="H97" s="1" t="s">
        <v>36</v>
      </c>
      <c r="I97" s="1">
        <v>1526.56</v>
      </c>
      <c r="J97" s="1">
        <v>41500</v>
      </c>
      <c r="K97" s="1">
        <v>2791</v>
      </c>
      <c r="L97" s="1">
        <v>315</v>
      </c>
      <c r="M97" s="1">
        <v>5</v>
      </c>
      <c r="N97" s="1">
        <v>6.7253012050000001</v>
      </c>
      <c r="O97" s="1">
        <v>11.28627732</v>
      </c>
      <c r="P97" s="1">
        <f t="shared" si="0"/>
        <v>5</v>
      </c>
      <c r="V97" t="str">
        <f t="shared" si="5"/>
        <v>Average Performer</v>
      </c>
      <c r="W97" t="e" cm="1">
        <f t="array" aca="1" ref="W97" ca="1">_xlfn.IFS(N97&gt;=20, "High",N97&gt;=10, "Medium", N97&lt;10, "Low")</f>
        <v>#NAME?</v>
      </c>
      <c r="X97" t="str">
        <f t="shared" si="6"/>
        <v>High Budget</v>
      </c>
      <c r="Y97" s="7">
        <f>VLOOKUP(G97, Lookup_table!B:C,2,0)</f>
        <v>0.75</v>
      </c>
      <c r="Z97" t="str">
        <f t="shared" si="7"/>
        <v>Efficient Spend</v>
      </c>
      <c r="AA97" t="str">
        <f>VLOOKUP(H97, Lookup_table!E:F,2,0)</f>
        <v>High</v>
      </c>
    </row>
    <row r="98" spans="1:27" ht="17.5" customHeight="1" x14ac:dyDescent="0.35">
      <c r="A98" s="1" t="s">
        <v>206</v>
      </c>
      <c r="B98" s="2">
        <v>45331</v>
      </c>
      <c r="C98" s="1" t="s">
        <v>207</v>
      </c>
      <c r="D98" s="1">
        <v>43</v>
      </c>
      <c r="E98" s="1" t="s">
        <v>35</v>
      </c>
      <c r="F98" s="1" t="s">
        <v>24</v>
      </c>
      <c r="G98" s="1" t="s">
        <v>25</v>
      </c>
      <c r="H98" s="1" t="s">
        <v>36</v>
      </c>
      <c r="I98" s="1">
        <v>140.01</v>
      </c>
      <c r="J98" s="1">
        <v>42074</v>
      </c>
      <c r="K98" s="1">
        <v>2387</v>
      </c>
      <c r="L98" s="1">
        <v>299</v>
      </c>
      <c r="M98" s="1">
        <v>3</v>
      </c>
      <c r="N98" s="1">
        <v>5.6733374530000003</v>
      </c>
      <c r="O98" s="1">
        <v>12.526183489999999</v>
      </c>
      <c r="P98" s="1">
        <f t="shared" si="0"/>
        <v>3</v>
      </c>
      <c r="V98" t="str">
        <f t="shared" si="5"/>
        <v>Average Performer</v>
      </c>
      <c r="W98" t="e" cm="1">
        <f t="array" aca="1" ref="W98" ca="1">_xlfn.IFS(N98&gt;=20, "High",N98&gt;=10, "Medium", N98&lt;10, "Low")</f>
        <v>#NAME?</v>
      </c>
      <c r="X98" t="str">
        <f t="shared" si="6"/>
        <v>Low Budget</v>
      </c>
      <c r="Y98" s="7">
        <f>VLOOKUP(G98, Lookup_table!B:C,2,0)</f>
        <v>0.5</v>
      </c>
      <c r="Z98" t="str">
        <f t="shared" si="7"/>
        <v>Efficient Spend</v>
      </c>
      <c r="AA98" t="str">
        <f>VLOOKUP(H98, Lookup_table!E:F,2,0)</f>
        <v>High</v>
      </c>
    </row>
    <row r="99" spans="1:27" ht="17.5" customHeight="1" x14ac:dyDescent="0.35">
      <c r="A99" s="1" t="s">
        <v>208</v>
      </c>
      <c r="B99" s="2">
        <v>45423</v>
      </c>
      <c r="C99" s="1" t="s">
        <v>111</v>
      </c>
      <c r="D99" s="1">
        <v>20</v>
      </c>
      <c r="E99" s="1" t="s">
        <v>35</v>
      </c>
      <c r="F99" s="1" t="s">
        <v>30</v>
      </c>
      <c r="G99" s="1" t="s">
        <v>31</v>
      </c>
      <c r="H99" s="1" t="s">
        <v>26</v>
      </c>
      <c r="I99" s="1">
        <v>993.51</v>
      </c>
      <c r="J99" s="1">
        <v>19930</v>
      </c>
      <c r="K99" s="1">
        <v>1681</v>
      </c>
      <c r="L99" s="1">
        <v>299</v>
      </c>
      <c r="N99" s="1">
        <v>8.4345208229999997</v>
      </c>
      <c r="O99" s="1">
        <v>17.78703153</v>
      </c>
      <c r="P99" s="1">
        <f t="shared" si="0"/>
        <v>3</v>
      </c>
      <c r="V99" t="str">
        <f t="shared" si="5"/>
        <v>Average Performer</v>
      </c>
      <c r="W99" t="e" cm="1">
        <f t="array" aca="1" ref="W99" ca="1">_xlfn.IFS(N99&gt;=20, "High",N99&gt;=10, "Medium", N99&lt;10, "Low")</f>
        <v>#NAME?</v>
      </c>
      <c r="X99" t="str">
        <f t="shared" si="6"/>
        <v>Medium Budget</v>
      </c>
      <c r="Y99" s="7">
        <f>VLOOKUP(G99, Lookup_table!B:C,2,0)</f>
        <v>1.2</v>
      </c>
      <c r="Z99" t="str">
        <f t="shared" si="7"/>
        <v>Efficient Spend</v>
      </c>
      <c r="AA99" t="str">
        <f>VLOOKUP(H99, Lookup_table!E:F,2,0)</f>
        <v>High</v>
      </c>
    </row>
    <row r="100" spans="1:27" ht="17.5" customHeight="1" x14ac:dyDescent="0.35">
      <c r="A100" s="1" t="s">
        <v>209</v>
      </c>
      <c r="B100" s="2">
        <v>45627</v>
      </c>
      <c r="C100" s="1" t="s">
        <v>210</v>
      </c>
      <c r="D100" s="1">
        <v>39</v>
      </c>
      <c r="E100" s="1" t="s">
        <v>35</v>
      </c>
      <c r="F100" s="1" t="s">
        <v>57</v>
      </c>
      <c r="G100" s="1" t="s">
        <v>61</v>
      </c>
      <c r="H100" s="1" t="s">
        <v>36</v>
      </c>
      <c r="I100" s="1">
        <v>1203.5</v>
      </c>
      <c r="J100" s="1">
        <v>39872</v>
      </c>
      <c r="K100" s="1">
        <v>1246</v>
      </c>
      <c r="L100" s="1">
        <v>157</v>
      </c>
      <c r="M100" s="1">
        <v>2</v>
      </c>
      <c r="N100" s="1">
        <v>3.125</v>
      </c>
      <c r="O100" s="1">
        <v>12.60032103</v>
      </c>
      <c r="P100" s="1">
        <f t="shared" si="0"/>
        <v>2</v>
      </c>
      <c r="V100" t="str">
        <f t="shared" si="5"/>
        <v>Average Performer</v>
      </c>
      <c r="W100" t="e" cm="1">
        <f t="array" aca="1" ref="W100" ca="1">_xlfn.IFS(N100&gt;=20, "High",N100&gt;=10, "Medium", N100&lt;10, "Low")</f>
        <v>#NAME?</v>
      </c>
      <c r="X100" t="str">
        <f t="shared" si="6"/>
        <v>High Budget</v>
      </c>
      <c r="Y100" s="7">
        <f>VLOOKUP(G100, Lookup_table!B:C,2,0)</f>
        <v>0.2</v>
      </c>
      <c r="Z100" t="str">
        <f t="shared" si="7"/>
        <v>Inefficient Spend</v>
      </c>
      <c r="AA100" t="str">
        <f>VLOOKUP(H100, Lookup_table!E:F,2,0)</f>
        <v>High</v>
      </c>
    </row>
    <row r="101" spans="1:27" ht="17.5" customHeight="1" x14ac:dyDescent="0.35">
      <c r="A101" s="1" t="s">
        <v>211</v>
      </c>
      <c r="B101" s="2">
        <v>45577</v>
      </c>
      <c r="C101" s="1" t="s">
        <v>212</v>
      </c>
      <c r="D101" s="1">
        <v>62</v>
      </c>
      <c r="E101" s="1" t="s">
        <v>23</v>
      </c>
      <c r="F101" s="1" t="s">
        <v>24</v>
      </c>
      <c r="G101" s="1" t="s">
        <v>61</v>
      </c>
      <c r="H101" s="1" t="s">
        <v>36</v>
      </c>
      <c r="I101" s="1">
        <v>482.54</v>
      </c>
      <c r="J101" s="1">
        <v>10172</v>
      </c>
      <c r="K101" s="1">
        <v>2686</v>
      </c>
      <c r="L101" s="1">
        <v>254</v>
      </c>
      <c r="M101" s="1">
        <v>3</v>
      </c>
      <c r="N101" s="1">
        <v>26.405819900000001</v>
      </c>
      <c r="O101" s="1">
        <v>9.4564408039999996</v>
      </c>
      <c r="P101" s="1">
        <f t="shared" si="0"/>
        <v>3</v>
      </c>
      <c r="V101" t="str">
        <f t="shared" si="5"/>
        <v>Average Performer</v>
      </c>
      <c r="W101" t="e" cm="1">
        <f t="array" aca="1" ref="W101" ca="1">_xlfn.IFS(N101&gt;=20, "High",N101&gt;=10, "Medium", N101&lt;10, "Low")</f>
        <v>#NAME?</v>
      </c>
      <c r="X101" t="str">
        <f t="shared" si="6"/>
        <v>Low Budget</v>
      </c>
      <c r="Y101" s="7">
        <f>VLOOKUP(G101, Lookup_table!B:C,2,0)</f>
        <v>0.2</v>
      </c>
      <c r="Z101" t="str">
        <f t="shared" si="7"/>
        <v>Efficient Spend</v>
      </c>
      <c r="AA101" t="str">
        <f>VLOOKUP(H101, Lookup_table!E:F,2,0)</f>
        <v>High</v>
      </c>
    </row>
    <row r="102" spans="1:27" ht="17.5" customHeight="1" x14ac:dyDescent="0.35">
      <c r="A102" s="1" t="s">
        <v>213</v>
      </c>
      <c r="B102" s="2">
        <v>45428</v>
      </c>
      <c r="C102" s="1" t="s">
        <v>160</v>
      </c>
      <c r="D102" s="1">
        <v>38</v>
      </c>
      <c r="E102" s="1" t="s">
        <v>23</v>
      </c>
      <c r="F102" s="1" t="s">
        <v>24</v>
      </c>
      <c r="G102" s="1" t="s">
        <v>25</v>
      </c>
      <c r="H102" s="1" t="s">
        <v>26</v>
      </c>
      <c r="I102" s="1">
        <v>114.47</v>
      </c>
      <c r="J102" s="1">
        <v>38970</v>
      </c>
      <c r="K102" s="1">
        <v>4808</v>
      </c>
      <c r="L102" s="1">
        <v>89</v>
      </c>
      <c r="M102" s="1">
        <v>1</v>
      </c>
      <c r="N102" s="1">
        <v>12.33769566</v>
      </c>
      <c r="O102" s="1">
        <v>1.8510815309999999</v>
      </c>
      <c r="P102" s="1">
        <f t="shared" si="0"/>
        <v>1</v>
      </c>
      <c r="V102" t="str">
        <f t="shared" si="5"/>
        <v>Low Performer</v>
      </c>
      <c r="W102" t="e" cm="1">
        <f t="array" aca="1" ref="W102" ca="1">_xlfn.IFS(N102&gt;=20, "High",N102&gt;=10, "Medium", N102&lt;10, "Low")</f>
        <v>#NAME?</v>
      </c>
      <c r="X102" t="str">
        <f t="shared" si="6"/>
        <v>Low Budget</v>
      </c>
      <c r="Y102" s="7">
        <f>VLOOKUP(G102, Lookup_table!B:C,2,0)</f>
        <v>0.5</v>
      </c>
      <c r="Z102" t="str">
        <f t="shared" si="7"/>
        <v>Efficient Spend</v>
      </c>
      <c r="AA102" t="str">
        <f>VLOOKUP(H102, Lookup_table!E:F,2,0)</f>
        <v>High</v>
      </c>
    </row>
    <row r="103" spans="1:27" ht="17.5" customHeight="1" x14ac:dyDescent="0.35">
      <c r="A103" s="1" t="s">
        <v>214</v>
      </c>
      <c r="B103" s="2">
        <v>45346</v>
      </c>
      <c r="C103" s="1" t="s">
        <v>132</v>
      </c>
      <c r="D103" s="1">
        <v>28</v>
      </c>
      <c r="E103" s="1" t="s">
        <v>23</v>
      </c>
      <c r="F103" s="1" t="s">
        <v>41</v>
      </c>
      <c r="G103" s="1" t="s">
        <v>25</v>
      </c>
      <c r="H103" s="1" t="s">
        <v>36</v>
      </c>
      <c r="I103" s="1">
        <v>1426.75</v>
      </c>
      <c r="J103" s="1">
        <v>36303</v>
      </c>
      <c r="K103" s="1">
        <v>3298</v>
      </c>
      <c r="L103" s="1">
        <v>316</v>
      </c>
      <c r="M103" s="1">
        <v>2</v>
      </c>
      <c r="N103" s="1">
        <v>9.0846486520000003</v>
      </c>
      <c r="O103" s="1">
        <v>9.5815645850000006</v>
      </c>
      <c r="P103" s="1">
        <f t="shared" si="0"/>
        <v>2</v>
      </c>
      <c r="V103" t="str">
        <f t="shared" si="5"/>
        <v>Top Performer</v>
      </c>
      <c r="W103" t="e" cm="1">
        <f t="array" aca="1" ref="W103" ca="1">_xlfn.IFS(N103&gt;=20, "High",N103&gt;=10, "Medium", N103&lt;10, "Low")</f>
        <v>#NAME?</v>
      </c>
      <c r="X103" t="str">
        <f t="shared" si="6"/>
        <v>High Budget</v>
      </c>
      <c r="Y103" s="7">
        <f>VLOOKUP(G103, Lookup_table!B:C,2,0)</f>
        <v>0.5</v>
      </c>
      <c r="Z103" t="str">
        <f t="shared" si="7"/>
        <v>Efficient Spend</v>
      </c>
      <c r="AA103" t="str">
        <f>VLOOKUP(H103, Lookup_table!E:F,2,0)</f>
        <v>High</v>
      </c>
    </row>
    <row r="104" spans="1:27" ht="17.5" customHeight="1" x14ac:dyDescent="0.35">
      <c r="A104" s="1" t="s">
        <v>215</v>
      </c>
      <c r="B104" s="2">
        <v>45458</v>
      </c>
      <c r="C104" s="1" t="s">
        <v>115</v>
      </c>
      <c r="D104" s="1">
        <v>51</v>
      </c>
      <c r="E104" s="1" t="s">
        <v>35</v>
      </c>
      <c r="F104" s="1" t="s">
        <v>24</v>
      </c>
      <c r="G104" s="1" t="s">
        <v>61</v>
      </c>
      <c r="H104" s="1" t="s">
        <v>32</v>
      </c>
      <c r="I104" s="1">
        <v>1402.89</v>
      </c>
      <c r="J104" s="1">
        <v>2432</v>
      </c>
      <c r="K104" s="1">
        <v>2653</v>
      </c>
      <c r="L104" s="1">
        <v>26</v>
      </c>
      <c r="M104" s="1">
        <v>1</v>
      </c>
      <c r="N104" s="1">
        <v>109.08717110000001</v>
      </c>
      <c r="O104" s="1">
        <v>0.98002261599999996</v>
      </c>
      <c r="P104" s="1">
        <f t="shared" si="0"/>
        <v>1</v>
      </c>
      <c r="U104" s="1">
        <f>COUNTIF(N100:N1000, N104&gt;100)</f>
        <v>0</v>
      </c>
      <c r="V104" t="str">
        <f t="shared" si="5"/>
        <v>Low Performer</v>
      </c>
      <c r="W104" t="e" cm="1">
        <f t="array" aca="1" ref="W104" ca="1">_xlfn.IFS(N104&gt;=20, "High",N104&gt;=10, "Medium", N104&lt;10, "Low")</f>
        <v>#NAME?</v>
      </c>
      <c r="X104" t="str">
        <f t="shared" si="6"/>
        <v>High Budget</v>
      </c>
      <c r="Y104" s="7">
        <f>VLOOKUP(G104, Lookup_table!B:C,2,0)</f>
        <v>0.2</v>
      </c>
      <c r="Z104" t="str">
        <f t="shared" si="7"/>
        <v>Inefficient Spend</v>
      </c>
      <c r="AA104" t="str">
        <f>VLOOKUP(H104, Lookup_table!E:F,2,0)</f>
        <v>Medium</v>
      </c>
    </row>
    <row r="105" spans="1:27" ht="17.5" customHeight="1" x14ac:dyDescent="0.35">
      <c r="A105" s="1" t="s">
        <v>216</v>
      </c>
      <c r="B105" s="2">
        <v>45490</v>
      </c>
      <c r="C105" s="1" t="s">
        <v>217</v>
      </c>
      <c r="D105" s="1">
        <v>55</v>
      </c>
      <c r="E105" s="1" t="s">
        <v>23</v>
      </c>
      <c r="F105" s="1" t="s">
        <v>45</v>
      </c>
      <c r="G105" s="1" t="s">
        <v>46</v>
      </c>
      <c r="H105" s="1" t="s">
        <v>62</v>
      </c>
      <c r="I105" s="1">
        <v>107.97</v>
      </c>
      <c r="J105" s="1">
        <v>35959</v>
      </c>
      <c r="K105" s="1">
        <v>1021</v>
      </c>
      <c r="L105" s="1">
        <v>38</v>
      </c>
      <c r="M105" s="1">
        <v>5</v>
      </c>
      <c r="N105" s="1">
        <v>2.839344809</v>
      </c>
      <c r="O105" s="1">
        <v>3.7218413319999999</v>
      </c>
      <c r="P105" s="1">
        <f t="shared" si="0"/>
        <v>5</v>
      </c>
      <c r="V105" t="str">
        <f t="shared" si="5"/>
        <v>Low Performer</v>
      </c>
      <c r="W105" t="e" cm="1">
        <f t="array" aca="1" ref="W105" ca="1">_xlfn.IFS(N105&gt;=20, "High",N105&gt;=10, "Medium", N105&lt;10, "Low")</f>
        <v>#NAME?</v>
      </c>
      <c r="X105" t="str">
        <f t="shared" si="6"/>
        <v>Low Budget</v>
      </c>
      <c r="Y105" s="7">
        <f>VLOOKUP(G105, Lookup_table!B:C,2,0)</f>
        <v>0.75</v>
      </c>
      <c r="Z105" t="str">
        <f t="shared" si="7"/>
        <v>Efficient Spend</v>
      </c>
      <c r="AA105" t="str">
        <f>VLOOKUP(H105, Lookup_table!E:F,2,0)</f>
        <v>Medium</v>
      </c>
    </row>
    <row r="106" spans="1:27" ht="17.5" customHeight="1" x14ac:dyDescent="0.35">
      <c r="A106" s="1" t="s">
        <v>218</v>
      </c>
      <c r="B106" s="2">
        <v>45441</v>
      </c>
      <c r="C106" s="1" t="s">
        <v>142</v>
      </c>
      <c r="D106" s="1">
        <v>62</v>
      </c>
      <c r="E106" s="1" t="s">
        <v>35</v>
      </c>
      <c r="F106" s="1" t="s">
        <v>50</v>
      </c>
      <c r="G106" s="1" t="s">
        <v>61</v>
      </c>
      <c r="H106" s="1" t="s">
        <v>36</v>
      </c>
      <c r="I106" s="1">
        <v>384.4</v>
      </c>
      <c r="J106" s="1">
        <v>37506</v>
      </c>
      <c r="K106" s="1">
        <v>3461</v>
      </c>
      <c r="L106" s="1">
        <v>118</v>
      </c>
      <c r="M106" s="1">
        <v>3</v>
      </c>
      <c r="N106" s="1">
        <v>9.2278568760000006</v>
      </c>
      <c r="O106" s="1">
        <v>3.4094192429999999</v>
      </c>
      <c r="P106" s="1">
        <f t="shared" si="0"/>
        <v>3</v>
      </c>
      <c r="V106" t="str">
        <f t="shared" si="5"/>
        <v>Average Performer</v>
      </c>
      <c r="W106" t="e" cm="1">
        <f t="array" aca="1" ref="W106" ca="1">_xlfn.IFS(N106&gt;=20, "High",N106&gt;=10, "Medium", N106&lt;10, "Low")</f>
        <v>#NAME?</v>
      </c>
      <c r="X106" t="str">
        <f t="shared" si="6"/>
        <v>Low Budget</v>
      </c>
      <c r="Y106" s="7">
        <f>VLOOKUP(G106, Lookup_table!B:C,2,0)</f>
        <v>0.2</v>
      </c>
      <c r="Z106" t="str">
        <f t="shared" si="7"/>
        <v>Efficient Spend</v>
      </c>
      <c r="AA106" t="str">
        <f>VLOOKUP(H106, Lookup_table!E:F,2,0)</f>
        <v>High</v>
      </c>
    </row>
    <row r="107" spans="1:27" ht="17.5" customHeight="1" x14ac:dyDescent="0.35">
      <c r="A107" s="1" t="s">
        <v>219</v>
      </c>
      <c r="B107" s="2">
        <v>45336</v>
      </c>
      <c r="C107" s="1" t="s">
        <v>220</v>
      </c>
      <c r="D107" s="1">
        <v>36</v>
      </c>
      <c r="E107" s="1" t="s">
        <v>29</v>
      </c>
      <c r="F107" s="1" t="s">
        <v>30</v>
      </c>
      <c r="G107" s="1" t="s">
        <v>42</v>
      </c>
      <c r="H107" s="1" t="s">
        <v>32</v>
      </c>
      <c r="I107" s="1">
        <v>334.17</v>
      </c>
      <c r="J107" s="1">
        <v>38386</v>
      </c>
      <c r="K107" s="1">
        <v>2395</v>
      </c>
      <c r="L107" s="1">
        <v>121</v>
      </c>
      <c r="M107" s="1">
        <v>4</v>
      </c>
      <c r="N107" s="1">
        <v>6.239253895</v>
      </c>
      <c r="O107" s="1">
        <v>5.052192067</v>
      </c>
      <c r="P107" s="1">
        <f t="shared" si="0"/>
        <v>4</v>
      </c>
      <c r="V107" t="str">
        <f t="shared" si="5"/>
        <v>Average Performer</v>
      </c>
      <c r="W107" t="e" cm="1">
        <f t="array" aca="1" ref="W107" ca="1">_xlfn.IFS(N107&gt;=20, "High",N107&gt;=10, "Medium", N107&lt;10, "Low")</f>
        <v>#NAME?</v>
      </c>
      <c r="X107" t="str">
        <f t="shared" si="6"/>
        <v>Low Budget</v>
      </c>
      <c r="Y107" s="7">
        <f>VLOOKUP(G107, Lookup_table!B:C,2,0)</f>
        <v>0.3</v>
      </c>
      <c r="Z107" t="str">
        <f t="shared" si="7"/>
        <v>Efficient Spend</v>
      </c>
      <c r="AA107" t="str">
        <f>VLOOKUP(H107, Lookup_table!E:F,2,0)</f>
        <v>Medium</v>
      </c>
    </row>
    <row r="108" spans="1:27" ht="17.5" customHeight="1" x14ac:dyDescent="0.35">
      <c r="A108" s="1" t="s">
        <v>221</v>
      </c>
      <c r="B108" s="2">
        <v>45427</v>
      </c>
      <c r="C108" s="1" t="s">
        <v>222</v>
      </c>
      <c r="D108" s="1">
        <v>63</v>
      </c>
      <c r="E108" s="1" t="s">
        <v>23</v>
      </c>
      <c r="F108" s="1" t="s">
        <v>30</v>
      </c>
      <c r="G108" s="1" t="s">
        <v>42</v>
      </c>
      <c r="H108" s="1" t="s">
        <v>62</v>
      </c>
      <c r="I108" s="1">
        <v>725.13</v>
      </c>
      <c r="J108" s="1">
        <v>810</v>
      </c>
      <c r="K108" s="1">
        <v>4954</v>
      </c>
      <c r="L108" s="1">
        <v>141</v>
      </c>
      <c r="M108" s="1">
        <v>4</v>
      </c>
      <c r="N108" s="1">
        <v>611.60493829999996</v>
      </c>
      <c r="O108" s="1">
        <v>2.846184901</v>
      </c>
      <c r="P108" s="1">
        <f t="shared" si="0"/>
        <v>4</v>
      </c>
      <c r="U108" s="1">
        <f>COUNTIF(N104:N1000, N108&gt;100)</f>
        <v>0</v>
      </c>
      <c r="V108" t="str">
        <f t="shared" si="5"/>
        <v>Average Performer</v>
      </c>
      <c r="W108" t="e" cm="1">
        <f t="array" aca="1" ref="W108" ca="1">_xlfn.IFS(N108&gt;=20, "High",N108&gt;=10, "Medium", N108&lt;10, "Low")</f>
        <v>#NAME?</v>
      </c>
      <c r="X108" t="str">
        <f t="shared" si="6"/>
        <v>Medium Budget</v>
      </c>
      <c r="Y108" s="7">
        <f>VLOOKUP(G108, Lookup_table!B:C,2,0)</f>
        <v>0.3</v>
      </c>
      <c r="Z108" t="str">
        <f t="shared" si="7"/>
        <v>Efficient Spend</v>
      </c>
      <c r="AA108" t="str">
        <f>VLOOKUP(H108, Lookup_table!E:F,2,0)</f>
        <v>Medium</v>
      </c>
    </row>
    <row r="109" spans="1:27" ht="17.5" customHeight="1" x14ac:dyDescent="0.35">
      <c r="A109" s="1" t="s">
        <v>223</v>
      </c>
      <c r="B109" s="2">
        <v>45501</v>
      </c>
      <c r="C109" s="1" t="s">
        <v>224</v>
      </c>
      <c r="D109" s="1">
        <v>35</v>
      </c>
      <c r="E109" s="1" t="s">
        <v>29</v>
      </c>
      <c r="F109" s="1" t="s">
        <v>24</v>
      </c>
      <c r="G109" s="1" t="s">
        <v>46</v>
      </c>
      <c r="H109" s="1" t="s">
        <v>26</v>
      </c>
      <c r="I109" s="1">
        <v>361.56</v>
      </c>
      <c r="J109" s="1">
        <v>3589</v>
      </c>
      <c r="K109" s="1">
        <v>1477</v>
      </c>
      <c r="L109" s="1">
        <v>391</v>
      </c>
      <c r="M109" s="1">
        <v>3</v>
      </c>
      <c r="N109" s="1">
        <v>41.153524660000002</v>
      </c>
      <c r="O109" s="1">
        <v>26.472579549999999</v>
      </c>
      <c r="P109" s="1">
        <f t="shared" si="0"/>
        <v>3</v>
      </c>
      <c r="V109" t="str">
        <f t="shared" si="5"/>
        <v>Average Performer</v>
      </c>
      <c r="W109" t="e" cm="1">
        <f t="array" aca="1" ref="W109" ca="1">_xlfn.IFS(N109&gt;=20, "High",N109&gt;=10, "Medium", N109&lt;10, "Low")</f>
        <v>#NAME?</v>
      </c>
      <c r="X109" t="str">
        <f t="shared" si="6"/>
        <v>Low Budget</v>
      </c>
      <c r="Y109" s="7">
        <f>VLOOKUP(G109, Lookup_table!B:C,2,0)</f>
        <v>0.75</v>
      </c>
      <c r="Z109" t="str">
        <f t="shared" si="7"/>
        <v>Efficient Spend</v>
      </c>
      <c r="AA109" t="str">
        <f>VLOOKUP(H109, Lookup_table!E:F,2,0)</f>
        <v>High</v>
      </c>
    </row>
    <row r="110" spans="1:27" ht="17.5" customHeight="1" x14ac:dyDescent="0.35">
      <c r="A110" s="1" t="s">
        <v>225</v>
      </c>
      <c r="B110" s="2">
        <v>45489</v>
      </c>
      <c r="C110" s="1" t="s">
        <v>170</v>
      </c>
      <c r="D110" s="1">
        <v>64</v>
      </c>
      <c r="E110" s="1" t="s">
        <v>23</v>
      </c>
      <c r="F110" s="1" t="s">
        <v>45</v>
      </c>
      <c r="G110" s="1" t="s">
        <v>46</v>
      </c>
      <c r="H110" s="1" t="s">
        <v>26</v>
      </c>
      <c r="I110" s="1">
        <v>893.1</v>
      </c>
      <c r="J110" s="1">
        <v>7956</v>
      </c>
      <c r="K110" s="1">
        <v>2295</v>
      </c>
      <c r="L110" s="1">
        <v>133</v>
      </c>
      <c r="M110" s="1">
        <v>4</v>
      </c>
      <c r="N110" s="1">
        <v>28.84615385</v>
      </c>
      <c r="O110" s="1">
        <v>5.7952069719999999</v>
      </c>
      <c r="P110" s="1">
        <f t="shared" si="0"/>
        <v>4</v>
      </c>
      <c r="V110" t="str">
        <f t="shared" si="5"/>
        <v>Average Performer</v>
      </c>
      <c r="W110" t="e" cm="1">
        <f t="array" aca="1" ref="W110" ca="1">_xlfn.IFS(N110&gt;=20, "High",N110&gt;=10, "Medium", N110&lt;10, "Low")</f>
        <v>#NAME?</v>
      </c>
      <c r="X110" t="str">
        <f t="shared" si="6"/>
        <v>Medium Budget</v>
      </c>
      <c r="Y110" s="7">
        <f>VLOOKUP(G110, Lookup_table!B:C,2,0)</f>
        <v>0.75</v>
      </c>
      <c r="Z110" t="str">
        <f t="shared" si="7"/>
        <v>Efficient Spend</v>
      </c>
      <c r="AA110" t="str">
        <f>VLOOKUP(H110, Lookup_table!E:F,2,0)</f>
        <v>High</v>
      </c>
    </row>
    <row r="111" spans="1:27" ht="17.5" customHeight="1" x14ac:dyDescent="0.35">
      <c r="A111" s="1" t="s">
        <v>226</v>
      </c>
      <c r="B111" s="2">
        <v>45392</v>
      </c>
      <c r="C111" s="1" t="s">
        <v>227</v>
      </c>
      <c r="D111" s="1">
        <v>35</v>
      </c>
      <c r="E111" s="1" t="s">
        <v>23</v>
      </c>
      <c r="F111" s="1" t="s">
        <v>30</v>
      </c>
      <c r="G111" s="1" t="s">
        <v>25</v>
      </c>
      <c r="H111" s="1" t="s">
        <v>36</v>
      </c>
      <c r="I111" s="1">
        <v>1463.5</v>
      </c>
      <c r="J111" s="1">
        <v>42994</v>
      </c>
      <c r="K111" s="1">
        <v>1143</v>
      </c>
      <c r="L111" s="1">
        <v>63</v>
      </c>
      <c r="N111" s="1">
        <v>2.6585104899999998</v>
      </c>
      <c r="O111" s="1">
        <v>5.511811024</v>
      </c>
      <c r="P111" s="1">
        <f t="shared" si="0"/>
        <v>3</v>
      </c>
      <c r="V111" t="str">
        <f t="shared" si="5"/>
        <v>Low Performer</v>
      </c>
      <c r="W111" t="e" cm="1">
        <f t="array" aca="1" ref="W111" ca="1">_xlfn.IFS(N111&gt;=20, "High",N111&gt;=10, "Medium", N111&lt;10, "Low")</f>
        <v>#NAME?</v>
      </c>
      <c r="X111" t="str">
        <f t="shared" si="6"/>
        <v>High Budget</v>
      </c>
      <c r="Y111" s="7">
        <f>VLOOKUP(G111, Lookup_table!B:C,2,0)</f>
        <v>0.5</v>
      </c>
      <c r="Z111" t="str">
        <f t="shared" si="7"/>
        <v>Inefficient Spend</v>
      </c>
      <c r="AA111" t="str">
        <f>VLOOKUP(H111, Lookup_table!E:F,2,0)</f>
        <v>High</v>
      </c>
    </row>
    <row r="112" spans="1:27" ht="17.5" customHeight="1" x14ac:dyDescent="0.35">
      <c r="A112" s="1" t="s">
        <v>228</v>
      </c>
      <c r="B112" s="2">
        <v>45472</v>
      </c>
      <c r="C112" s="1" t="s">
        <v>132</v>
      </c>
      <c r="D112" s="1">
        <v>52</v>
      </c>
      <c r="E112" s="1" t="s">
        <v>35</v>
      </c>
      <c r="F112" s="1" t="s">
        <v>57</v>
      </c>
      <c r="G112" s="1" t="s">
        <v>31</v>
      </c>
      <c r="H112" s="1" t="s">
        <v>32</v>
      </c>
      <c r="I112" s="1">
        <v>1633.86</v>
      </c>
      <c r="J112" s="1">
        <v>24294</v>
      </c>
      <c r="K112" s="1">
        <v>4522</v>
      </c>
      <c r="L112" s="1">
        <v>82</v>
      </c>
      <c r="M112" s="1">
        <v>4</v>
      </c>
      <c r="N112" s="1">
        <v>18.613649460000001</v>
      </c>
      <c r="O112" s="1">
        <v>1.8133569220000001</v>
      </c>
      <c r="P112" s="1">
        <f t="shared" si="0"/>
        <v>4</v>
      </c>
      <c r="V112" t="str">
        <f t="shared" si="5"/>
        <v>Low Performer</v>
      </c>
      <c r="W112" t="e" cm="1">
        <f t="array" aca="1" ref="W112" ca="1">_xlfn.IFS(N112&gt;=20, "High",N112&gt;=10, "Medium", N112&lt;10, "Low")</f>
        <v>#NAME?</v>
      </c>
      <c r="X112" t="str">
        <f t="shared" si="6"/>
        <v>High Budget</v>
      </c>
      <c r="Y112" s="7">
        <f>VLOOKUP(G112, Lookup_table!B:C,2,0)</f>
        <v>1.2</v>
      </c>
      <c r="Z112" t="str">
        <f t="shared" si="7"/>
        <v>Efficient Spend</v>
      </c>
      <c r="AA112" t="str">
        <f>VLOOKUP(H112, Lookup_table!E:F,2,0)</f>
        <v>Medium</v>
      </c>
    </row>
    <row r="113" spans="1:27" ht="17.5" customHeight="1" x14ac:dyDescent="0.35">
      <c r="A113" s="1" t="s">
        <v>229</v>
      </c>
      <c r="B113" s="2">
        <v>45461</v>
      </c>
      <c r="C113" s="1" t="s">
        <v>230</v>
      </c>
      <c r="D113" s="1">
        <v>26</v>
      </c>
      <c r="E113" s="1" t="s">
        <v>29</v>
      </c>
      <c r="F113" s="1" t="s">
        <v>50</v>
      </c>
      <c r="G113" s="1" t="s">
        <v>46</v>
      </c>
      <c r="H113" s="1" t="s">
        <v>26</v>
      </c>
      <c r="I113" s="1">
        <v>1683.74</v>
      </c>
      <c r="J113" s="1">
        <v>49199</v>
      </c>
      <c r="K113" s="1">
        <v>1206</v>
      </c>
      <c r="L113" s="1">
        <v>143</v>
      </c>
      <c r="M113" s="1">
        <v>1</v>
      </c>
      <c r="N113" s="1">
        <v>2.4512693350000001</v>
      </c>
      <c r="O113" s="1">
        <v>11.85737977</v>
      </c>
      <c r="P113" s="1">
        <f t="shared" si="0"/>
        <v>1</v>
      </c>
      <c r="V113" t="str">
        <f t="shared" si="5"/>
        <v>Average Performer</v>
      </c>
      <c r="W113" t="e" cm="1">
        <f t="array" aca="1" ref="W113" ca="1">_xlfn.IFS(N113&gt;=20, "High",N113&gt;=10, "Medium", N113&lt;10, "Low")</f>
        <v>#NAME?</v>
      </c>
      <c r="X113" t="str">
        <f t="shared" si="6"/>
        <v>High Budget</v>
      </c>
      <c r="Y113" s="7">
        <f>VLOOKUP(G113, Lookup_table!B:C,2,0)</f>
        <v>0.75</v>
      </c>
      <c r="Z113" t="str">
        <f t="shared" si="7"/>
        <v>Inefficient Spend</v>
      </c>
      <c r="AA113" t="str">
        <f>VLOOKUP(H113, Lookup_table!E:F,2,0)</f>
        <v>High</v>
      </c>
    </row>
    <row r="114" spans="1:27" ht="17.5" customHeight="1" x14ac:dyDescent="0.35">
      <c r="A114" s="1" t="s">
        <v>231</v>
      </c>
      <c r="B114" s="2">
        <v>45321</v>
      </c>
      <c r="C114" s="1" t="s">
        <v>232</v>
      </c>
      <c r="E114" s="1" t="s">
        <v>35</v>
      </c>
      <c r="G114" s="1" t="s">
        <v>25</v>
      </c>
      <c r="H114" s="1" t="s">
        <v>36</v>
      </c>
      <c r="I114" s="1">
        <v>520.96</v>
      </c>
      <c r="J114" s="1">
        <v>31499</v>
      </c>
      <c r="K114" s="1">
        <v>2032</v>
      </c>
      <c r="L114" s="1">
        <v>53</v>
      </c>
      <c r="N114" s="1">
        <v>6.4509984439999997</v>
      </c>
      <c r="O114" s="1">
        <v>2.6082677169999999</v>
      </c>
      <c r="P114" s="1">
        <f t="shared" si="0"/>
        <v>3</v>
      </c>
      <c r="V114" t="str">
        <f t="shared" si="5"/>
        <v>Low Performer</v>
      </c>
      <c r="W114" t="e" cm="1">
        <f t="array" aca="1" ref="W114" ca="1">_xlfn.IFS(N114&gt;=20, "High",N114&gt;=10, "Medium", N114&lt;10, "Low")</f>
        <v>#NAME?</v>
      </c>
      <c r="X114" t="str">
        <f t="shared" si="6"/>
        <v>Medium Budget</v>
      </c>
      <c r="Y114" s="7">
        <f>VLOOKUP(G114, Lookup_table!B:C,2,0)</f>
        <v>0.5</v>
      </c>
      <c r="Z114" t="str">
        <f t="shared" si="7"/>
        <v>Efficient Spend</v>
      </c>
      <c r="AA114" t="str">
        <f>VLOOKUP(H114, Lookup_table!E:F,2,0)</f>
        <v>High</v>
      </c>
    </row>
    <row r="115" spans="1:27" ht="17.5" customHeight="1" x14ac:dyDescent="0.35">
      <c r="A115" s="1" t="s">
        <v>233</v>
      </c>
      <c r="B115" s="2">
        <v>45574</v>
      </c>
      <c r="C115" s="1" t="s">
        <v>234</v>
      </c>
      <c r="D115" s="1">
        <v>23</v>
      </c>
      <c r="E115" s="1" t="s">
        <v>23</v>
      </c>
      <c r="F115" s="1" t="s">
        <v>57</v>
      </c>
      <c r="G115" s="1" t="s">
        <v>46</v>
      </c>
      <c r="H115" s="1" t="s">
        <v>26</v>
      </c>
      <c r="I115" s="1">
        <v>1012.19</v>
      </c>
      <c r="J115" s="1">
        <v>49830</v>
      </c>
      <c r="K115" s="1">
        <v>4377</v>
      </c>
      <c r="L115" s="1">
        <v>47</v>
      </c>
      <c r="M115" s="1">
        <v>4</v>
      </c>
      <c r="N115" s="1">
        <v>8.7838651409999997</v>
      </c>
      <c r="O115" s="1">
        <v>1.0737948369999999</v>
      </c>
      <c r="P115" s="1">
        <f t="shared" si="0"/>
        <v>4</v>
      </c>
      <c r="V115" t="str">
        <f t="shared" si="5"/>
        <v>Low Performer</v>
      </c>
      <c r="W115" t="e" cm="1">
        <f t="array" aca="1" ref="W115" ca="1">_xlfn.IFS(N115&gt;=20, "High",N115&gt;=10, "Medium", N115&lt;10, "Low")</f>
        <v>#NAME?</v>
      </c>
      <c r="X115" t="str">
        <f t="shared" si="6"/>
        <v>High Budget</v>
      </c>
      <c r="Y115" s="7">
        <f>VLOOKUP(G115, Lookup_table!B:C,2,0)</f>
        <v>0.75</v>
      </c>
      <c r="Z115" t="str">
        <f t="shared" si="7"/>
        <v>Efficient Spend</v>
      </c>
      <c r="AA115" t="str">
        <f>VLOOKUP(H115, Lookup_table!E:F,2,0)</f>
        <v>High</v>
      </c>
    </row>
    <row r="116" spans="1:27" ht="17.5" customHeight="1" x14ac:dyDescent="0.35">
      <c r="A116" s="1" t="s">
        <v>235</v>
      </c>
      <c r="B116" s="2">
        <v>45612</v>
      </c>
      <c r="C116" s="1" t="s">
        <v>157</v>
      </c>
      <c r="D116" s="1">
        <v>40</v>
      </c>
      <c r="E116" s="1" t="s">
        <v>29</v>
      </c>
      <c r="F116" s="1" t="s">
        <v>45</v>
      </c>
      <c r="G116" s="1" t="s">
        <v>42</v>
      </c>
      <c r="H116" s="1" t="s">
        <v>26</v>
      </c>
      <c r="I116" s="1">
        <v>1670.57</v>
      </c>
      <c r="J116" s="1">
        <v>6743</v>
      </c>
      <c r="K116" s="1">
        <v>4490</v>
      </c>
      <c r="L116" s="1">
        <v>267</v>
      </c>
      <c r="M116" s="1">
        <v>1</v>
      </c>
      <c r="N116" s="1">
        <v>66.587572300000005</v>
      </c>
      <c r="O116" s="1">
        <v>5.9465478840000001</v>
      </c>
      <c r="P116" s="1">
        <f t="shared" si="0"/>
        <v>1</v>
      </c>
      <c r="V116" t="str">
        <f t="shared" si="5"/>
        <v>Top Performer</v>
      </c>
      <c r="W116" t="e" cm="1">
        <f t="array" aca="1" ref="W116" ca="1">_xlfn.IFS(N116&gt;=20, "High",N116&gt;=10, "Medium", N116&lt;10, "Low")</f>
        <v>#NAME?</v>
      </c>
      <c r="X116" t="str">
        <f t="shared" si="6"/>
        <v>High Budget</v>
      </c>
      <c r="Y116" s="7">
        <f>VLOOKUP(G116, Lookup_table!B:C,2,0)</f>
        <v>0.3</v>
      </c>
      <c r="Z116" t="str">
        <f t="shared" si="7"/>
        <v>Inefficient Spend</v>
      </c>
      <c r="AA116" t="str">
        <f>VLOOKUP(H116, Lookup_table!E:F,2,0)</f>
        <v>High</v>
      </c>
    </row>
    <row r="117" spans="1:27" ht="17.5" customHeight="1" x14ac:dyDescent="0.35">
      <c r="A117" s="1" t="s">
        <v>236</v>
      </c>
      <c r="B117" s="2">
        <v>45544</v>
      </c>
      <c r="C117" s="1" t="s">
        <v>178</v>
      </c>
      <c r="D117" s="1">
        <v>58</v>
      </c>
      <c r="E117" s="1" t="s">
        <v>29</v>
      </c>
      <c r="F117" s="1" t="s">
        <v>45</v>
      </c>
      <c r="G117" s="1" t="s">
        <v>42</v>
      </c>
      <c r="H117" s="1" t="s">
        <v>32</v>
      </c>
      <c r="I117" s="1">
        <v>1827.49</v>
      </c>
      <c r="J117" s="1">
        <v>24691</v>
      </c>
      <c r="K117" s="1">
        <v>2290</v>
      </c>
      <c r="L117" s="1">
        <v>231</v>
      </c>
      <c r="M117" s="1">
        <v>4</v>
      </c>
      <c r="N117" s="1">
        <v>9.2746344819999997</v>
      </c>
      <c r="O117" s="1">
        <v>10.087336240000001</v>
      </c>
      <c r="P117" s="1">
        <f t="shared" si="0"/>
        <v>4</v>
      </c>
      <c r="V117" t="str">
        <f t="shared" si="5"/>
        <v>Average Performer</v>
      </c>
      <c r="W117" t="e" cm="1">
        <f t="array" aca="1" ref="W117" ca="1">_xlfn.IFS(N117&gt;=20, "High",N117&gt;=10, "Medium", N117&lt;10, "Low")</f>
        <v>#NAME?</v>
      </c>
      <c r="X117" t="str">
        <f t="shared" si="6"/>
        <v>High Budget</v>
      </c>
      <c r="Y117" s="7">
        <f>VLOOKUP(G117, Lookup_table!B:C,2,0)</f>
        <v>0.3</v>
      </c>
      <c r="Z117" t="str">
        <f t="shared" si="7"/>
        <v>Inefficient Spend</v>
      </c>
      <c r="AA117" t="str">
        <f>VLOOKUP(H117, Lookup_table!E:F,2,0)</f>
        <v>Medium</v>
      </c>
    </row>
    <row r="118" spans="1:27" ht="17.5" customHeight="1" x14ac:dyDescent="0.35">
      <c r="A118" s="1" t="s">
        <v>237</v>
      </c>
      <c r="B118" s="2">
        <v>45482</v>
      </c>
      <c r="C118" s="1" t="s">
        <v>238</v>
      </c>
      <c r="D118" s="1">
        <v>36</v>
      </c>
      <c r="E118" s="1" t="s">
        <v>23</v>
      </c>
      <c r="F118" s="1" t="s">
        <v>24</v>
      </c>
      <c r="G118" s="1" t="s">
        <v>42</v>
      </c>
      <c r="H118" s="1" t="s">
        <v>62</v>
      </c>
      <c r="I118" s="1">
        <v>1461.83</v>
      </c>
      <c r="J118" s="1">
        <v>37177</v>
      </c>
      <c r="K118" s="1">
        <v>2771</v>
      </c>
      <c r="L118" s="1">
        <v>158</v>
      </c>
      <c r="N118" s="1">
        <v>7.4535330980000003</v>
      </c>
      <c r="O118" s="1">
        <v>5.7019126670000002</v>
      </c>
      <c r="P118" s="1">
        <f t="shared" si="0"/>
        <v>3</v>
      </c>
      <c r="V118" t="str">
        <f t="shared" si="5"/>
        <v>Average Performer</v>
      </c>
      <c r="W118" t="e" cm="1">
        <f t="array" aca="1" ref="W118" ca="1">_xlfn.IFS(N118&gt;=20, "High",N118&gt;=10, "Medium", N118&lt;10, "Low")</f>
        <v>#NAME?</v>
      </c>
      <c r="X118" t="str">
        <f t="shared" si="6"/>
        <v>High Budget</v>
      </c>
      <c r="Y118" s="7">
        <f>VLOOKUP(G118, Lookup_table!B:C,2,0)</f>
        <v>0.3</v>
      </c>
      <c r="Z118" t="str">
        <f t="shared" si="7"/>
        <v>Inefficient Spend</v>
      </c>
      <c r="AA118" t="str">
        <f>VLOOKUP(H118, Lookup_table!E:F,2,0)</f>
        <v>Medium</v>
      </c>
    </row>
    <row r="119" spans="1:27" ht="17.5" customHeight="1" x14ac:dyDescent="0.35">
      <c r="A119" s="1" t="s">
        <v>239</v>
      </c>
      <c r="B119" s="2">
        <v>45506</v>
      </c>
      <c r="C119" s="1" t="s">
        <v>90</v>
      </c>
      <c r="D119" s="1">
        <v>19</v>
      </c>
      <c r="E119" s="1" t="s">
        <v>29</v>
      </c>
      <c r="F119" s="1" t="s">
        <v>57</v>
      </c>
      <c r="G119" s="1" t="s">
        <v>61</v>
      </c>
      <c r="H119" s="1" t="s">
        <v>32</v>
      </c>
      <c r="I119" s="1">
        <v>982.76</v>
      </c>
      <c r="J119" s="1">
        <v>37435</v>
      </c>
      <c r="K119" s="1">
        <v>4776</v>
      </c>
      <c r="L119" s="1">
        <v>312</v>
      </c>
      <c r="N119" s="1">
        <v>12.75811406</v>
      </c>
      <c r="O119" s="1">
        <v>6.5326633169999999</v>
      </c>
      <c r="P119" s="1">
        <f t="shared" si="0"/>
        <v>3</v>
      </c>
      <c r="V119" t="str">
        <f t="shared" si="5"/>
        <v>Top Performer</v>
      </c>
      <c r="W119" t="e" cm="1">
        <f t="array" aca="1" ref="W119" ca="1">_xlfn.IFS(N119&gt;=20, "High",N119&gt;=10, "Medium", N119&lt;10, "Low")</f>
        <v>#NAME?</v>
      </c>
      <c r="X119" t="str">
        <f t="shared" si="6"/>
        <v>Medium Budget</v>
      </c>
      <c r="Y119" s="7">
        <f>VLOOKUP(G119, Lookup_table!B:C,2,0)</f>
        <v>0.2</v>
      </c>
      <c r="Z119" t="str">
        <f t="shared" si="7"/>
        <v>Inefficient Spend</v>
      </c>
      <c r="AA119" t="str">
        <f>VLOOKUP(H119, Lookup_table!E:F,2,0)</f>
        <v>Medium</v>
      </c>
    </row>
    <row r="120" spans="1:27" ht="17.5" customHeight="1" x14ac:dyDescent="0.35">
      <c r="A120" s="1" t="s">
        <v>240</v>
      </c>
      <c r="B120" s="2">
        <v>45518</v>
      </c>
      <c r="C120" s="1" t="s">
        <v>241</v>
      </c>
      <c r="D120" s="1">
        <v>63</v>
      </c>
      <c r="E120" s="1" t="s">
        <v>35</v>
      </c>
      <c r="F120" s="1" t="s">
        <v>41</v>
      </c>
      <c r="G120" s="1" t="s">
        <v>25</v>
      </c>
      <c r="H120" s="1" t="s">
        <v>32</v>
      </c>
      <c r="I120" s="1">
        <v>366.7</v>
      </c>
      <c r="J120" s="1">
        <v>3377</v>
      </c>
      <c r="K120" s="1">
        <v>1408</v>
      </c>
      <c r="L120" s="1">
        <v>95</v>
      </c>
      <c r="M120" s="1">
        <v>1</v>
      </c>
      <c r="N120" s="1">
        <v>41.693811070000002</v>
      </c>
      <c r="O120" s="1">
        <v>6.7471590910000003</v>
      </c>
      <c r="P120" s="1">
        <f t="shared" si="0"/>
        <v>1</v>
      </c>
      <c r="V120" t="str">
        <f t="shared" si="5"/>
        <v>Low Performer</v>
      </c>
      <c r="W120" t="e" cm="1">
        <f t="array" aca="1" ref="W120" ca="1">_xlfn.IFS(N120&gt;=20, "High",N120&gt;=10, "Medium", N120&lt;10, "Low")</f>
        <v>#NAME?</v>
      </c>
      <c r="X120" t="str">
        <f t="shared" si="6"/>
        <v>Low Budget</v>
      </c>
      <c r="Y120" s="7">
        <f>VLOOKUP(G120, Lookup_table!B:C,2,0)</f>
        <v>0.5</v>
      </c>
      <c r="Z120" t="str">
        <f t="shared" si="7"/>
        <v>Efficient Spend</v>
      </c>
      <c r="AA120" t="str">
        <f>VLOOKUP(H120, Lookup_table!E:F,2,0)</f>
        <v>Medium</v>
      </c>
    </row>
    <row r="121" spans="1:27" ht="17.5" customHeight="1" x14ac:dyDescent="0.35">
      <c r="A121" s="1" t="s">
        <v>242</v>
      </c>
      <c r="B121" s="2">
        <v>45304</v>
      </c>
      <c r="C121" s="1" t="s">
        <v>243</v>
      </c>
      <c r="D121" s="1">
        <v>50</v>
      </c>
      <c r="E121" s="1" t="s">
        <v>23</v>
      </c>
      <c r="F121" s="1" t="s">
        <v>45</v>
      </c>
      <c r="G121" s="1" t="s">
        <v>25</v>
      </c>
      <c r="H121" s="1" t="s">
        <v>36</v>
      </c>
      <c r="I121" s="1">
        <v>1592.51</v>
      </c>
      <c r="J121" s="1">
        <v>39679</v>
      </c>
      <c r="K121" s="1">
        <v>4507</v>
      </c>
      <c r="L121" s="1">
        <v>282</v>
      </c>
      <c r="M121" s="1">
        <v>4</v>
      </c>
      <c r="N121" s="1">
        <v>11.35865319</v>
      </c>
      <c r="O121" s="1">
        <v>6.2569336590000004</v>
      </c>
      <c r="P121" s="1">
        <f t="shared" si="0"/>
        <v>4</v>
      </c>
      <c r="V121" t="str">
        <f t="shared" si="5"/>
        <v>Top Performer</v>
      </c>
      <c r="W121" t="e" cm="1">
        <f t="array" aca="1" ref="W121" ca="1">_xlfn.IFS(N121&gt;=20, "High",N121&gt;=10, "Medium", N121&lt;10, "Low")</f>
        <v>#NAME?</v>
      </c>
      <c r="X121" t="str">
        <f t="shared" si="6"/>
        <v>High Budget</v>
      </c>
      <c r="Y121" s="7">
        <f>VLOOKUP(G121, Lookup_table!B:C,2,0)</f>
        <v>0.5</v>
      </c>
      <c r="Z121" t="str">
        <f t="shared" si="7"/>
        <v>Efficient Spend</v>
      </c>
      <c r="AA121" t="str">
        <f>VLOOKUP(H121, Lookup_table!E:F,2,0)</f>
        <v>High</v>
      </c>
    </row>
    <row r="122" spans="1:27" ht="17.5" customHeight="1" x14ac:dyDescent="0.35">
      <c r="A122" s="1" t="s">
        <v>244</v>
      </c>
      <c r="B122" s="2">
        <v>45426</v>
      </c>
      <c r="C122" s="1" t="s">
        <v>245</v>
      </c>
      <c r="D122" s="1">
        <v>25</v>
      </c>
      <c r="E122" s="1" t="s">
        <v>35</v>
      </c>
      <c r="F122" s="1" t="s">
        <v>57</v>
      </c>
      <c r="G122" s="1" t="s">
        <v>42</v>
      </c>
      <c r="H122" s="1" t="s">
        <v>36</v>
      </c>
      <c r="I122" s="1">
        <v>606.88</v>
      </c>
      <c r="J122" s="1">
        <v>23642</v>
      </c>
      <c r="K122" s="1">
        <v>2061</v>
      </c>
      <c r="L122" s="1">
        <v>334</v>
      </c>
      <c r="M122" s="1">
        <v>5</v>
      </c>
      <c r="N122" s="1">
        <v>8.7175365869999997</v>
      </c>
      <c r="O122" s="1">
        <v>16.205725380000001</v>
      </c>
      <c r="P122" s="1">
        <f t="shared" si="0"/>
        <v>5</v>
      </c>
      <c r="V122" t="str">
        <f t="shared" si="5"/>
        <v>Average Performer</v>
      </c>
      <c r="W122" t="e" cm="1">
        <f t="array" aca="1" ref="W122" ca="1">_xlfn.IFS(N122&gt;=20, "High",N122&gt;=10, "Medium", N122&lt;10, "Low")</f>
        <v>#NAME?</v>
      </c>
      <c r="X122" t="str">
        <f t="shared" si="6"/>
        <v>Medium Budget</v>
      </c>
      <c r="Y122" s="7">
        <f>VLOOKUP(G122, Lookup_table!B:C,2,0)</f>
        <v>0.3</v>
      </c>
      <c r="Z122" t="str">
        <f t="shared" si="7"/>
        <v>Efficient Spend</v>
      </c>
      <c r="AA122" t="str">
        <f>VLOOKUP(H122, Lookup_table!E:F,2,0)</f>
        <v>High</v>
      </c>
    </row>
    <row r="123" spans="1:27" ht="17.5" customHeight="1" x14ac:dyDescent="0.35">
      <c r="A123" s="1" t="s">
        <v>246</v>
      </c>
      <c r="B123" s="2">
        <v>45398</v>
      </c>
      <c r="C123" s="1" t="s">
        <v>38</v>
      </c>
      <c r="D123" s="1">
        <v>22</v>
      </c>
      <c r="E123" s="1" t="s">
        <v>29</v>
      </c>
      <c r="F123" s="1" t="s">
        <v>57</v>
      </c>
      <c r="G123" s="1" t="s">
        <v>46</v>
      </c>
      <c r="H123" s="1" t="s">
        <v>36</v>
      </c>
      <c r="I123" s="1">
        <v>371.95</v>
      </c>
      <c r="J123" s="1">
        <v>31624</v>
      </c>
      <c r="K123" s="1">
        <v>1475</v>
      </c>
      <c r="L123" s="1">
        <v>103</v>
      </c>
      <c r="M123" s="1">
        <v>5</v>
      </c>
      <c r="N123" s="1">
        <v>4.6641791039999996</v>
      </c>
      <c r="O123" s="1">
        <v>6.9830508470000003</v>
      </c>
      <c r="P123" s="1">
        <f t="shared" si="0"/>
        <v>5</v>
      </c>
      <c r="V123" t="str">
        <f t="shared" si="5"/>
        <v>Average Performer</v>
      </c>
      <c r="W123" t="e" cm="1">
        <f t="array" aca="1" ref="W123" ca="1">_xlfn.IFS(N123&gt;=20, "High",N123&gt;=10, "Medium", N123&lt;10, "Low")</f>
        <v>#NAME?</v>
      </c>
      <c r="X123" t="str">
        <f t="shared" si="6"/>
        <v>Low Budget</v>
      </c>
      <c r="Y123" s="7">
        <f>VLOOKUP(G123, Lookup_table!B:C,2,0)</f>
        <v>0.75</v>
      </c>
      <c r="Z123" t="str">
        <f t="shared" si="7"/>
        <v>Efficient Spend</v>
      </c>
      <c r="AA123" t="str">
        <f>VLOOKUP(H123, Lookup_table!E:F,2,0)</f>
        <v>High</v>
      </c>
    </row>
    <row r="124" spans="1:27" ht="17.5" customHeight="1" x14ac:dyDescent="0.35">
      <c r="A124" s="1" t="s">
        <v>247</v>
      </c>
      <c r="B124" s="2">
        <v>45402</v>
      </c>
      <c r="C124" s="1" t="s">
        <v>40</v>
      </c>
      <c r="D124" s="1">
        <v>47</v>
      </c>
      <c r="E124" s="1" t="s">
        <v>29</v>
      </c>
      <c r="F124" s="1" t="s">
        <v>45</v>
      </c>
      <c r="G124" s="1" t="s">
        <v>61</v>
      </c>
      <c r="H124" s="1" t="s">
        <v>26</v>
      </c>
      <c r="I124" s="1">
        <v>406.11</v>
      </c>
      <c r="J124" s="1">
        <v>6274</v>
      </c>
      <c r="K124" s="1">
        <v>4683</v>
      </c>
      <c r="L124" s="1">
        <v>300</v>
      </c>
      <c r="M124" s="1">
        <v>1</v>
      </c>
      <c r="N124" s="1">
        <v>74.641377109999993</v>
      </c>
      <c r="O124" s="1">
        <v>6.4061499040000003</v>
      </c>
      <c r="P124" s="1">
        <f t="shared" si="0"/>
        <v>1</v>
      </c>
      <c r="V124" t="str">
        <f t="shared" si="5"/>
        <v>Top Performer</v>
      </c>
      <c r="W124" t="e" cm="1">
        <f t="array" aca="1" ref="W124" ca="1">_xlfn.IFS(N124&gt;=20, "High",N124&gt;=10, "Medium", N124&lt;10, "Low")</f>
        <v>#NAME?</v>
      </c>
      <c r="X124" t="str">
        <f t="shared" si="6"/>
        <v>Low Budget</v>
      </c>
      <c r="Y124" s="7">
        <f>VLOOKUP(G124, Lookup_table!B:C,2,0)</f>
        <v>0.2</v>
      </c>
      <c r="Z124" t="str">
        <f t="shared" si="7"/>
        <v>Efficient Spend</v>
      </c>
      <c r="AA124" t="str">
        <f>VLOOKUP(H124, Lookup_table!E:F,2,0)</f>
        <v>High</v>
      </c>
    </row>
    <row r="125" spans="1:27" ht="17.5" customHeight="1" x14ac:dyDescent="0.35">
      <c r="A125" s="1" t="s">
        <v>248</v>
      </c>
      <c r="B125" s="2">
        <v>45641</v>
      </c>
      <c r="C125" s="1" t="s">
        <v>34</v>
      </c>
      <c r="D125" s="1">
        <v>30</v>
      </c>
      <c r="E125" s="1" t="s">
        <v>29</v>
      </c>
      <c r="F125" s="1" t="s">
        <v>30</v>
      </c>
      <c r="G125" s="1" t="s">
        <v>61</v>
      </c>
      <c r="H125" s="1" t="s">
        <v>62</v>
      </c>
      <c r="I125" s="1">
        <v>1414.99</v>
      </c>
      <c r="J125" s="1">
        <v>36111</v>
      </c>
      <c r="K125" s="1">
        <v>1260</v>
      </c>
      <c r="L125" s="1">
        <v>176</v>
      </c>
      <c r="M125" s="1">
        <v>1</v>
      </c>
      <c r="N125" s="1">
        <v>3.4892415049999999</v>
      </c>
      <c r="O125" s="1">
        <v>13.968253969999999</v>
      </c>
      <c r="P125" s="1">
        <f t="shared" si="0"/>
        <v>1</v>
      </c>
      <c r="V125" t="str">
        <f t="shared" si="5"/>
        <v>Average Performer</v>
      </c>
      <c r="W125" t="e" cm="1">
        <f t="array" aca="1" ref="W125" ca="1">_xlfn.IFS(N125&gt;=20, "High",N125&gt;=10, "Medium", N125&lt;10, "Low")</f>
        <v>#NAME?</v>
      </c>
      <c r="X125" t="str">
        <f t="shared" si="6"/>
        <v>High Budget</v>
      </c>
      <c r="Y125" s="7">
        <f>VLOOKUP(G125, Lookup_table!B:C,2,0)</f>
        <v>0.2</v>
      </c>
      <c r="Z125" t="str">
        <f t="shared" si="7"/>
        <v>Inefficient Spend</v>
      </c>
      <c r="AA125" t="str">
        <f>VLOOKUP(H125, Lookup_table!E:F,2,0)</f>
        <v>Medium</v>
      </c>
    </row>
    <row r="126" spans="1:27" ht="17.5" customHeight="1" x14ac:dyDescent="0.35">
      <c r="A126" s="1" t="s">
        <v>249</v>
      </c>
      <c r="B126" s="2">
        <v>45526</v>
      </c>
      <c r="C126" s="1" t="s">
        <v>100</v>
      </c>
      <c r="D126" s="1">
        <v>54</v>
      </c>
      <c r="E126" s="1" t="s">
        <v>35</v>
      </c>
      <c r="F126" s="1" t="s">
        <v>50</v>
      </c>
      <c r="G126" s="1" t="s">
        <v>42</v>
      </c>
      <c r="H126" s="1" t="s">
        <v>62</v>
      </c>
      <c r="I126" s="1">
        <v>1846.41</v>
      </c>
      <c r="J126" s="1">
        <v>37794</v>
      </c>
      <c r="K126" s="1">
        <v>2188</v>
      </c>
      <c r="L126" s="1">
        <v>245</v>
      </c>
      <c r="N126" s="1">
        <v>5.7892787209999996</v>
      </c>
      <c r="O126" s="1">
        <v>11.197440589999999</v>
      </c>
      <c r="P126" s="1">
        <f t="shared" si="0"/>
        <v>3</v>
      </c>
      <c r="V126" t="str">
        <f t="shared" si="5"/>
        <v>Average Performer</v>
      </c>
      <c r="W126" t="e" cm="1">
        <f t="array" aca="1" ref="W126" ca="1">_xlfn.IFS(N126&gt;=20, "High",N126&gt;=10, "Medium", N126&lt;10, "Low")</f>
        <v>#NAME?</v>
      </c>
      <c r="X126" t="str">
        <f t="shared" si="6"/>
        <v>High Budget</v>
      </c>
      <c r="Y126" s="7">
        <f>VLOOKUP(G126, Lookup_table!B:C,2,0)</f>
        <v>0.3</v>
      </c>
      <c r="Z126" t="str">
        <f t="shared" si="7"/>
        <v>Inefficient Spend</v>
      </c>
      <c r="AA126" t="str">
        <f>VLOOKUP(H126, Lookup_table!E:F,2,0)</f>
        <v>Medium</v>
      </c>
    </row>
    <row r="127" spans="1:27" ht="17.5" customHeight="1" x14ac:dyDescent="0.35">
      <c r="A127" s="1" t="s">
        <v>250</v>
      </c>
      <c r="B127" s="2">
        <v>45309</v>
      </c>
      <c r="C127" s="1" t="s">
        <v>251</v>
      </c>
      <c r="D127" s="1">
        <v>18</v>
      </c>
      <c r="E127" s="1" t="s">
        <v>35</v>
      </c>
      <c r="F127" s="1" t="s">
        <v>30</v>
      </c>
      <c r="G127" s="1" t="s">
        <v>25</v>
      </c>
      <c r="H127" s="1" t="s">
        <v>26</v>
      </c>
      <c r="I127" s="1">
        <v>311.69</v>
      </c>
      <c r="J127" s="1">
        <v>43403</v>
      </c>
      <c r="K127" s="1">
        <v>2605</v>
      </c>
      <c r="L127" s="1">
        <v>101</v>
      </c>
      <c r="M127" s="1">
        <v>3</v>
      </c>
      <c r="N127" s="1">
        <v>6.0018892700000004</v>
      </c>
      <c r="O127" s="1">
        <v>3.8771593090000001</v>
      </c>
      <c r="P127" s="1">
        <f t="shared" si="0"/>
        <v>3</v>
      </c>
      <c r="V127" t="str">
        <f t="shared" si="5"/>
        <v>Average Performer</v>
      </c>
      <c r="W127" t="e" cm="1">
        <f t="array" aca="1" ref="W127" ca="1">_xlfn.IFS(N127&gt;=20, "High",N127&gt;=10, "Medium", N127&lt;10, "Low")</f>
        <v>#NAME?</v>
      </c>
      <c r="X127" t="str">
        <f t="shared" si="6"/>
        <v>Low Budget</v>
      </c>
      <c r="Y127" s="7">
        <f>VLOOKUP(G127, Lookup_table!B:C,2,0)</f>
        <v>0.5</v>
      </c>
      <c r="Z127" t="str">
        <f t="shared" si="7"/>
        <v>Efficient Spend</v>
      </c>
      <c r="AA127" t="str">
        <f>VLOOKUP(H127, Lookup_table!E:F,2,0)</f>
        <v>High</v>
      </c>
    </row>
    <row r="128" spans="1:27" ht="17.5" customHeight="1" x14ac:dyDescent="0.35">
      <c r="A128" s="1" t="s">
        <v>252</v>
      </c>
      <c r="B128" s="2">
        <v>45297</v>
      </c>
      <c r="C128" s="1" t="s">
        <v>253</v>
      </c>
      <c r="E128" s="1" t="s">
        <v>23</v>
      </c>
      <c r="G128" s="1" t="s">
        <v>42</v>
      </c>
      <c r="H128" s="1" t="s">
        <v>32</v>
      </c>
      <c r="I128" s="1">
        <v>1961.14</v>
      </c>
      <c r="J128" s="1">
        <v>25099</v>
      </c>
      <c r="K128" s="1">
        <v>4902</v>
      </c>
      <c r="L128" s="1">
        <v>85</v>
      </c>
      <c r="N128" s="1">
        <v>19.530658590000002</v>
      </c>
      <c r="O128" s="1">
        <v>1.733986128</v>
      </c>
      <c r="P128" s="1">
        <f t="shared" si="0"/>
        <v>3</v>
      </c>
      <c r="V128" t="str">
        <f t="shared" si="5"/>
        <v>Low Performer</v>
      </c>
      <c r="W128" t="e" cm="1">
        <f t="array" aca="1" ref="W128" ca="1">_xlfn.IFS(N128&gt;=20, "High",N128&gt;=10, "Medium", N128&lt;10, "Low")</f>
        <v>#NAME?</v>
      </c>
      <c r="X128" t="str">
        <f t="shared" si="6"/>
        <v>High Budget</v>
      </c>
      <c r="Y128" s="7">
        <f>VLOOKUP(G128, Lookup_table!B:C,2,0)</f>
        <v>0.3</v>
      </c>
      <c r="Z128" t="str">
        <f t="shared" si="7"/>
        <v>Inefficient Spend</v>
      </c>
      <c r="AA128" t="str">
        <f>VLOOKUP(H128, Lookup_table!E:F,2,0)</f>
        <v>Medium</v>
      </c>
    </row>
    <row r="129" spans="1:27" ht="17.5" customHeight="1" x14ac:dyDescent="0.35">
      <c r="A129" s="1" t="s">
        <v>254</v>
      </c>
      <c r="B129" s="2">
        <v>45627</v>
      </c>
      <c r="C129" s="1" t="s">
        <v>251</v>
      </c>
      <c r="D129" s="1">
        <v>20</v>
      </c>
      <c r="E129" s="1" t="s">
        <v>29</v>
      </c>
      <c r="F129" s="1" t="s">
        <v>45</v>
      </c>
      <c r="G129" s="1" t="s">
        <v>61</v>
      </c>
      <c r="H129" s="1" t="s">
        <v>62</v>
      </c>
      <c r="I129" s="1">
        <v>1555.39</v>
      </c>
      <c r="J129" s="1">
        <v>31478</v>
      </c>
      <c r="K129" s="1">
        <v>4363</v>
      </c>
      <c r="L129" s="1">
        <v>34</v>
      </c>
      <c r="M129" s="1">
        <v>5</v>
      </c>
      <c r="N129" s="1">
        <v>13.86047398</v>
      </c>
      <c r="O129" s="1">
        <v>0.77928031200000003</v>
      </c>
      <c r="P129" s="1">
        <f t="shared" si="0"/>
        <v>5</v>
      </c>
      <c r="V129" t="str">
        <f t="shared" si="5"/>
        <v>Low Performer</v>
      </c>
      <c r="W129" t="e" cm="1">
        <f t="array" aca="1" ref="W129" ca="1">_xlfn.IFS(N129&gt;=20, "High",N129&gt;=10, "Medium", N129&lt;10, "Low")</f>
        <v>#NAME?</v>
      </c>
      <c r="X129" t="str">
        <f t="shared" si="6"/>
        <v>High Budget</v>
      </c>
      <c r="Y129" s="7">
        <f>VLOOKUP(G129, Lookup_table!B:C,2,0)</f>
        <v>0.2</v>
      </c>
      <c r="Z129" t="str">
        <f t="shared" si="7"/>
        <v>Inefficient Spend</v>
      </c>
      <c r="AA129" t="str">
        <f>VLOOKUP(H129, Lookup_table!E:F,2,0)</f>
        <v>Medium</v>
      </c>
    </row>
    <row r="130" spans="1:27" ht="17.5" customHeight="1" x14ac:dyDescent="0.35">
      <c r="A130" s="1" t="s">
        <v>255</v>
      </c>
      <c r="B130" s="2">
        <v>45341</v>
      </c>
      <c r="C130" s="1" t="s">
        <v>256</v>
      </c>
      <c r="D130" s="1">
        <v>39</v>
      </c>
      <c r="E130" s="1" t="s">
        <v>29</v>
      </c>
      <c r="F130" s="1" t="s">
        <v>24</v>
      </c>
      <c r="G130" s="1" t="s">
        <v>42</v>
      </c>
      <c r="H130" s="1" t="s">
        <v>32</v>
      </c>
      <c r="I130" s="1">
        <v>731.27</v>
      </c>
      <c r="J130" s="1">
        <v>12521</v>
      </c>
      <c r="K130" s="1">
        <v>4634</v>
      </c>
      <c r="L130" s="1">
        <v>372</v>
      </c>
      <c r="M130" s="1">
        <v>5</v>
      </c>
      <c r="N130" s="1">
        <v>37.009823500000003</v>
      </c>
      <c r="O130" s="1">
        <v>8.027621925</v>
      </c>
      <c r="P130" s="1">
        <f t="shared" si="0"/>
        <v>5</v>
      </c>
      <c r="V130" t="str">
        <f t="shared" ref="V130:V193" si="8">IF(AND(L130&gt;200,K130&gt;3000),"Top Performer", IF(AND(L130&gt;=100,K130&gt;=1000),"Average Performer","Low Performer"))</f>
        <v>Top Performer</v>
      </c>
      <c r="W130" t="e" cm="1">
        <f t="array" aca="1" ref="W130" ca="1">_xlfn.IFS(N130&gt;=20, "High",N130&gt;=10, "Medium", N130&lt;10, "Low")</f>
        <v>#NAME?</v>
      </c>
      <c r="X130" t="str">
        <f t="shared" ref="X130:X193" si="9">IF(I130&gt;1000, "High Budget",IF(I130&gt;=500, "Medium Budget", "Low Budget"))</f>
        <v>Medium Budget</v>
      </c>
      <c r="Y130" s="7">
        <f>VLOOKUP(G130, Lookup_table!B:C,2,0)</f>
        <v>0.3</v>
      </c>
      <c r="Z130" t="str">
        <f t="shared" ref="Z130:Z193" si="10">IF(I130/K130&lt;Y130, "Efficient Spend", "Inefficient Spend")</f>
        <v>Efficient Spend</v>
      </c>
      <c r="AA130" t="str">
        <f>VLOOKUP(H130, Lookup_table!E:F,2,0)</f>
        <v>Medium</v>
      </c>
    </row>
    <row r="131" spans="1:27" ht="17.5" customHeight="1" x14ac:dyDescent="0.35">
      <c r="A131" s="1" t="s">
        <v>257</v>
      </c>
      <c r="B131" s="2">
        <v>45624</v>
      </c>
      <c r="C131" s="1" t="s">
        <v>121</v>
      </c>
      <c r="D131" s="1">
        <v>40</v>
      </c>
      <c r="E131" s="1" t="s">
        <v>29</v>
      </c>
      <c r="F131" s="1" t="s">
        <v>30</v>
      </c>
      <c r="G131" s="1" t="s">
        <v>31</v>
      </c>
      <c r="H131" s="1" t="s">
        <v>36</v>
      </c>
      <c r="I131" s="1">
        <v>178.21</v>
      </c>
      <c r="J131" s="1">
        <v>10056</v>
      </c>
      <c r="K131" s="1">
        <v>1992</v>
      </c>
      <c r="L131" s="1">
        <v>322</v>
      </c>
      <c r="M131" s="1">
        <v>1</v>
      </c>
      <c r="N131" s="1">
        <v>19.809069210000001</v>
      </c>
      <c r="O131" s="1">
        <v>16.164658630000002</v>
      </c>
      <c r="P131" s="1">
        <f t="shared" si="0"/>
        <v>1</v>
      </c>
      <c r="V131" t="str">
        <f t="shared" si="8"/>
        <v>Average Performer</v>
      </c>
      <c r="W131" t="e" cm="1">
        <f t="array" aca="1" ref="W131" ca="1">_xlfn.IFS(N131&gt;=20, "High",N131&gt;=10, "Medium", N131&lt;10, "Low")</f>
        <v>#NAME?</v>
      </c>
      <c r="X131" t="str">
        <f t="shared" si="9"/>
        <v>Low Budget</v>
      </c>
      <c r="Y131" s="7">
        <f>VLOOKUP(G131, Lookup_table!B:C,2,0)</f>
        <v>1.2</v>
      </c>
      <c r="Z131" t="str">
        <f t="shared" si="10"/>
        <v>Efficient Spend</v>
      </c>
      <c r="AA131" t="str">
        <f>VLOOKUP(H131, Lookup_table!E:F,2,0)</f>
        <v>High</v>
      </c>
    </row>
    <row r="132" spans="1:27" ht="17.5" customHeight="1" x14ac:dyDescent="0.35">
      <c r="A132" s="1" t="s">
        <v>258</v>
      </c>
      <c r="B132" s="2">
        <v>45397</v>
      </c>
      <c r="C132" s="1" t="s">
        <v>259</v>
      </c>
      <c r="E132" s="1" t="s">
        <v>35</v>
      </c>
      <c r="G132" s="1" t="s">
        <v>61</v>
      </c>
      <c r="H132" s="1" t="s">
        <v>32</v>
      </c>
      <c r="I132" s="1">
        <v>858.1</v>
      </c>
      <c r="J132" s="1">
        <v>16509</v>
      </c>
      <c r="K132" s="1">
        <v>1411</v>
      </c>
      <c r="L132" s="1">
        <v>139</v>
      </c>
      <c r="N132" s="1">
        <v>8.5468532320000001</v>
      </c>
      <c r="O132" s="1">
        <v>9.8511693830000002</v>
      </c>
      <c r="P132" s="1">
        <f t="shared" si="0"/>
        <v>3</v>
      </c>
      <c r="V132" t="str">
        <f t="shared" si="8"/>
        <v>Average Performer</v>
      </c>
      <c r="W132" t="e" cm="1">
        <f t="array" aca="1" ref="W132" ca="1">_xlfn.IFS(N132&gt;=20, "High",N132&gt;=10, "Medium", N132&lt;10, "Low")</f>
        <v>#NAME?</v>
      </c>
      <c r="X132" t="str">
        <f t="shared" si="9"/>
        <v>Medium Budget</v>
      </c>
      <c r="Y132" s="7">
        <f>VLOOKUP(G132, Lookup_table!B:C,2,0)</f>
        <v>0.2</v>
      </c>
      <c r="Z132" t="str">
        <f t="shared" si="10"/>
        <v>Inefficient Spend</v>
      </c>
      <c r="AA132" t="str">
        <f>VLOOKUP(H132, Lookup_table!E:F,2,0)</f>
        <v>Medium</v>
      </c>
    </row>
    <row r="133" spans="1:27" ht="17.5" customHeight="1" x14ac:dyDescent="0.35">
      <c r="A133" s="1" t="s">
        <v>260</v>
      </c>
      <c r="B133" s="2">
        <v>45474</v>
      </c>
      <c r="C133" s="1" t="s">
        <v>261</v>
      </c>
      <c r="D133" s="1">
        <v>48</v>
      </c>
      <c r="E133" s="1" t="s">
        <v>29</v>
      </c>
      <c r="F133" s="1" t="s">
        <v>45</v>
      </c>
      <c r="G133" s="1" t="s">
        <v>31</v>
      </c>
      <c r="H133" s="1" t="s">
        <v>36</v>
      </c>
      <c r="I133" s="1">
        <v>1106.97</v>
      </c>
      <c r="J133" s="1">
        <v>23254</v>
      </c>
      <c r="K133" s="1">
        <v>4996</v>
      </c>
      <c r="L133" s="1">
        <v>131</v>
      </c>
      <c r="M133" s="1">
        <v>3</v>
      </c>
      <c r="N133" s="1">
        <v>21.484475790000001</v>
      </c>
      <c r="O133" s="1">
        <v>2.6220976779999998</v>
      </c>
      <c r="P133" s="1">
        <f t="shared" si="0"/>
        <v>3</v>
      </c>
      <c r="V133" t="str">
        <f t="shared" si="8"/>
        <v>Average Performer</v>
      </c>
      <c r="W133" t="e" cm="1">
        <f t="array" aca="1" ref="W133" ca="1">_xlfn.IFS(N133&gt;=20, "High",N133&gt;=10, "Medium", N133&lt;10, "Low")</f>
        <v>#NAME?</v>
      </c>
      <c r="X133" t="str">
        <f t="shared" si="9"/>
        <v>High Budget</v>
      </c>
      <c r="Y133" s="7">
        <f>VLOOKUP(G133, Lookup_table!B:C,2,0)</f>
        <v>1.2</v>
      </c>
      <c r="Z133" t="str">
        <f t="shared" si="10"/>
        <v>Efficient Spend</v>
      </c>
      <c r="AA133" t="str">
        <f>VLOOKUP(H133, Lookup_table!E:F,2,0)</f>
        <v>High</v>
      </c>
    </row>
    <row r="134" spans="1:27" ht="17.5" customHeight="1" x14ac:dyDescent="0.35">
      <c r="A134" s="1" t="s">
        <v>262</v>
      </c>
      <c r="B134" s="2">
        <v>45467</v>
      </c>
      <c r="C134" s="1" t="s">
        <v>95</v>
      </c>
      <c r="D134" s="1">
        <v>40</v>
      </c>
      <c r="E134" s="1" t="s">
        <v>29</v>
      </c>
      <c r="F134" s="1" t="s">
        <v>24</v>
      </c>
      <c r="G134" s="1" t="s">
        <v>25</v>
      </c>
      <c r="H134" s="1" t="s">
        <v>36</v>
      </c>
      <c r="I134" s="1">
        <v>732.38</v>
      </c>
      <c r="J134" s="1">
        <v>9318</v>
      </c>
      <c r="K134" s="1">
        <v>108</v>
      </c>
      <c r="L134" s="1">
        <v>280</v>
      </c>
      <c r="M134" s="1">
        <v>2</v>
      </c>
      <c r="N134" s="1">
        <v>1.159047006</v>
      </c>
      <c r="O134" s="1">
        <v>259.2592593</v>
      </c>
      <c r="P134" s="1">
        <f t="shared" si="0"/>
        <v>2</v>
      </c>
      <c r="V134" t="str">
        <f t="shared" si="8"/>
        <v>Low Performer</v>
      </c>
      <c r="W134" t="e" cm="1">
        <f t="array" aca="1" ref="W134" ca="1">_xlfn.IFS(N134&gt;=20, "High",N134&gt;=10, "Medium", N134&lt;10, "Low")</f>
        <v>#NAME?</v>
      </c>
      <c r="X134" t="str">
        <f t="shared" si="9"/>
        <v>Medium Budget</v>
      </c>
      <c r="Y134" s="7">
        <f>VLOOKUP(G134, Lookup_table!B:C,2,0)</f>
        <v>0.5</v>
      </c>
      <c r="Z134" t="str">
        <f t="shared" si="10"/>
        <v>Inefficient Spend</v>
      </c>
      <c r="AA134" t="str">
        <f>VLOOKUP(H134, Lookup_table!E:F,2,0)</f>
        <v>High</v>
      </c>
    </row>
    <row r="135" spans="1:27" ht="17.5" customHeight="1" x14ac:dyDescent="0.35">
      <c r="A135" s="1" t="s">
        <v>263</v>
      </c>
      <c r="B135" s="2">
        <v>45379</v>
      </c>
      <c r="C135" s="1" t="s">
        <v>212</v>
      </c>
      <c r="D135" s="1">
        <v>41</v>
      </c>
      <c r="E135" s="1" t="s">
        <v>23</v>
      </c>
      <c r="F135" s="1" t="s">
        <v>57</v>
      </c>
      <c r="G135" s="1" t="s">
        <v>42</v>
      </c>
      <c r="H135" s="1" t="s">
        <v>62</v>
      </c>
      <c r="I135" s="1">
        <v>1635.18</v>
      </c>
      <c r="J135" s="1">
        <v>33244</v>
      </c>
      <c r="K135" s="1">
        <v>1876</v>
      </c>
      <c r="L135" s="1">
        <v>83</v>
      </c>
      <c r="M135" s="1">
        <v>4</v>
      </c>
      <c r="N135" s="1">
        <v>5.6431235710000003</v>
      </c>
      <c r="O135" s="1">
        <v>4.4243070360000001</v>
      </c>
      <c r="P135" s="1">
        <f t="shared" si="0"/>
        <v>4</v>
      </c>
      <c r="V135" t="str">
        <f t="shared" si="8"/>
        <v>Low Performer</v>
      </c>
      <c r="W135" t="e" cm="1">
        <f t="array" aca="1" ref="W135" ca="1">_xlfn.IFS(N135&gt;=20, "High",N135&gt;=10, "Medium", N135&lt;10, "Low")</f>
        <v>#NAME?</v>
      </c>
      <c r="X135" t="str">
        <f t="shared" si="9"/>
        <v>High Budget</v>
      </c>
      <c r="Y135" s="7">
        <f>VLOOKUP(G135, Lookup_table!B:C,2,0)</f>
        <v>0.3</v>
      </c>
      <c r="Z135" t="str">
        <f t="shared" si="10"/>
        <v>Inefficient Spend</v>
      </c>
      <c r="AA135" t="str">
        <f>VLOOKUP(H135, Lookup_table!E:F,2,0)</f>
        <v>Medium</v>
      </c>
    </row>
    <row r="136" spans="1:27" ht="17.5" customHeight="1" x14ac:dyDescent="0.35">
      <c r="A136" s="1" t="s">
        <v>264</v>
      </c>
      <c r="B136" s="2">
        <v>45441</v>
      </c>
      <c r="C136" s="1" t="s">
        <v>259</v>
      </c>
      <c r="D136" s="1">
        <v>61</v>
      </c>
      <c r="E136" s="1" t="s">
        <v>23</v>
      </c>
      <c r="F136" s="1" t="s">
        <v>41</v>
      </c>
      <c r="G136" s="1" t="s">
        <v>61</v>
      </c>
      <c r="H136" s="1" t="s">
        <v>26</v>
      </c>
      <c r="I136" s="1">
        <v>785.86</v>
      </c>
      <c r="J136" s="1">
        <v>35340</v>
      </c>
      <c r="K136" s="1">
        <v>2350</v>
      </c>
      <c r="L136" s="1">
        <v>367</v>
      </c>
      <c r="M136" s="1">
        <v>4</v>
      </c>
      <c r="N136" s="1">
        <v>6.649688738</v>
      </c>
      <c r="O136" s="1">
        <v>15.617021279999999</v>
      </c>
      <c r="P136" s="1">
        <f t="shared" si="0"/>
        <v>4</v>
      </c>
      <c r="V136" t="str">
        <f t="shared" si="8"/>
        <v>Average Performer</v>
      </c>
      <c r="W136" t="e" cm="1">
        <f t="array" aca="1" ref="W136" ca="1">_xlfn.IFS(N136&gt;=20, "High",N136&gt;=10, "Medium", N136&lt;10, "Low")</f>
        <v>#NAME?</v>
      </c>
      <c r="X136" t="str">
        <f t="shared" si="9"/>
        <v>Medium Budget</v>
      </c>
      <c r="Y136" s="7">
        <f>VLOOKUP(G136, Lookup_table!B:C,2,0)</f>
        <v>0.2</v>
      </c>
      <c r="Z136" t="str">
        <f t="shared" si="10"/>
        <v>Inefficient Spend</v>
      </c>
      <c r="AA136" t="str">
        <f>VLOOKUP(H136, Lookup_table!E:F,2,0)</f>
        <v>High</v>
      </c>
    </row>
    <row r="137" spans="1:27" ht="17.5" customHeight="1" x14ac:dyDescent="0.35">
      <c r="A137" s="1" t="s">
        <v>265</v>
      </c>
      <c r="B137" s="2">
        <v>45552</v>
      </c>
      <c r="C137" s="1" t="s">
        <v>147</v>
      </c>
      <c r="D137" s="1">
        <v>28</v>
      </c>
      <c r="E137" s="1" t="s">
        <v>35</v>
      </c>
      <c r="F137" s="1" t="s">
        <v>50</v>
      </c>
      <c r="G137" s="1" t="s">
        <v>31</v>
      </c>
      <c r="H137" s="1" t="s">
        <v>36</v>
      </c>
      <c r="I137" s="1">
        <v>1086.05</v>
      </c>
      <c r="J137" s="1">
        <v>6621</v>
      </c>
      <c r="K137" s="1">
        <v>720</v>
      </c>
      <c r="L137" s="1">
        <v>329</v>
      </c>
      <c r="M137" s="1">
        <v>4</v>
      </c>
      <c r="N137" s="1">
        <v>10.87449026</v>
      </c>
      <c r="O137" s="1">
        <v>45.694444439999998</v>
      </c>
      <c r="P137" s="1">
        <f t="shared" si="0"/>
        <v>4</v>
      </c>
      <c r="V137" t="str">
        <f t="shared" si="8"/>
        <v>Low Performer</v>
      </c>
      <c r="W137" t="e" cm="1">
        <f t="array" aca="1" ref="W137" ca="1">_xlfn.IFS(N137&gt;=20, "High",N137&gt;=10, "Medium", N137&lt;10, "Low")</f>
        <v>#NAME?</v>
      </c>
      <c r="X137" t="str">
        <f t="shared" si="9"/>
        <v>High Budget</v>
      </c>
      <c r="Y137" s="7">
        <f>VLOOKUP(G137, Lookup_table!B:C,2,0)</f>
        <v>1.2</v>
      </c>
      <c r="Z137" t="str">
        <f t="shared" si="10"/>
        <v>Inefficient Spend</v>
      </c>
      <c r="AA137" t="str">
        <f>VLOOKUP(H137, Lookup_table!E:F,2,0)</f>
        <v>High</v>
      </c>
    </row>
    <row r="138" spans="1:27" ht="17.5" customHeight="1" x14ac:dyDescent="0.35">
      <c r="A138" s="1" t="s">
        <v>266</v>
      </c>
      <c r="B138" s="2">
        <v>45368</v>
      </c>
      <c r="C138" s="1" t="s">
        <v>92</v>
      </c>
      <c r="D138" s="1">
        <v>26</v>
      </c>
      <c r="E138" s="1" t="s">
        <v>23</v>
      </c>
      <c r="F138" s="1" t="s">
        <v>24</v>
      </c>
      <c r="G138" s="1" t="s">
        <v>31</v>
      </c>
      <c r="H138" s="1" t="s">
        <v>36</v>
      </c>
      <c r="I138" s="1">
        <v>1176.19</v>
      </c>
      <c r="J138" s="1">
        <v>26486</v>
      </c>
      <c r="K138" s="1">
        <v>3603</v>
      </c>
      <c r="L138" s="1">
        <v>38</v>
      </c>
      <c r="M138" s="1">
        <v>1</v>
      </c>
      <c r="N138" s="1">
        <v>13.603413120000001</v>
      </c>
      <c r="O138" s="1">
        <v>1.054676658</v>
      </c>
      <c r="P138" s="1">
        <f t="shared" si="0"/>
        <v>1</v>
      </c>
      <c r="V138" t="str">
        <f t="shared" si="8"/>
        <v>Low Performer</v>
      </c>
      <c r="W138" t="e" cm="1">
        <f t="array" aca="1" ref="W138" ca="1">_xlfn.IFS(N138&gt;=20, "High",N138&gt;=10, "Medium", N138&lt;10, "Low")</f>
        <v>#NAME?</v>
      </c>
      <c r="X138" t="str">
        <f t="shared" si="9"/>
        <v>High Budget</v>
      </c>
      <c r="Y138" s="7">
        <f>VLOOKUP(G138, Lookup_table!B:C,2,0)</f>
        <v>1.2</v>
      </c>
      <c r="Z138" t="str">
        <f t="shared" si="10"/>
        <v>Efficient Spend</v>
      </c>
      <c r="AA138" t="str">
        <f>VLOOKUP(H138, Lookup_table!E:F,2,0)</f>
        <v>High</v>
      </c>
    </row>
    <row r="139" spans="1:27" ht="17.5" customHeight="1" x14ac:dyDescent="0.35">
      <c r="A139" s="1" t="s">
        <v>267</v>
      </c>
      <c r="B139" s="2">
        <v>45525</v>
      </c>
      <c r="C139" s="1" t="s">
        <v>64</v>
      </c>
      <c r="D139" s="1">
        <v>29</v>
      </c>
      <c r="E139" s="1" t="s">
        <v>35</v>
      </c>
      <c r="F139" s="1" t="s">
        <v>24</v>
      </c>
      <c r="G139" s="1" t="s">
        <v>42</v>
      </c>
      <c r="H139" s="1" t="s">
        <v>62</v>
      </c>
      <c r="I139" s="1">
        <v>1581.66</v>
      </c>
      <c r="J139" s="1">
        <v>42855</v>
      </c>
      <c r="K139" s="1">
        <v>236</v>
      </c>
      <c r="L139" s="1">
        <v>38</v>
      </c>
      <c r="M139" s="1">
        <v>4</v>
      </c>
      <c r="N139" s="1">
        <v>0.55069420099999999</v>
      </c>
      <c r="O139" s="1">
        <v>16.10169492</v>
      </c>
      <c r="P139" s="1">
        <f t="shared" si="0"/>
        <v>4</v>
      </c>
      <c r="V139" t="str">
        <f t="shared" si="8"/>
        <v>Low Performer</v>
      </c>
      <c r="W139" t="e" cm="1">
        <f t="array" aca="1" ref="W139" ca="1">_xlfn.IFS(N139&gt;=20, "High",N139&gt;=10, "Medium", N139&lt;10, "Low")</f>
        <v>#NAME?</v>
      </c>
      <c r="X139" t="str">
        <f t="shared" si="9"/>
        <v>High Budget</v>
      </c>
      <c r="Y139" s="7">
        <f>VLOOKUP(G139, Lookup_table!B:C,2,0)</f>
        <v>0.3</v>
      </c>
      <c r="Z139" t="str">
        <f t="shared" si="10"/>
        <v>Inefficient Spend</v>
      </c>
      <c r="AA139" t="str">
        <f>VLOOKUP(H139, Lookup_table!E:F,2,0)</f>
        <v>Medium</v>
      </c>
    </row>
    <row r="140" spans="1:27" ht="17.5" customHeight="1" x14ac:dyDescent="0.35">
      <c r="A140" s="1" t="s">
        <v>268</v>
      </c>
      <c r="B140" s="2">
        <v>45623</v>
      </c>
      <c r="C140" s="1" t="s">
        <v>256</v>
      </c>
      <c r="D140" s="1">
        <v>57</v>
      </c>
      <c r="E140" s="1" t="s">
        <v>23</v>
      </c>
      <c r="F140" s="1" t="s">
        <v>57</v>
      </c>
      <c r="G140" s="1" t="s">
        <v>46</v>
      </c>
      <c r="H140" s="1" t="s">
        <v>32</v>
      </c>
      <c r="I140" s="1">
        <v>236.13</v>
      </c>
      <c r="J140" s="1">
        <v>47941</v>
      </c>
      <c r="K140" s="1">
        <v>1296</v>
      </c>
      <c r="L140" s="1">
        <v>304</v>
      </c>
      <c r="M140" s="1">
        <v>3</v>
      </c>
      <c r="N140" s="1">
        <v>2.7033228340000002</v>
      </c>
      <c r="O140" s="1">
        <v>23.456790120000001</v>
      </c>
      <c r="P140" s="1">
        <f t="shared" si="0"/>
        <v>3</v>
      </c>
      <c r="V140" t="str">
        <f t="shared" si="8"/>
        <v>Average Performer</v>
      </c>
      <c r="W140" t="e" cm="1">
        <f t="array" aca="1" ref="W140" ca="1">_xlfn.IFS(N140&gt;=20, "High",N140&gt;=10, "Medium", N140&lt;10, "Low")</f>
        <v>#NAME?</v>
      </c>
      <c r="X140" t="str">
        <f t="shared" si="9"/>
        <v>Low Budget</v>
      </c>
      <c r="Y140" s="7">
        <f>VLOOKUP(G140, Lookup_table!B:C,2,0)</f>
        <v>0.75</v>
      </c>
      <c r="Z140" t="str">
        <f t="shared" si="10"/>
        <v>Efficient Spend</v>
      </c>
      <c r="AA140" t="str">
        <f>VLOOKUP(H140, Lookup_table!E:F,2,0)</f>
        <v>Medium</v>
      </c>
    </row>
    <row r="141" spans="1:27" ht="17.5" customHeight="1" x14ac:dyDescent="0.35">
      <c r="A141" s="1" t="s">
        <v>269</v>
      </c>
      <c r="B141" s="2">
        <v>45554</v>
      </c>
      <c r="C141" s="1" t="s">
        <v>270</v>
      </c>
      <c r="D141" s="1">
        <v>21</v>
      </c>
      <c r="E141" s="1" t="s">
        <v>23</v>
      </c>
      <c r="F141" s="1" t="s">
        <v>30</v>
      </c>
      <c r="G141" s="1" t="s">
        <v>31</v>
      </c>
      <c r="H141" s="1" t="s">
        <v>36</v>
      </c>
      <c r="I141" s="1">
        <v>1679.21</v>
      </c>
      <c r="J141" s="1">
        <v>514</v>
      </c>
      <c r="K141" s="1">
        <v>4015</v>
      </c>
      <c r="L141" s="1">
        <v>292</v>
      </c>
      <c r="M141" s="1">
        <v>4</v>
      </c>
      <c r="N141" s="1">
        <v>781.12840470000003</v>
      </c>
      <c r="O141" s="1">
        <v>7.2727272730000001</v>
      </c>
      <c r="P141" s="1">
        <f t="shared" si="0"/>
        <v>4</v>
      </c>
      <c r="U141" s="1">
        <f>COUNTIF(N137:N1000, N141&gt;100)</f>
        <v>0</v>
      </c>
      <c r="V141" t="str">
        <f t="shared" si="8"/>
        <v>Top Performer</v>
      </c>
      <c r="W141" t="e" cm="1">
        <f t="array" aca="1" ref="W141" ca="1">_xlfn.IFS(N141&gt;=20, "High",N141&gt;=10, "Medium", N141&lt;10, "Low")</f>
        <v>#NAME?</v>
      </c>
      <c r="X141" t="str">
        <f t="shared" si="9"/>
        <v>High Budget</v>
      </c>
      <c r="Y141" s="7">
        <f>VLOOKUP(G141, Lookup_table!B:C,2,0)</f>
        <v>1.2</v>
      </c>
      <c r="Z141" t="str">
        <f t="shared" si="10"/>
        <v>Efficient Spend</v>
      </c>
      <c r="AA141" t="str">
        <f>VLOOKUP(H141, Lookup_table!E:F,2,0)</f>
        <v>High</v>
      </c>
    </row>
    <row r="142" spans="1:27" ht="17.5" customHeight="1" x14ac:dyDescent="0.35">
      <c r="A142" s="1" t="s">
        <v>271</v>
      </c>
      <c r="B142" s="2">
        <v>45517</v>
      </c>
      <c r="C142" s="1" t="s">
        <v>142</v>
      </c>
      <c r="D142" s="1">
        <v>25</v>
      </c>
      <c r="E142" s="1" t="s">
        <v>23</v>
      </c>
      <c r="F142" s="1" t="s">
        <v>50</v>
      </c>
      <c r="G142" s="1" t="s">
        <v>25</v>
      </c>
      <c r="H142" s="1" t="s">
        <v>26</v>
      </c>
      <c r="I142" s="1">
        <v>1194.81</v>
      </c>
      <c r="J142" s="1">
        <v>27254</v>
      </c>
      <c r="K142" s="1">
        <v>2450</v>
      </c>
      <c r="L142" s="1">
        <v>306</v>
      </c>
      <c r="M142" s="1">
        <v>5</v>
      </c>
      <c r="N142" s="1">
        <v>8.9895061280000004</v>
      </c>
      <c r="O142" s="1">
        <v>12.489795920000001</v>
      </c>
      <c r="P142" s="1">
        <f t="shared" si="0"/>
        <v>5</v>
      </c>
      <c r="V142" t="str">
        <f t="shared" si="8"/>
        <v>Average Performer</v>
      </c>
      <c r="W142" t="e" cm="1">
        <f t="array" aca="1" ref="W142" ca="1">_xlfn.IFS(N142&gt;=20, "High",N142&gt;=10, "Medium", N142&lt;10, "Low")</f>
        <v>#NAME?</v>
      </c>
      <c r="X142" t="str">
        <f t="shared" si="9"/>
        <v>High Budget</v>
      </c>
      <c r="Y142" s="7">
        <f>VLOOKUP(G142, Lookup_table!B:C,2,0)</f>
        <v>0.5</v>
      </c>
      <c r="Z142" t="str">
        <f t="shared" si="10"/>
        <v>Efficient Spend</v>
      </c>
      <c r="AA142" t="str">
        <f>VLOOKUP(H142, Lookup_table!E:F,2,0)</f>
        <v>High</v>
      </c>
    </row>
    <row r="143" spans="1:27" ht="17.5" customHeight="1" x14ac:dyDescent="0.35">
      <c r="A143" s="1" t="s">
        <v>272</v>
      </c>
      <c r="B143" s="2">
        <v>45377</v>
      </c>
      <c r="C143" s="1" t="s">
        <v>243</v>
      </c>
      <c r="D143" s="1">
        <v>34</v>
      </c>
      <c r="E143" s="1" t="s">
        <v>23</v>
      </c>
      <c r="F143" s="1" t="s">
        <v>41</v>
      </c>
      <c r="G143" s="1" t="s">
        <v>61</v>
      </c>
      <c r="H143" s="1" t="s">
        <v>62</v>
      </c>
      <c r="I143" s="1">
        <v>1672.02</v>
      </c>
      <c r="J143" s="1">
        <v>21176</v>
      </c>
      <c r="K143" s="1">
        <v>4692</v>
      </c>
      <c r="L143" s="1">
        <v>80</v>
      </c>
      <c r="M143" s="1">
        <v>3</v>
      </c>
      <c r="N143" s="1">
        <v>22.157159050000001</v>
      </c>
      <c r="O143" s="1">
        <v>1.705029838</v>
      </c>
      <c r="P143" s="1">
        <f t="shared" si="0"/>
        <v>3</v>
      </c>
      <c r="V143" t="str">
        <f t="shared" si="8"/>
        <v>Low Performer</v>
      </c>
      <c r="W143" t="e" cm="1">
        <f t="array" aca="1" ref="W143" ca="1">_xlfn.IFS(N143&gt;=20, "High",N143&gt;=10, "Medium", N143&lt;10, "Low")</f>
        <v>#NAME?</v>
      </c>
      <c r="X143" t="str">
        <f t="shared" si="9"/>
        <v>High Budget</v>
      </c>
      <c r="Y143" s="7">
        <f>VLOOKUP(G143, Lookup_table!B:C,2,0)</f>
        <v>0.2</v>
      </c>
      <c r="Z143" t="str">
        <f t="shared" si="10"/>
        <v>Inefficient Spend</v>
      </c>
      <c r="AA143" t="str">
        <f>VLOOKUP(H143, Lookup_table!E:F,2,0)</f>
        <v>Medium</v>
      </c>
    </row>
    <row r="144" spans="1:27" ht="17.5" customHeight="1" x14ac:dyDescent="0.35">
      <c r="A144" s="1" t="s">
        <v>273</v>
      </c>
      <c r="B144" s="2">
        <v>45450</v>
      </c>
      <c r="C144" s="1" t="s">
        <v>274</v>
      </c>
      <c r="D144" s="1">
        <v>24</v>
      </c>
      <c r="E144" s="1" t="s">
        <v>29</v>
      </c>
      <c r="F144" s="1" t="s">
        <v>24</v>
      </c>
      <c r="G144" s="1" t="s">
        <v>46</v>
      </c>
      <c r="H144" s="1" t="s">
        <v>62</v>
      </c>
      <c r="I144" s="1">
        <v>1023.46</v>
      </c>
      <c r="J144" s="1">
        <v>9697</v>
      </c>
      <c r="K144" s="1">
        <v>2536</v>
      </c>
      <c r="L144" s="1">
        <v>376</v>
      </c>
      <c r="M144" s="1">
        <v>4</v>
      </c>
      <c r="N144" s="1">
        <v>26.152418269999998</v>
      </c>
      <c r="O144" s="1">
        <v>14.82649842</v>
      </c>
      <c r="P144" s="1">
        <f t="shared" si="0"/>
        <v>4</v>
      </c>
      <c r="V144" t="str">
        <f t="shared" si="8"/>
        <v>Average Performer</v>
      </c>
      <c r="W144" t="e" cm="1">
        <f t="array" aca="1" ref="W144" ca="1">_xlfn.IFS(N144&gt;=20, "High",N144&gt;=10, "Medium", N144&lt;10, "Low")</f>
        <v>#NAME?</v>
      </c>
      <c r="X144" t="str">
        <f t="shared" si="9"/>
        <v>High Budget</v>
      </c>
      <c r="Y144" s="7">
        <f>VLOOKUP(G144, Lookup_table!B:C,2,0)</f>
        <v>0.75</v>
      </c>
      <c r="Z144" t="str">
        <f t="shared" si="10"/>
        <v>Efficient Spend</v>
      </c>
      <c r="AA144" t="str">
        <f>VLOOKUP(H144, Lookup_table!E:F,2,0)</f>
        <v>Medium</v>
      </c>
    </row>
    <row r="145" spans="1:27" ht="17.5" customHeight="1" x14ac:dyDescent="0.35">
      <c r="A145" s="1" t="s">
        <v>275</v>
      </c>
      <c r="B145" s="2">
        <v>45655</v>
      </c>
      <c r="C145" s="1" t="s">
        <v>75</v>
      </c>
      <c r="D145" s="1">
        <v>25</v>
      </c>
      <c r="E145" s="1" t="s">
        <v>29</v>
      </c>
      <c r="F145" s="1" t="s">
        <v>45</v>
      </c>
      <c r="G145" s="1" t="s">
        <v>31</v>
      </c>
      <c r="H145" s="1" t="s">
        <v>62</v>
      </c>
      <c r="I145" s="1">
        <v>1146.9000000000001</v>
      </c>
      <c r="J145" s="1">
        <v>22595</v>
      </c>
      <c r="K145" s="1">
        <v>3499</v>
      </c>
      <c r="L145" s="1">
        <v>373</v>
      </c>
      <c r="M145" s="1">
        <v>1</v>
      </c>
      <c r="N145" s="1">
        <v>15.48572693</v>
      </c>
      <c r="O145" s="1">
        <v>10.66018863</v>
      </c>
      <c r="P145" s="1">
        <f t="shared" si="0"/>
        <v>1</v>
      </c>
      <c r="V145" t="str">
        <f t="shared" si="8"/>
        <v>Top Performer</v>
      </c>
      <c r="W145" t="e" cm="1">
        <f t="array" aca="1" ref="W145" ca="1">_xlfn.IFS(N145&gt;=20, "High",N145&gt;=10, "Medium", N145&lt;10, "Low")</f>
        <v>#NAME?</v>
      </c>
      <c r="X145" t="str">
        <f t="shared" si="9"/>
        <v>High Budget</v>
      </c>
      <c r="Y145" s="7">
        <f>VLOOKUP(G145, Lookup_table!B:C,2,0)</f>
        <v>1.2</v>
      </c>
      <c r="Z145" t="str">
        <f t="shared" si="10"/>
        <v>Efficient Spend</v>
      </c>
      <c r="AA145" t="str">
        <f>VLOOKUP(H145, Lookup_table!E:F,2,0)</f>
        <v>Medium</v>
      </c>
    </row>
    <row r="146" spans="1:27" ht="17.5" customHeight="1" x14ac:dyDescent="0.35">
      <c r="A146" s="1" t="s">
        <v>276</v>
      </c>
      <c r="B146" s="2">
        <v>45604</v>
      </c>
      <c r="C146" s="1" t="s">
        <v>186</v>
      </c>
      <c r="D146" s="1">
        <v>31</v>
      </c>
      <c r="E146" s="1" t="s">
        <v>29</v>
      </c>
      <c r="F146" s="1" t="s">
        <v>50</v>
      </c>
      <c r="G146" s="1" t="s">
        <v>31</v>
      </c>
      <c r="H146" s="1" t="s">
        <v>62</v>
      </c>
      <c r="I146" s="1">
        <v>1868.56</v>
      </c>
      <c r="J146" s="1">
        <v>23299</v>
      </c>
      <c r="K146" s="1">
        <v>3404</v>
      </c>
      <c r="L146" s="1">
        <v>125</v>
      </c>
      <c r="M146" s="1">
        <v>4</v>
      </c>
      <c r="N146" s="1">
        <v>14.6100691</v>
      </c>
      <c r="O146" s="1">
        <v>3.6721504110000001</v>
      </c>
      <c r="P146" s="1">
        <f t="shared" si="0"/>
        <v>4</v>
      </c>
      <c r="V146" t="str">
        <f t="shared" si="8"/>
        <v>Average Performer</v>
      </c>
      <c r="W146" t="e" cm="1">
        <f t="array" aca="1" ref="W146" ca="1">_xlfn.IFS(N146&gt;=20, "High",N146&gt;=10, "Medium", N146&lt;10, "Low")</f>
        <v>#NAME?</v>
      </c>
      <c r="X146" t="str">
        <f t="shared" si="9"/>
        <v>High Budget</v>
      </c>
      <c r="Y146" s="7">
        <f>VLOOKUP(G146, Lookup_table!B:C,2,0)</f>
        <v>1.2</v>
      </c>
      <c r="Z146" t="str">
        <f t="shared" si="10"/>
        <v>Efficient Spend</v>
      </c>
      <c r="AA146" t="str">
        <f>VLOOKUP(H146, Lookup_table!E:F,2,0)</f>
        <v>Medium</v>
      </c>
    </row>
    <row r="147" spans="1:27" ht="17.5" customHeight="1" x14ac:dyDescent="0.35">
      <c r="A147" s="1" t="s">
        <v>277</v>
      </c>
      <c r="B147" s="2">
        <v>45599</v>
      </c>
      <c r="C147" s="1" t="s">
        <v>48</v>
      </c>
      <c r="D147" s="1">
        <v>34</v>
      </c>
      <c r="E147" s="1" t="s">
        <v>29</v>
      </c>
      <c r="F147" s="1" t="s">
        <v>24</v>
      </c>
      <c r="G147" s="1" t="s">
        <v>25</v>
      </c>
      <c r="H147" s="1" t="s">
        <v>26</v>
      </c>
      <c r="I147" s="1">
        <v>1263.78</v>
      </c>
      <c r="J147" s="1">
        <v>34090</v>
      </c>
      <c r="K147" s="1">
        <v>2015</v>
      </c>
      <c r="L147" s="1">
        <v>14</v>
      </c>
      <c r="M147" s="1">
        <v>3</v>
      </c>
      <c r="N147" s="1">
        <v>5.9108242889999998</v>
      </c>
      <c r="O147" s="1">
        <v>0.694789082</v>
      </c>
      <c r="P147" s="1">
        <f t="shared" si="0"/>
        <v>3</v>
      </c>
      <c r="V147" t="str">
        <f t="shared" si="8"/>
        <v>Low Performer</v>
      </c>
      <c r="W147" t="e" cm="1">
        <f t="array" aca="1" ref="W147" ca="1">_xlfn.IFS(N147&gt;=20, "High",N147&gt;=10, "Medium", N147&lt;10, "Low")</f>
        <v>#NAME?</v>
      </c>
      <c r="X147" t="str">
        <f t="shared" si="9"/>
        <v>High Budget</v>
      </c>
      <c r="Y147" s="7">
        <f>VLOOKUP(G147, Lookup_table!B:C,2,0)</f>
        <v>0.5</v>
      </c>
      <c r="Z147" t="str">
        <f t="shared" si="10"/>
        <v>Inefficient Spend</v>
      </c>
      <c r="AA147" t="str">
        <f>VLOOKUP(H147, Lookup_table!E:F,2,0)</f>
        <v>High</v>
      </c>
    </row>
    <row r="148" spans="1:27" ht="17.5" customHeight="1" x14ac:dyDescent="0.35">
      <c r="A148" s="1" t="s">
        <v>278</v>
      </c>
      <c r="B148" s="2">
        <v>45539</v>
      </c>
      <c r="C148" s="1" t="s">
        <v>279</v>
      </c>
      <c r="D148" s="1">
        <v>20</v>
      </c>
      <c r="E148" s="1" t="s">
        <v>23</v>
      </c>
      <c r="F148" s="1" t="s">
        <v>50</v>
      </c>
      <c r="G148" s="1" t="s">
        <v>61</v>
      </c>
      <c r="H148" s="1" t="s">
        <v>32</v>
      </c>
      <c r="I148" s="1">
        <v>1308.43</v>
      </c>
      <c r="J148" s="1">
        <v>18719</v>
      </c>
      <c r="K148" s="1">
        <v>894</v>
      </c>
      <c r="L148" s="1">
        <v>173</v>
      </c>
      <c r="M148" s="1">
        <v>4</v>
      </c>
      <c r="N148" s="1">
        <v>4.7758961480000002</v>
      </c>
      <c r="O148" s="1">
        <v>19.351230430000001</v>
      </c>
      <c r="P148" s="1">
        <f t="shared" si="0"/>
        <v>4</v>
      </c>
      <c r="V148" t="str">
        <f t="shared" si="8"/>
        <v>Low Performer</v>
      </c>
      <c r="W148" t="e" cm="1">
        <f t="array" aca="1" ref="W148" ca="1">_xlfn.IFS(N148&gt;=20, "High",N148&gt;=10, "Medium", N148&lt;10, "Low")</f>
        <v>#NAME?</v>
      </c>
      <c r="X148" t="str">
        <f t="shared" si="9"/>
        <v>High Budget</v>
      </c>
      <c r="Y148" s="7">
        <f>VLOOKUP(G148, Lookup_table!B:C,2,0)</f>
        <v>0.2</v>
      </c>
      <c r="Z148" t="str">
        <f t="shared" si="10"/>
        <v>Inefficient Spend</v>
      </c>
      <c r="AA148" t="str">
        <f>VLOOKUP(H148, Lookup_table!E:F,2,0)</f>
        <v>Medium</v>
      </c>
    </row>
    <row r="149" spans="1:27" ht="17.5" customHeight="1" x14ac:dyDescent="0.35">
      <c r="A149" s="1" t="s">
        <v>280</v>
      </c>
      <c r="B149" s="2">
        <v>45475</v>
      </c>
      <c r="C149" s="1" t="s">
        <v>281</v>
      </c>
      <c r="D149" s="1">
        <v>57</v>
      </c>
      <c r="E149" s="1" t="s">
        <v>29</v>
      </c>
      <c r="F149" s="1" t="s">
        <v>24</v>
      </c>
      <c r="G149" s="1" t="s">
        <v>31</v>
      </c>
      <c r="H149" s="1" t="s">
        <v>26</v>
      </c>
      <c r="I149" s="1">
        <v>1682.99</v>
      </c>
      <c r="J149" s="1">
        <v>11667</v>
      </c>
      <c r="K149" s="1">
        <v>779</v>
      </c>
      <c r="L149" s="1">
        <v>301</v>
      </c>
      <c r="M149" s="1">
        <v>1</v>
      </c>
      <c r="N149" s="1">
        <v>6.6769520870000001</v>
      </c>
      <c r="O149" s="1">
        <v>38.639281130000001</v>
      </c>
      <c r="P149" s="1">
        <f t="shared" si="0"/>
        <v>1</v>
      </c>
      <c r="V149" t="str">
        <f t="shared" si="8"/>
        <v>Low Performer</v>
      </c>
      <c r="W149" t="e" cm="1">
        <f t="array" aca="1" ref="W149" ca="1">_xlfn.IFS(N149&gt;=20, "High",N149&gt;=10, "Medium", N149&lt;10, "Low")</f>
        <v>#NAME?</v>
      </c>
      <c r="X149" t="str">
        <f t="shared" si="9"/>
        <v>High Budget</v>
      </c>
      <c r="Y149" s="7">
        <f>VLOOKUP(G149, Lookup_table!B:C,2,0)</f>
        <v>1.2</v>
      </c>
      <c r="Z149" t="str">
        <f t="shared" si="10"/>
        <v>Inefficient Spend</v>
      </c>
      <c r="AA149" t="str">
        <f>VLOOKUP(H149, Lookup_table!E:F,2,0)</f>
        <v>High</v>
      </c>
    </row>
    <row r="150" spans="1:27" ht="17.5" customHeight="1" x14ac:dyDescent="0.35">
      <c r="A150" s="1" t="s">
        <v>282</v>
      </c>
      <c r="B150" s="2">
        <v>45413</v>
      </c>
      <c r="C150" s="1" t="s">
        <v>283</v>
      </c>
      <c r="D150" s="1">
        <v>22</v>
      </c>
      <c r="E150" s="1" t="s">
        <v>29</v>
      </c>
      <c r="F150" s="1" t="s">
        <v>50</v>
      </c>
      <c r="G150" s="1" t="s">
        <v>61</v>
      </c>
      <c r="H150" s="1" t="s">
        <v>62</v>
      </c>
      <c r="I150" s="1">
        <v>1821.16</v>
      </c>
      <c r="J150" s="1">
        <v>48120</v>
      </c>
      <c r="K150" s="1">
        <v>3814</v>
      </c>
      <c r="L150" s="1">
        <v>380</v>
      </c>
      <c r="M150" s="1">
        <v>2</v>
      </c>
      <c r="N150" s="1">
        <v>7.9260182879999999</v>
      </c>
      <c r="O150" s="1">
        <v>9.9632931310000004</v>
      </c>
      <c r="P150" s="1">
        <f t="shared" si="0"/>
        <v>2</v>
      </c>
      <c r="V150" t="str">
        <f t="shared" si="8"/>
        <v>Top Performer</v>
      </c>
      <c r="W150" t="e" cm="1">
        <f t="array" aca="1" ref="W150" ca="1">_xlfn.IFS(N150&gt;=20, "High",N150&gt;=10, "Medium", N150&lt;10, "Low")</f>
        <v>#NAME?</v>
      </c>
      <c r="X150" t="str">
        <f t="shared" si="9"/>
        <v>High Budget</v>
      </c>
      <c r="Y150" s="7">
        <f>VLOOKUP(G150, Lookup_table!B:C,2,0)</f>
        <v>0.2</v>
      </c>
      <c r="Z150" t="str">
        <f t="shared" si="10"/>
        <v>Inefficient Spend</v>
      </c>
      <c r="AA150" t="str">
        <f>VLOOKUP(H150, Lookup_table!E:F,2,0)</f>
        <v>Medium</v>
      </c>
    </row>
    <row r="151" spans="1:27" ht="17.5" customHeight="1" x14ac:dyDescent="0.35">
      <c r="A151" s="1" t="s">
        <v>284</v>
      </c>
      <c r="B151" s="2">
        <v>45368</v>
      </c>
      <c r="C151" s="1" t="s">
        <v>97</v>
      </c>
      <c r="D151" s="1">
        <v>20</v>
      </c>
      <c r="E151" s="1" t="s">
        <v>23</v>
      </c>
      <c r="F151" s="1" t="s">
        <v>24</v>
      </c>
      <c r="G151" s="1" t="s">
        <v>61</v>
      </c>
      <c r="H151" s="1" t="s">
        <v>62</v>
      </c>
      <c r="I151" s="1">
        <v>525.1</v>
      </c>
      <c r="J151" s="1">
        <v>28975</v>
      </c>
      <c r="K151" s="1">
        <v>3451</v>
      </c>
      <c r="L151" s="1">
        <v>226</v>
      </c>
      <c r="M151" s="1">
        <v>3</v>
      </c>
      <c r="N151" s="1">
        <v>11.910267470000001</v>
      </c>
      <c r="O151" s="1">
        <v>6.5488264269999998</v>
      </c>
      <c r="P151" s="1">
        <f t="shared" si="0"/>
        <v>3</v>
      </c>
      <c r="V151" t="str">
        <f t="shared" si="8"/>
        <v>Top Performer</v>
      </c>
      <c r="W151" t="e" cm="1">
        <f t="array" aca="1" ref="W151" ca="1">_xlfn.IFS(N151&gt;=20, "High",N151&gt;=10, "Medium", N151&lt;10, "Low")</f>
        <v>#NAME?</v>
      </c>
      <c r="X151" t="str">
        <f t="shared" si="9"/>
        <v>Medium Budget</v>
      </c>
      <c r="Y151" s="7">
        <f>VLOOKUP(G151, Lookup_table!B:C,2,0)</f>
        <v>0.2</v>
      </c>
      <c r="Z151" t="str">
        <f t="shared" si="10"/>
        <v>Efficient Spend</v>
      </c>
      <c r="AA151" t="str">
        <f>VLOOKUP(H151, Lookup_table!E:F,2,0)</f>
        <v>Medium</v>
      </c>
    </row>
    <row r="152" spans="1:27" ht="17.5" customHeight="1" x14ac:dyDescent="0.35">
      <c r="A152" s="1" t="s">
        <v>285</v>
      </c>
      <c r="B152" s="2">
        <v>45491</v>
      </c>
      <c r="C152" s="1" t="s">
        <v>286</v>
      </c>
      <c r="D152" s="1">
        <v>47</v>
      </c>
      <c r="E152" s="1" t="s">
        <v>35</v>
      </c>
      <c r="F152" s="1" t="s">
        <v>24</v>
      </c>
      <c r="G152" s="1" t="s">
        <v>61</v>
      </c>
      <c r="H152" s="1" t="s">
        <v>62</v>
      </c>
      <c r="I152" s="1">
        <v>1341.12</v>
      </c>
      <c r="J152" s="1">
        <v>44838</v>
      </c>
      <c r="K152" s="1">
        <v>513</v>
      </c>
      <c r="L152" s="1">
        <v>116</v>
      </c>
      <c r="M152" s="1">
        <v>3</v>
      </c>
      <c r="N152" s="1">
        <v>1.1441188280000001</v>
      </c>
      <c r="O152" s="1">
        <v>22.61208577</v>
      </c>
      <c r="P152" s="1">
        <f t="shared" si="0"/>
        <v>3</v>
      </c>
      <c r="V152" t="str">
        <f t="shared" si="8"/>
        <v>Low Performer</v>
      </c>
      <c r="W152" t="e" cm="1">
        <f t="array" aca="1" ref="W152" ca="1">_xlfn.IFS(N152&gt;=20, "High",N152&gt;=10, "Medium", N152&lt;10, "Low")</f>
        <v>#NAME?</v>
      </c>
      <c r="X152" t="str">
        <f t="shared" si="9"/>
        <v>High Budget</v>
      </c>
      <c r="Y152" s="7">
        <f>VLOOKUP(G152, Lookup_table!B:C,2,0)</f>
        <v>0.2</v>
      </c>
      <c r="Z152" t="str">
        <f t="shared" si="10"/>
        <v>Inefficient Spend</v>
      </c>
      <c r="AA152" t="str">
        <f>VLOOKUP(H152, Lookup_table!E:F,2,0)</f>
        <v>Medium</v>
      </c>
    </row>
    <row r="153" spans="1:27" ht="17.5" customHeight="1" x14ac:dyDescent="0.35">
      <c r="A153" s="1" t="s">
        <v>287</v>
      </c>
      <c r="B153" s="2">
        <v>45377</v>
      </c>
      <c r="C153" s="1" t="s">
        <v>138</v>
      </c>
      <c r="D153" s="1">
        <v>55</v>
      </c>
      <c r="E153" s="1" t="s">
        <v>23</v>
      </c>
      <c r="F153" s="1" t="s">
        <v>50</v>
      </c>
      <c r="G153" s="1" t="s">
        <v>42</v>
      </c>
      <c r="H153" s="1" t="s">
        <v>32</v>
      </c>
      <c r="I153" s="1">
        <v>284.70999999999998</v>
      </c>
      <c r="J153" s="1">
        <v>14614</v>
      </c>
      <c r="K153" s="1">
        <v>4094</v>
      </c>
      <c r="L153" s="1">
        <v>350</v>
      </c>
      <c r="M153" s="1">
        <v>1</v>
      </c>
      <c r="N153" s="1">
        <v>28.014232929999999</v>
      </c>
      <c r="O153" s="1">
        <v>8.5490962380000006</v>
      </c>
      <c r="P153" s="1">
        <f t="shared" si="0"/>
        <v>1</v>
      </c>
      <c r="V153" t="str">
        <f t="shared" si="8"/>
        <v>Top Performer</v>
      </c>
      <c r="W153" t="e" cm="1">
        <f t="array" aca="1" ref="W153" ca="1">_xlfn.IFS(N153&gt;=20, "High",N153&gt;=10, "Medium", N153&lt;10, "Low")</f>
        <v>#NAME?</v>
      </c>
      <c r="X153" t="str">
        <f t="shared" si="9"/>
        <v>Low Budget</v>
      </c>
      <c r="Y153" s="7">
        <f>VLOOKUP(G153, Lookup_table!B:C,2,0)</f>
        <v>0.3</v>
      </c>
      <c r="Z153" t="str">
        <f t="shared" si="10"/>
        <v>Efficient Spend</v>
      </c>
      <c r="AA153" t="str">
        <f>VLOOKUP(H153, Lookup_table!E:F,2,0)</f>
        <v>Medium</v>
      </c>
    </row>
    <row r="154" spans="1:27" ht="17.5" customHeight="1" x14ac:dyDescent="0.35">
      <c r="A154" s="1" t="s">
        <v>288</v>
      </c>
      <c r="B154" s="2">
        <v>45478</v>
      </c>
      <c r="C154" s="1" t="s">
        <v>289</v>
      </c>
      <c r="D154" s="1">
        <v>31</v>
      </c>
      <c r="E154" s="1" t="s">
        <v>23</v>
      </c>
      <c r="F154" s="1" t="s">
        <v>50</v>
      </c>
      <c r="G154" s="1" t="s">
        <v>42</v>
      </c>
      <c r="H154" s="1" t="s">
        <v>26</v>
      </c>
      <c r="I154" s="1">
        <v>177.34</v>
      </c>
      <c r="J154" s="1">
        <v>46988</v>
      </c>
      <c r="K154" s="1">
        <v>1878</v>
      </c>
      <c r="L154" s="1">
        <v>165</v>
      </c>
      <c r="M154" s="1">
        <v>1</v>
      </c>
      <c r="N154" s="1">
        <v>3.9967651320000002</v>
      </c>
      <c r="O154" s="1">
        <v>8.7859424920000002</v>
      </c>
      <c r="P154" s="1">
        <f t="shared" si="0"/>
        <v>1</v>
      </c>
      <c r="V154" t="str">
        <f t="shared" si="8"/>
        <v>Average Performer</v>
      </c>
      <c r="W154" t="e" cm="1">
        <f t="array" aca="1" ref="W154" ca="1">_xlfn.IFS(N154&gt;=20, "High",N154&gt;=10, "Medium", N154&lt;10, "Low")</f>
        <v>#NAME?</v>
      </c>
      <c r="X154" t="str">
        <f t="shared" si="9"/>
        <v>Low Budget</v>
      </c>
      <c r="Y154" s="7">
        <f>VLOOKUP(G154, Lookup_table!B:C,2,0)</f>
        <v>0.3</v>
      </c>
      <c r="Z154" t="str">
        <f t="shared" si="10"/>
        <v>Efficient Spend</v>
      </c>
      <c r="AA154" t="str">
        <f>VLOOKUP(H154, Lookup_table!E:F,2,0)</f>
        <v>High</v>
      </c>
    </row>
    <row r="155" spans="1:27" ht="17.5" customHeight="1" x14ac:dyDescent="0.35">
      <c r="A155" s="1" t="s">
        <v>290</v>
      </c>
      <c r="B155" s="2">
        <v>45589</v>
      </c>
      <c r="C155" s="1" t="s">
        <v>38</v>
      </c>
      <c r="E155" s="1" t="s">
        <v>35</v>
      </c>
      <c r="G155" s="1" t="s">
        <v>46</v>
      </c>
      <c r="H155" s="1" t="s">
        <v>32</v>
      </c>
      <c r="I155" s="1">
        <v>1292.6099999999999</v>
      </c>
      <c r="J155" s="1">
        <v>5323</v>
      </c>
      <c r="K155" s="1">
        <v>874</v>
      </c>
      <c r="L155" s="1">
        <v>48</v>
      </c>
      <c r="N155" s="1">
        <v>16.419312420000001</v>
      </c>
      <c r="O155" s="1">
        <v>5.4919908470000003</v>
      </c>
      <c r="P155" s="1">
        <f t="shared" si="0"/>
        <v>3</v>
      </c>
      <c r="V155" t="str">
        <f t="shared" si="8"/>
        <v>Low Performer</v>
      </c>
      <c r="W155" t="e" cm="1">
        <f t="array" aca="1" ref="W155" ca="1">_xlfn.IFS(N155&gt;=20, "High",N155&gt;=10, "Medium", N155&lt;10, "Low")</f>
        <v>#NAME?</v>
      </c>
      <c r="X155" t="str">
        <f t="shared" si="9"/>
        <v>High Budget</v>
      </c>
      <c r="Y155" s="7">
        <f>VLOOKUP(G155, Lookup_table!B:C,2,0)</f>
        <v>0.75</v>
      </c>
      <c r="Z155" t="str">
        <f t="shared" si="10"/>
        <v>Inefficient Spend</v>
      </c>
      <c r="AA155" t="str">
        <f>VLOOKUP(H155, Lookup_table!E:F,2,0)</f>
        <v>Medium</v>
      </c>
    </row>
    <row r="156" spans="1:27" ht="17.5" customHeight="1" x14ac:dyDescent="0.35">
      <c r="A156" s="1" t="s">
        <v>291</v>
      </c>
      <c r="B156" s="2">
        <v>45522</v>
      </c>
      <c r="C156" s="1" t="s">
        <v>292</v>
      </c>
      <c r="D156" s="1">
        <v>18</v>
      </c>
      <c r="E156" s="1" t="s">
        <v>29</v>
      </c>
      <c r="F156" s="1" t="s">
        <v>30</v>
      </c>
      <c r="G156" s="1" t="s">
        <v>46</v>
      </c>
      <c r="H156" s="1" t="s">
        <v>62</v>
      </c>
      <c r="I156" s="1">
        <v>1005.88</v>
      </c>
      <c r="J156" s="1">
        <v>2393</v>
      </c>
      <c r="K156" s="1">
        <v>478</v>
      </c>
      <c r="L156" s="1">
        <v>251</v>
      </c>
      <c r="M156" s="1">
        <v>3</v>
      </c>
      <c r="N156" s="1">
        <v>19.974926870000001</v>
      </c>
      <c r="O156" s="1">
        <v>52.510460250000001</v>
      </c>
      <c r="P156" s="1">
        <f t="shared" si="0"/>
        <v>3</v>
      </c>
      <c r="V156" t="str">
        <f t="shared" si="8"/>
        <v>Low Performer</v>
      </c>
      <c r="W156" t="e" cm="1">
        <f t="array" aca="1" ref="W156" ca="1">_xlfn.IFS(N156&gt;=20, "High",N156&gt;=10, "Medium", N156&lt;10, "Low")</f>
        <v>#NAME?</v>
      </c>
      <c r="X156" t="str">
        <f t="shared" si="9"/>
        <v>High Budget</v>
      </c>
      <c r="Y156" s="7">
        <f>VLOOKUP(G156, Lookup_table!B:C,2,0)</f>
        <v>0.75</v>
      </c>
      <c r="Z156" t="str">
        <f t="shared" si="10"/>
        <v>Inefficient Spend</v>
      </c>
      <c r="AA156" t="str">
        <f>VLOOKUP(H156, Lookup_table!E:F,2,0)</f>
        <v>Medium</v>
      </c>
    </row>
    <row r="157" spans="1:27" ht="17.5" customHeight="1" x14ac:dyDescent="0.35">
      <c r="A157" s="1" t="s">
        <v>293</v>
      </c>
      <c r="B157" s="2">
        <v>45591</v>
      </c>
      <c r="C157" s="1" t="s">
        <v>170</v>
      </c>
      <c r="D157" s="1">
        <v>39</v>
      </c>
      <c r="E157" s="1" t="s">
        <v>29</v>
      </c>
      <c r="F157" s="1" t="s">
        <v>57</v>
      </c>
      <c r="G157" s="1" t="s">
        <v>25</v>
      </c>
      <c r="H157" s="1" t="s">
        <v>26</v>
      </c>
      <c r="I157" s="1">
        <v>1768.56</v>
      </c>
      <c r="J157" s="1">
        <v>33373</v>
      </c>
      <c r="K157" s="1">
        <v>4445</v>
      </c>
      <c r="L157" s="1">
        <v>17</v>
      </c>
      <c r="M157" s="1">
        <v>1</v>
      </c>
      <c r="N157" s="1">
        <v>13.31915021</v>
      </c>
      <c r="O157" s="1">
        <v>0.382452193</v>
      </c>
      <c r="P157" s="1">
        <f t="shared" si="0"/>
        <v>1</v>
      </c>
      <c r="V157" t="str">
        <f t="shared" si="8"/>
        <v>Low Performer</v>
      </c>
      <c r="W157" t="e" cm="1">
        <f t="array" aca="1" ref="W157" ca="1">_xlfn.IFS(N157&gt;=20, "High",N157&gt;=10, "Medium", N157&lt;10, "Low")</f>
        <v>#NAME?</v>
      </c>
      <c r="X157" t="str">
        <f t="shared" si="9"/>
        <v>High Budget</v>
      </c>
      <c r="Y157" s="7">
        <f>VLOOKUP(G157, Lookup_table!B:C,2,0)</f>
        <v>0.5</v>
      </c>
      <c r="Z157" t="str">
        <f t="shared" si="10"/>
        <v>Efficient Spend</v>
      </c>
      <c r="AA157" t="str">
        <f>VLOOKUP(H157, Lookup_table!E:F,2,0)</f>
        <v>High</v>
      </c>
    </row>
    <row r="158" spans="1:27" ht="17.5" customHeight="1" x14ac:dyDescent="0.35">
      <c r="A158" s="1" t="s">
        <v>294</v>
      </c>
      <c r="B158" s="2">
        <v>45607</v>
      </c>
      <c r="C158" s="1" t="s">
        <v>295</v>
      </c>
      <c r="D158" s="1">
        <v>53</v>
      </c>
      <c r="E158" s="1" t="s">
        <v>23</v>
      </c>
      <c r="F158" s="1" t="s">
        <v>50</v>
      </c>
      <c r="G158" s="1" t="s">
        <v>31</v>
      </c>
      <c r="H158" s="1" t="s">
        <v>26</v>
      </c>
      <c r="I158" s="1">
        <v>769.37</v>
      </c>
      <c r="J158" s="1">
        <v>10164</v>
      </c>
      <c r="K158" s="1">
        <v>2399</v>
      </c>
      <c r="L158" s="1">
        <v>81</v>
      </c>
      <c r="M158" s="1">
        <v>3</v>
      </c>
      <c r="N158" s="1">
        <v>23.602912239999998</v>
      </c>
      <c r="O158" s="1">
        <v>3.3764068360000001</v>
      </c>
      <c r="P158" s="1">
        <f t="shared" si="0"/>
        <v>3</v>
      </c>
      <c r="V158" t="str">
        <f t="shared" si="8"/>
        <v>Low Performer</v>
      </c>
      <c r="W158" t="e" cm="1">
        <f t="array" aca="1" ref="W158" ca="1">_xlfn.IFS(N158&gt;=20, "High",N158&gt;=10, "Medium", N158&lt;10, "Low")</f>
        <v>#NAME?</v>
      </c>
      <c r="X158" t="str">
        <f t="shared" si="9"/>
        <v>Medium Budget</v>
      </c>
      <c r="Y158" s="7">
        <f>VLOOKUP(G158, Lookup_table!B:C,2,0)</f>
        <v>1.2</v>
      </c>
      <c r="Z158" t="str">
        <f t="shared" si="10"/>
        <v>Efficient Spend</v>
      </c>
      <c r="AA158" t="str">
        <f>VLOOKUP(H158, Lookup_table!E:F,2,0)</f>
        <v>High</v>
      </c>
    </row>
    <row r="159" spans="1:27" ht="17.5" customHeight="1" x14ac:dyDescent="0.35">
      <c r="A159" s="1" t="s">
        <v>296</v>
      </c>
      <c r="B159" s="2">
        <v>45630</v>
      </c>
      <c r="C159" s="1" t="s">
        <v>297</v>
      </c>
      <c r="E159" s="1" t="s">
        <v>29</v>
      </c>
      <c r="G159" s="1" t="s">
        <v>42</v>
      </c>
      <c r="H159" s="1" t="s">
        <v>26</v>
      </c>
      <c r="I159" s="1">
        <v>1716.19</v>
      </c>
      <c r="J159" s="1">
        <v>23319</v>
      </c>
      <c r="K159" s="1">
        <v>3525</v>
      </c>
      <c r="L159" s="1">
        <v>263</v>
      </c>
      <c r="N159" s="1">
        <v>15.11642866</v>
      </c>
      <c r="O159" s="1">
        <v>7.4609929079999997</v>
      </c>
      <c r="P159" s="1">
        <f t="shared" si="0"/>
        <v>3</v>
      </c>
      <c r="V159" t="str">
        <f t="shared" si="8"/>
        <v>Top Performer</v>
      </c>
      <c r="W159" t="e" cm="1">
        <f t="array" aca="1" ref="W159" ca="1">_xlfn.IFS(N159&gt;=20, "High",N159&gt;=10, "Medium", N159&lt;10, "Low")</f>
        <v>#NAME?</v>
      </c>
      <c r="X159" t="str">
        <f t="shared" si="9"/>
        <v>High Budget</v>
      </c>
      <c r="Y159" s="7">
        <f>VLOOKUP(G159, Lookup_table!B:C,2,0)</f>
        <v>0.3</v>
      </c>
      <c r="Z159" t="str">
        <f t="shared" si="10"/>
        <v>Inefficient Spend</v>
      </c>
      <c r="AA159" t="str">
        <f>VLOOKUP(H159, Lookup_table!E:F,2,0)</f>
        <v>High</v>
      </c>
    </row>
    <row r="160" spans="1:27" ht="17.5" customHeight="1" x14ac:dyDescent="0.35">
      <c r="A160" s="1" t="s">
        <v>298</v>
      </c>
      <c r="B160" s="2">
        <v>45355</v>
      </c>
      <c r="C160" s="1" t="s">
        <v>299</v>
      </c>
      <c r="D160" s="1">
        <v>44</v>
      </c>
      <c r="E160" s="1" t="s">
        <v>23</v>
      </c>
      <c r="F160" s="1" t="s">
        <v>41</v>
      </c>
      <c r="G160" s="1" t="s">
        <v>42</v>
      </c>
      <c r="H160" s="1" t="s">
        <v>26</v>
      </c>
      <c r="I160" s="1">
        <v>1538</v>
      </c>
      <c r="J160" s="1">
        <v>44434</v>
      </c>
      <c r="K160" s="1">
        <v>4867</v>
      </c>
      <c r="L160" s="1">
        <v>300</v>
      </c>
      <c r="N160" s="1">
        <v>10.953324029999999</v>
      </c>
      <c r="O160" s="1">
        <v>6.1639613730000002</v>
      </c>
      <c r="P160" s="1">
        <f t="shared" si="0"/>
        <v>3</v>
      </c>
      <c r="V160" t="str">
        <f t="shared" si="8"/>
        <v>Top Performer</v>
      </c>
      <c r="W160" t="e" cm="1">
        <f t="array" aca="1" ref="W160" ca="1">_xlfn.IFS(N160&gt;=20, "High",N160&gt;=10, "Medium", N160&lt;10, "Low")</f>
        <v>#NAME?</v>
      </c>
      <c r="X160" t="str">
        <f t="shared" si="9"/>
        <v>High Budget</v>
      </c>
      <c r="Y160" s="7">
        <f>VLOOKUP(G160, Lookup_table!B:C,2,0)</f>
        <v>0.3</v>
      </c>
      <c r="Z160" t="str">
        <f t="shared" si="10"/>
        <v>Inefficient Spend</v>
      </c>
      <c r="AA160" t="str">
        <f>VLOOKUP(H160, Lookup_table!E:F,2,0)</f>
        <v>High</v>
      </c>
    </row>
    <row r="161" spans="1:27" ht="17.5" customHeight="1" x14ac:dyDescent="0.35">
      <c r="A161" s="1" t="s">
        <v>300</v>
      </c>
      <c r="B161" s="2">
        <v>45327</v>
      </c>
      <c r="C161" s="1" t="s">
        <v>286</v>
      </c>
      <c r="D161" s="1">
        <v>47</v>
      </c>
      <c r="E161" s="1" t="s">
        <v>23</v>
      </c>
      <c r="F161" s="1" t="s">
        <v>41</v>
      </c>
      <c r="G161" s="1" t="s">
        <v>46</v>
      </c>
      <c r="H161" s="1" t="s">
        <v>62</v>
      </c>
      <c r="I161" s="1">
        <v>684.45</v>
      </c>
      <c r="J161" s="1">
        <v>30615</v>
      </c>
      <c r="K161" s="1">
        <v>4526</v>
      </c>
      <c r="L161" s="1">
        <v>325</v>
      </c>
      <c r="N161" s="1">
        <v>14.78360281</v>
      </c>
      <c r="O161" s="1">
        <v>7.1807335400000003</v>
      </c>
      <c r="P161" s="1">
        <f t="shared" si="0"/>
        <v>3</v>
      </c>
      <c r="V161" t="str">
        <f t="shared" si="8"/>
        <v>Top Performer</v>
      </c>
      <c r="W161" t="e" cm="1">
        <f t="array" aca="1" ref="W161" ca="1">_xlfn.IFS(N161&gt;=20, "High",N161&gt;=10, "Medium", N161&lt;10, "Low")</f>
        <v>#NAME?</v>
      </c>
      <c r="X161" t="str">
        <f t="shared" si="9"/>
        <v>Medium Budget</v>
      </c>
      <c r="Y161" s="7">
        <f>VLOOKUP(G161, Lookup_table!B:C,2,0)</f>
        <v>0.75</v>
      </c>
      <c r="Z161" t="str">
        <f t="shared" si="10"/>
        <v>Efficient Spend</v>
      </c>
      <c r="AA161" t="str">
        <f>VLOOKUP(H161, Lookup_table!E:F,2,0)</f>
        <v>Medium</v>
      </c>
    </row>
    <row r="162" spans="1:27" ht="17.5" customHeight="1" x14ac:dyDescent="0.35">
      <c r="A162" s="1" t="s">
        <v>301</v>
      </c>
      <c r="B162" s="2">
        <v>45369</v>
      </c>
      <c r="C162" s="1" t="s">
        <v>302</v>
      </c>
      <c r="D162" s="1">
        <v>33</v>
      </c>
      <c r="E162" s="1" t="s">
        <v>29</v>
      </c>
      <c r="F162" s="1" t="s">
        <v>41</v>
      </c>
      <c r="G162" s="1" t="s">
        <v>31</v>
      </c>
      <c r="H162" s="1" t="s">
        <v>26</v>
      </c>
      <c r="I162" s="1">
        <v>592.63</v>
      </c>
      <c r="J162" s="1">
        <v>17339</v>
      </c>
      <c r="K162" s="1">
        <v>3613</v>
      </c>
      <c r="L162" s="1">
        <v>72</v>
      </c>
      <c r="N162" s="1">
        <v>20.837418540000002</v>
      </c>
      <c r="O162" s="1">
        <v>1.992803764</v>
      </c>
      <c r="P162" s="1">
        <f t="shared" si="0"/>
        <v>3</v>
      </c>
      <c r="V162" t="str">
        <f t="shared" si="8"/>
        <v>Low Performer</v>
      </c>
      <c r="W162" t="e" cm="1">
        <f t="array" aca="1" ref="W162" ca="1">_xlfn.IFS(N162&gt;=20, "High",N162&gt;=10, "Medium", N162&lt;10, "Low")</f>
        <v>#NAME?</v>
      </c>
      <c r="X162" t="str">
        <f t="shared" si="9"/>
        <v>Medium Budget</v>
      </c>
      <c r="Y162" s="7">
        <f>VLOOKUP(G162, Lookup_table!B:C,2,0)</f>
        <v>1.2</v>
      </c>
      <c r="Z162" t="str">
        <f t="shared" si="10"/>
        <v>Efficient Spend</v>
      </c>
      <c r="AA162" t="str">
        <f>VLOOKUP(H162, Lookup_table!E:F,2,0)</f>
        <v>High</v>
      </c>
    </row>
    <row r="163" spans="1:27" ht="17.5" customHeight="1" x14ac:dyDescent="0.35">
      <c r="A163" s="1" t="s">
        <v>303</v>
      </c>
      <c r="B163" s="2">
        <v>45580</v>
      </c>
      <c r="C163" s="1" t="s">
        <v>111</v>
      </c>
      <c r="D163" s="1">
        <v>22</v>
      </c>
      <c r="E163" s="1" t="s">
        <v>29</v>
      </c>
      <c r="F163" s="1" t="s">
        <v>57</v>
      </c>
      <c r="G163" s="1" t="s">
        <v>42</v>
      </c>
      <c r="H163" s="1" t="s">
        <v>26</v>
      </c>
      <c r="I163" s="1">
        <v>1433.46</v>
      </c>
      <c r="J163" s="1">
        <v>42777</v>
      </c>
      <c r="K163" s="1">
        <v>2839</v>
      </c>
      <c r="L163" s="1">
        <v>264</v>
      </c>
      <c r="M163" s="1">
        <v>3</v>
      </c>
      <c r="N163" s="1">
        <v>6.6367440450000004</v>
      </c>
      <c r="O163" s="1">
        <v>9.2990489610000004</v>
      </c>
      <c r="P163" s="1">
        <f t="shared" si="0"/>
        <v>3</v>
      </c>
      <c r="V163" t="str">
        <f t="shared" si="8"/>
        <v>Average Performer</v>
      </c>
      <c r="W163" t="e" cm="1">
        <f t="array" aca="1" ref="W163" ca="1">_xlfn.IFS(N163&gt;=20, "High",N163&gt;=10, "Medium", N163&lt;10, "Low")</f>
        <v>#NAME?</v>
      </c>
      <c r="X163" t="str">
        <f t="shared" si="9"/>
        <v>High Budget</v>
      </c>
      <c r="Y163" s="7">
        <f>VLOOKUP(G163, Lookup_table!B:C,2,0)</f>
        <v>0.3</v>
      </c>
      <c r="Z163" t="str">
        <f t="shared" si="10"/>
        <v>Inefficient Spend</v>
      </c>
      <c r="AA163" t="str">
        <f>VLOOKUP(H163, Lookup_table!E:F,2,0)</f>
        <v>High</v>
      </c>
    </row>
    <row r="164" spans="1:27" ht="17.5" customHeight="1" x14ac:dyDescent="0.35">
      <c r="A164" s="1" t="s">
        <v>304</v>
      </c>
      <c r="B164" s="2">
        <v>45409</v>
      </c>
      <c r="C164" s="1" t="s">
        <v>77</v>
      </c>
      <c r="D164" s="1">
        <v>39</v>
      </c>
      <c r="E164" s="1" t="s">
        <v>29</v>
      </c>
      <c r="F164" s="1" t="s">
        <v>41</v>
      </c>
      <c r="G164" s="1" t="s">
        <v>31</v>
      </c>
      <c r="H164" s="1" t="s">
        <v>26</v>
      </c>
      <c r="I164" s="1">
        <v>1562.84</v>
      </c>
      <c r="J164" s="1">
        <v>36265</v>
      </c>
      <c r="K164" s="1">
        <v>2424</v>
      </c>
      <c r="L164" s="1">
        <v>343</v>
      </c>
      <c r="M164" s="1">
        <v>1</v>
      </c>
      <c r="N164" s="1">
        <v>6.6841307050000003</v>
      </c>
      <c r="O164" s="1">
        <v>14.150165019999999</v>
      </c>
      <c r="P164" s="1">
        <f t="shared" si="0"/>
        <v>1</v>
      </c>
      <c r="V164" t="str">
        <f t="shared" si="8"/>
        <v>Average Performer</v>
      </c>
      <c r="W164" t="e" cm="1">
        <f t="array" aca="1" ref="W164" ca="1">_xlfn.IFS(N164&gt;=20, "High",N164&gt;=10, "Medium", N164&lt;10, "Low")</f>
        <v>#NAME?</v>
      </c>
      <c r="X164" t="str">
        <f t="shared" si="9"/>
        <v>High Budget</v>
      </c>
      <c r="Y164" s="7">
        <f>VLOOKUP(G164, Lookup_table!B:C,2,0)</f>
        <v>1.2</v>
      </c>
      <c r="Z164" t="str">
        <f t="shared" si="10"/>
        <v>Efficient Spend</v>
      </c>
      <c r="AA164" t="str">
        <f>VLOOKUP(H164, Lookup_table!E:F,2,0)</f>
        <v>High</v>
      </c>
    </row>
    <row r="165" spans="1:27" ht="17.5" customHeight="1" x14ac:dyDescent="0.35">
      <c r="A165" s="1" t="s">
        <v>305</v>
      </c>
      <c r="B165" s="2">
        <v>45507</v>
      </c>
      <c r="C165" s="1" t="s">
        <v>212</v>
      </c>
      <c r="D165" s="1">
        <v>64</v>
      </c>
      <c r="E165" s="1" t="s">
        <v>23</v>
      </c>
      <c r="F165" s="1" t="s">
        <v>45</v>
      </c>
      <c r="G165" s="1" t="s">
        <v>31</v>
      </c>
      <c r="H165" s="1" t="s">
        <v>32</v>
      </c>
      <c r="I165" s="1">
        <v>1173.8699999999999</v>
      </c>
      <c r="J165" s="1">
        <v>21220</v>
      </c>
      <c r="K165" s="1">
        <v>4446</v>
      </c>
      <c r="L165" s="1">
        <v>247</v>
      </c>
      <c r="N165" s="1">
        <v>20.95193214</v>
      </c>
      <c r="O165" s="1">
        <v>5.5555555559999998</v>
      </c>
      <c r="P165" s="1">
        <f t="shared" si="0"/>
        <v>3</v>
      </c>
      <c r="V165" t="str">
        <f t="shared" si="8"/>
        <v>Top Performer</v>
      </c>
      <c r="W165" t="e" cm="1">
        <f t="array" aca="1" ref="W165" ca="1">_xlfn.IFS(N165&gt;=20, "High",N165&gt;=10, "Medium", N165&lt;10, "Low")</f>
        <v>#NAME?</v>
      </c>
      <c r="X165" t="str">
        <f t="shared" si="9"/>
        <v>High Budget</v>
      </c>
      <c r="Y165" s="7">
        <f>VLOOKUP(G165, Lookup_table!B:C,2,0)</f>
        <v>1.2</v>
      </c>
      <c r="Z165" t="str">
        <f t="shared" si="10"/>
        <v>Efficient Spend</v>
      </c>
      <c r="AA165" t="str">
        <f>VLOOKUP(H165, Lookup_table!E:F,2,0)</f>
        <v>Medium</v>
      </c>
    </row>
    <row r="166" spans="1:27" ht="17.5" customHeight="1" x14ac:dyDescent="0.35">
      <c r="A166" s="1" t="s">
        <v>306</v>
      </c>
      <c r="B166" s="2">
        <v>45453</v>
      </c>
      <c r="C166" s="1" t="s">
        <v>297</v>
      </c>
      <c r="D166" s="1">
        <v>45</v>
      </c>
      <c r="E166" s="1" t="s">
        <v>29</v>
      </c>
      <c r="F166" s="1" t="s">
        <v>50</v>
      </c>
      <c r="G166" s="1" t="s">
        <v>31</v>
      </c>
      <c r="H166" s="1" t="s">
        <v>36</v>
      </c>
      <c r="I166" s="1">
        <v>316.95999999999998</v>
      </c>
      <c r="J166" s="1">
        <v>42898</v>
      </c>
      <c r="K166" s="1">
        <v>2113</v>
      </c>
      <c r="L166" s="1">
        <v>267</v>
      </c>
      <c r="M166" s="1">
        <v>1</v>
      </c>
      <c r="N166" s="1">
        <v>4.9256375590000001</v>
      </c>
      <c r="O166" s="1">
        <v>12.636062470000001</v>
      </c>
      <c r="P166" s="1">
        <f t="shared" si="0"/>
        <v>1</v>
      </c>
      <c r="V166" t="str">
        <f t="shared" si="8"/>
        <v>Average Performer</v>
      </c>
      <c r="W166" t="e" cm="1">
        <f t="array" aca="1" ref="W166" ca="1">_xlfn.IFS(N166&gt;=20, "High",N166&gt;=10, "Medium", N166&lt;10, "Low")</f>
        <v>#NAME?</v>
      </c>
      <c r="X166" t="str">
        <f t="shared" si="9"/>
        <v>Low Budget</v>
      </c>
      <c r="Y166" s="7">
        <f>VLOOKUP(G166, Lookup_table!B:C,2,0)</f>
        <v>1.2</v>
      </c>
      <c r="Z166" t="str">
        <f t="shared" si="10"/>
        <v>Efficient Spend</v>
      </c>
      <c r="AA166" t="str">
        <f>VLOOKUP(H166, Lookup_table!E:F,2,0)</f>
        <v>High</v>
      </c>
    </row>
    <row r="167" spans="1:27" ht="17.5" customHeight="1" x14ac:dyDescent="0.35">
      <c r="A167" s="1" t="s">
        <v>307</v>
      </c>
      <c r="B167" s="2">
        <v>45337</v>
      </c>
      <c r="C167" s="1" t="s">
        <v>123</v>
      </c>
      <c r="D167" s="1">
        <v>62</v>
      </c>
      <c r="E167" s="1" t="s">
        <v>29</v>
      </c>
      <c r="F167" s="1" t="s">
        <v>41</v>
      </c>
      <c r="G167" s="1" t="s">
        <v>25</v>
      </c>
      <c r="H167" s="1" t="s">
        <v>62</v>
      </c>
      <c r="I167" s="1">
        <v>1607.24</v>
      </c>
      <c r="J167" s="1">
        <v>7128</v>
      </c>
      <c r="K167" s="1">
        <v>3584</v>
      </c>
      <c r="L167" s="1">
        <v>371</v>
      </c>
      <c r="M167" s="1">
        <v>2</v>
      </c>
      <c r="N167" s="1">
        <v>50.280583610000001</v>
      </c>
      <c r="O167" s="1">
        <v>10.3515625</v>
      </c>
      <c r="P167" s="1">
        <f t="shared" si="0"/>
        <v>2</v>
      </c>
      <c r="V167" t="str">
        <f t="shared" si="8"/>
        <v>Top Performer</v>
      </c>
      <c r="W167" t="e" cm="1">
        <f t="array" aca="1" ref="W167" ca="1">_xlfn.IFS(N167&gt;=20, "High",N167&gt;=10, "Medium", N167&lt;10, "Low")</f>
        <v>#NAME?</v>
      </c>
      <c r="X167" t="str">
        <f t="shared" si="9"/>
        <v>High Budget</v>
      </c>
      <c r="Y167" s="7">
        <f>VLOOKUP(G167, Lookup_table!B:C,2,0)</f>
        <v>0.5</v>
      </c>
      <c r="Z167" t="str">
        <f t="shared" si="10"/>
        <v>Efficient Spend</v>
      </c>
      <c r="AA167" t="str">
        <f>VLOOKUP(H167, Lookup_table!E:F,2,0)</f>
        <v>Medium</v>
      </c>
    </row>
    <row r="168" spans="1:27" ht="17.5" customHeight="1" x14ac:dyDescent="0.35">
      <c r="A168" s="1" t="s">
        <v>308</v>
      </c>
      <c r="B168" s="2">
        <v>45408</v>
      </c>
      <c r="C168" s="1" t="s">
        <v>160</v>
      </c>
      <c r="D168" s="1">
        <v>28</v>
      </c>
      <c r="E168" s="1" t="s">
        <v>23</v>
      </c>
      <c r="F168" s="1" t="s">
        <v>45</v>
      </c>
      <c r="G168" s="1" t="s">
        <v>31</v>
      </c>
      <c r="H168" s="1" t="s">
        <v>36</v>
      </c>
      <c r="I168" s="1">
        <v>1275.19</v>
      </c>
      <c r="J168" s="1">
        <v>30571</v>
      </c>
      <c r="K168" s="1">
        <v>1296</v>
      </c>
      <c r="L168" s="1">
        <v>132</v>
      </c>
      <c r="M168" s="1">
        <v>1</v>
      </c>
      <c r="N168" s="1">
        <v>4.2393117660000001</v>
      </c>
      <c r="O168" s="1">
        <v>10.18518519</v>
      </c>
      <c r="P168" s="1">
        <f t="shared" si="0"/>
        <v>1</v>
      </c>
      <c r="V168" t="str">
        <f t="shared" si="8"/>
        <v>Average Performer</v>
      </c>
      <c r="W168" t="e" cm="1">
        <f t="array" aca="1" ref="W168" ca="1">_xlfn.IFS(N168&gt;=20, "High",N168&gt;=10, "Medium", N168&lt;10, "Low")</f>
        <v>#NAME?</v>
      </c>
      <c r="X168" t="str">
        <f t="shared" si="9"/>
        <v>High Budget</v>
      </c>
      <c r="Y168" s="7">
        <f>VLOOKUP(G168, Lookup_table!B:C,2,0)</f>
        <v>1.2</v>
      </c>
      <c r="Z168" t="str">
        <f t="shared" si="10"/>
        <v>Efficient Spend</v>
      </c>
      <c r="AA168" t="str">
        <f>VLOOKUP(H168, Lookup_table!E:F,2,0)</f>
        <v>High</v>
      </c>
    </row>
    <row r="169" spans="1:27" ht="17.5" customHeight="1" x14ac:dyDescent="0.35">
      <c r="A169" s="1" t="s">
        <v>309</v>
      </c>
      <c r="B169" s="2">
        <v>45337</v>
      </c>
      <c r="C169" s="1" t="s">
        <v>253</v>
      </c>
      <c r="D169" s="1">
        <v>45</v>
      </c>
      <c r="E169" s="1" t="s">
        <v>29</v>
      </c>
      <c r="F169" s="1" t="s">
        <v>57</v>
      </c>
      <c r="G169" s="1" t="s">
        <v>25</v>
      </c>
      <c r="H169" s="1" t="s">
        <v>36</v>
      </c>
      <c r="I169" s="1">
        <v>1302.56</v>
      </c>
      <c r="J169" s="1">
        <v>45017</v>
      </c>
      <c r="K169" s="1">
        <v>251</v>
      </c>
      <c r="L169" s="1">
        <v>50</v>
      </c>
      <c r="N169" s="1">
        <v>0.55756714100000004</v>
      </c>
      <c r="O169" s="1">
        <v>19.920318730000002</v>
      </c>
      <c r="P169" s="1">
        <f t="shared" si="0"/>
        <v>3</v>
      </c>
      <c r="V169" t="str">
        <f t="shared" si="8"/>
        <v>Low Performer</v>
      </c>
      <c r="W169" t="e" cm="1">
        <f t="array" aca="1" ref="W169" ca="1">_xlfn.IFS(N169&gt;=20, "High",N169&gt;=10, "Medium", N169&lt;10, "Low")</f>
        <v>#NAME?</v>
      </c>
      <c r="X169" t="str">
        <f t="shared" si="9"/>
        <v>High Budget</v>
      </c>
      <c r="Y169" s="7">
        <f>VLOOKUP(G169, Lookup_table!B:C,2,0)</f>
        <v>0.5</v>
      </c>
      <c r="Z169" t="str">
        <f t="shared" si="10"/>
        <v>Inefficient Spend</v>
      </c>
      <c r="AA169" t="str">
        <f>VLOOKUP(H169, Lookup_table!E:F,2,0)</f>
        <v>High</v>
      </c>
    </row>
    <row r="170" spans="1:27" ht="17.5" customHeight="1" x14ac:dyDescent="0.35">
      <c r="A170" s="1" t="s">
        <v>310</v>
      </c>
      <c r="B170" s="2">
        <v>45653</v>
      </c>
      <c r="C170" s="1" t="s">
        <v>68</v>
      </c>
      <c r="D170" s="1">
        <v>18</v>
      </c>
      <c r="E170" s="1" t="s">
        <v>35</v>
      </c>
      <c r="F170" s="1" t="s">
        <v>57</v>
      </c>
      <c r="G170" s="1" t="s">
        <v>42</v>
      </c>
      <c r="H170" s="1" t="s">
        <v>62</v>
      </c>
      <c r="I170" s="1">
        <v>1092.58</v>
      </c>
      <c r="J170" s="1">
        <v>41758</v>
      </c>
      <c r="K170" s="1">
        <v>4051</v>
      </c>
      <c r="L170" s="1">
        <v>84</v>
      </c>
      <c r="M170" s="1">
        <v>4</v>
      </c>
      <c r="N170" s="1">
        <v>9.7011351119999993</v>
      </c>
      <c r="O170" s="1">
        <v>2.0735620830000001</v>
      </c>
      <c r="P170" s="1">
        <f t="shared" si="0"/>
        <v>4</v>
      </c>
      <c r="V170" t="str">
        <f t="shared" si="8"/>
        <v>Low Performer</v>
      </c>
      <c r="W170" t="e" cm="1">
        <f t="array" aca="1" ref="W170" ca="1">_xlfn.IFS(N170&gt;=20, "High",N170&gt;=10, "Medium", N170&lt;10, "Low")</f>
        <v>#NAME?</v>
      </c>
      <c r="X170" t="str">
        <f t="shared" si="9"/>
        <v>High Budget</v>
      </c>
      <c r="Y170" s="7">
        <f>VLOOKUP(G170, Lookup_table!B:C,2,0)</f>
        <v>0.3</v>
      </c>
      <c r="Z170" t="str">
        <f t="shared" si="10"/>
        <v>Efficient Spend</v>
      </c>
      <c r="AA170" t="str">
        <f>VLOOKUP(H170, Lookup_table!E:F,2,0)</f>
        <v>Medium</v>
      </c>
    </row>
    <row r="171" spans="1:27" ht="17.5" customHeight="1" x14ac:dyDescent="0.35">
      <c r="A171" s="1" t="s">
        <v>311</v>
      </c>
      <c r="B171" s="2">
        <v>45334</v>
      </c>
      <c r="C171" s="1" t="s">
        <v>312</v>
      </c>
      <c r="D171" s="1">
        <v>39</v>
      </c>
      <c r="E171" s="1" t="s">
        <v>35</v>
      </c>
      <c r="F171" s="1" t="s">
        <v>45</v>
      </c>
      <c r="G171" s="1" t="s">
        <v>31</v>
      </c>
      <c r="H171" s="1" t="s">
        <v>36</v>
      </c>
      <c r="I171" s="1">
        <v>835.42</v>
      </c>
      <c r="J171" s="1">
        <v>7997</v>
      </c>
      <c r="K171" s="1">
        <v>2332</v>
      </c>
      <c r="L171" s="1">
        <v>117</v>
      </c>
      <c r="M171" s="1">
        <v>1</v>
      </c>
      <c r="N171" s="1">
        <v>29.160935349999999</v>
      </c>
      <c r="O171" s="1">
        <v>5.0171526589999997</v>
      </c>
      <c r="P171" s="1">
        <f t="shared" si="0"/>
        <v>1</v>
      </c>
      <c r="V171" t="str">
        <f t="shared" si="8"/>
        <v>Average Performer</v>
      </c>
      <c r="W171" t="e" cm="1">
        <f t="array" aca="1" ref="W171" ca="1">_xlfn.IFS(N171&gt;=20, "High",N171&gt;=10, "Medium", N171&lt;10, "Low")</f>
        <v>#NAME?</v>
      </c>
      <c r="X171" t="str">
        <f t="shared" si="9"/>
        <v>Medium Budget</v>
      </c>
      <c r="Y171" s="7">
        <f>VLOOKUP(G171, Lookup_table!B:C,2,0)</f>
        <v>1.2</v>
      </c>
      <c r="Z171" t="str">
        <f t="shared" si="10"/>
        <v>Efficient Spend</v>
      </c>
      <c r="AA171" t="str">
        <f>VLOOKUP(H171, Lookup_table!E:F,2,0)</f>
        <v>High</v>
      </c>
    </row>
    <row r="172" spans="1:27" ht="17.5" customHeight="1" x14ac:dyDescent="0.35">
      <c r="A172" s="1" t="s">
        <v>313</v>
      </c>
      <c r="B172" s="2">
        <v>45644</v>
      </c>
      <c r="C172" s="1" t="s">
        <v>77</v>
      </c>
      <c r="E172" s="1" t="s">
        <v>35</v>
      </c>
      <c r="G172" s="1" t="s">
        <v>61</v>
      </c>
      <c r="H172" s="1" t="s">
        <v>36</v>
      </c>
      <c r="I172" s="1">
        <v>1636.97</v>
      </c>
      <c r="J172" s="1">
        <v>24481</v>
      </c>
      <c r="K172" s="1">
        <v>2827</v>
      </c>
      <c r="L172" s="1">
        <v>93</v>
      </c>
      <c r="N172" s="1">
        <v>11.54773089</v>
      </c>
      <c r="O172" s="1">
        <v>3.2897064029999998</v>
      </c>
      <c r="P172" s="1">
        <f t="shared" si="0"/>
        <v>3</v>
      </c>
      <c r="V172" t="str">
        <f t="shared" si="8"/>
        <v>Low Performer</v>
      </c>
      <c r="W172" t="e" cm="1">
        <f t="array" aca="1" ref="W172" ca="1">_xlfn.IFS(N172&gt;=20, "High",N172&gt;=10, "Medium", N172&lt;10, "Low")</f>
        <v>#NAME?</v>
      </c>
      <c r="X172" t="str">
        <f t="shared" si="9"/>
        <v>High Budget</v>
      </c>
      <c r="Y172" s="7">
        <f>VLOOKUP(G172, Lookup_table!B:C,2,0)</f>
        <v>0.2</v>
      </c>
      <c r="Z172" t="str">
        <f t="shared" si="10"/>
        <v>Inefficient Spend</v>
      </c>
      <c r="AA172" t="str">
        <f>VLOOKUP(H172, Lookup_table!E:F,2,0)</f>
        <v>High</v>
      </c>
    </row>
    <row r="173" spans="1:27" ht="17.5" customHeight="1" x14ac:dyDescent="0.35">
      <c r="A173" s="1" t="s">
        <v>314</v>
      </c>
      <c r="B173" s="2">
        <v>45582</v>
      </c>
      <c r="C173" s="1" t="s">
        <v>315</v>
      </c>
      <c r="D173" s="1">
        <v>63</v>
      </c>
      <c r="E173" s="1" t="s">
        <v>29</v>
      </c>
      <c r="F173" s="1" t="s">
        <v>57</v>
      </c>
      <c r="G173" s="1" t="s">
        <v>31</v>
      </c>
      <c r="H173" s="1" t="s">
        <v>26</v>
      </c>
      <c r="I173" s="1">
        <v>1077.04</v>
      </c>
      <c r="J173" s="1">
        <v>4347</v>
      </c>
      <c r="K173" s="1">
        <v>3382</v>
      </c>
      <c r="L173" s="1">
        <v>163</v>
      </c>
      <c r="M173" s="1">
        <v>2</v>
      </c>
      <c r="N173" s="1">
        <v>77.800782150000003</v>
      </c>
      <c r="O173" s="1">
        <v>4.8196333530000004</v>
      </c>
      <c r="P173" s="1">
        <f t="shared" si="0"/>
        <v>2</v>
      </c>
      <c r="V173" t="str">
        <f t="shared" si="8"/>
        <v>Average Performer</v>
      </c>
      <c r="W173" t="e" cm="1">
        <f t="array" aca="1" ref="W173" ca="1">_xlfn.IFS(N173&gt;=20, "High",N173&gt;=10, "Medium", N173&lt;10, "Low")</f>
        <v>#NAME?</v>
      </c>
      <c r="X173" t="str">
        <f t="shared" si="9"/>
        <v>High Budget</v>
      </c>
      <c r="Y173" s="7">
        <f>VLOOKUP(G173, Lookup_table!B:C,2,0)</f>
        <v>1.2</v>
      </c>
      <c r="Z173" t="str">
        <f t="shared" si="10"/>
        <v>Efficient Spend</v>
      </c>
      <c r="AA173" t="str">
        <f>VLOOKUP(H173, Lookup_table!E:F,2,0)</f>
        <v>High</v>
      </c>
    </row>
    <row r="174" spans="1:27" ht="17.5" customHeight="1" x14ac:dyDescent="0.35">
      <c r="A174" s="1" t="s">
        <v>316</v>
      </c>
      <c r="B174" s="2">
        <v>45387</v>
      </c>
      <c r="C174" s="1" t="s">
        <v>317</v>
      </c>
      <c r="D174" s="1">
        <v>21</v>
      </c>
      <c r="E174" s="1" t="s">
        <v>29</v>
      </c>
      <c r="F174" s="1" t="s">
        <v>45</v>
      </c>
      <c r="G174" s="1" t="s">
        <v>42</v>
      </c>
      <c r="H174" s="1" t="s">
        <v>36</v>
      </c>
      <c r="I174" s="1">
        <v>1509.02</v>
      </c>
      <c r="J174" s="1">
        <v>39791</v>
      </c>
      <c r="K174" s="1">
        <v>3198</v>
      </c>
      <c r="L174" s="1">
        <v>283</v>
      </c>
      <c r="M174" s="1">
        <v>2</v>
      </c>
      <c r="N174" s="1">
        <v>8.0369932899999998</v>
      </c>
      <c r="O174" s="1">
        <v>8.8492808010000008</v>
      </c>
      <c r="P174" s="1">
        <f t="shared" si="0"/>
        <v>2</v>
      </c>
      <c r="V174" t="str">
        <f t="shared" si="8"/>
        <v>Top Performer</v>
      </c>
      <c r="W174" t="e" cm="1">
        <f t="array" aca="1" ref="W174" ca="1">_xlfn.IFS(N174&gt;=20, "High",N174&gt;=10, "Medium", N174&lt;10, "Low")</f>
        <v>#NAME?</v>
      </c>
      <c r="X174" t="str">
        <f t="shared" si="9"/>
        <v>High Budget</v>
      </c>
      <c r="Y174" s="7">
        <f>VLOOKUP(G174, Lookup_table!B:C,2,0)</f>
        <v>0.3</v>
      </c>
      <c r="Z174" t="str">
        <f t="shared" si="10"/>
        <v>Inefficient Spend</v>
      </c>
      <c r="AA174" t="str">
        <f>VLOOKUP(H174, Lookup_table!E:F,2,0)</f>
        <v>High</v>
      </c>
    </row>
    <row r="175" spans="1:27" ht="17.5" customHeight="1" x14ac:dyDescent="0.35">
      <c r="A175" s="1" t="s">
        <v>318</v>
      </c>
      <c r="B175" s="2">
        <v>45475</v>
      </c>
      <c r="C175" s="1" t="s">
        <v>319</v>
      </c>
      <c r="D175" s="1">
        <v>23</v>
      </c>
      <c r="E175" s="1" t="s">
        <v>29</v>
      </c>
      <c r="F175" s="1" t="s">
        <v>50</v>
      </c>
      <c r="G175" s="1" t="s">
        <v>25</v>
      </c>
      <c r="H175" s="1" t="s">
        <v>36</v>
      </c>
      <c r="I175" s="1">
        <v>1057.3399999999999</v>
      </c>
      <c r="J175" s="1">
        <v>3895</v>
      </c>
      <c r="K175" s="1">
        <v>1298</v>
      </c>
      <c r="L175" s="1">
        <v>218</v>
      </c>
      <c r="M175" s="1">
        <v>5</v>
      </c>
      <c r="N175" s="1">
        <v>33.324775350000003</v>
      </c>
      <c r="O175" s="1">
        <v>16.795069340000001</v>
      </c>
      <c r="P175" s="1">
        <f t="shared" si="0"/>
        <v>5</v>
      </c>
      <c r="V175" t="str">
        <f t="shared" si="8"/>
        <v>Average Performer</v>
      </c>
      <c r="W175" t="e" cm="1">
        <f t="array" aca="1" ref="W175" ca="1">_xlfn.IFS(N175&gt;=20, "High",N175&gt;=10, "Medium", N175&lt;10, "Low")</f>
        <v>#NAME?</v>
      </c>
      <c r="X175" t="str">
        <f t="shared" si="9"/>
        <v>High Budget</v>
      </c>
      <c r="Y175" s="7">
        <f>VLOOKUP(G175, Lookup_table!B:C,2,0)</f>
        <v>0.5</v>
      </c>
      <c r="Z175" t="str">
        <f t="shared" si="10"/>
        <v>Inefficient Spend</v>
      </c>
      <c r="AA175" t="str">
        <f>VLOOKUP(H175, Lookup_table!E:F,2,0)</f>
        <v>High</v>
      </c>
    </row>
    <row r="176" spans="1:27" ht="17.5" customHeight="1" x14ac:dyDescent="0.35">
      <c r="A176" s="1" t="s">
        <v>320</v>
      </c>
      <c r="B176" s="2">
        <v>45522</v>
      </c>
      <c r="C176" s="1" t="s">
        <v>279</v>
      </c>
      <c r="D176" s="1">
        <v>18</v>
      </c>
      <c r="E176" s="1" t="s">
        <v>35</v>
      </c>
      <c r="F176" s="1" t="s">
        <v>24</v>
      </c>
      <c r="G176" s="1" t="s">
        <v>31</v>
      </c>
      <c r="H176" s="1" t="s">
        <v>32</v>
      </c>
      <c r="I176" s="1">
        <v>317.67</v>
      </c>
      <c r="J176" s="1">
        <v>23696</v>
      </c>
      <c r="K176" s="1">
        <v>2329</v>
      </c>
      <c r="L176" s="1">
        <v>341</v>
      </c>
      <c r="M176" s="1">
        <v>5</v>
      </c>
      <c r="N176" s="1">
        <v>9.8286630650000006</v>
      </c>
      <c r="O176" s="1">
        <v>14.641477030000001</v>
      </c>
      <c r="P176" s="1">
        <f t="shared" si="0"/>
        <v>5</v>
      </c>
      <c r="V176" t="str">
        <f t="shared" si="8"/>
        <v>Average Performer</v>
      </c>
      <c r="W176" t="e" cm="1">
        <f t="array" aca="1" ref="W176" ca="1">_xlfn.IFS(N176&gt;=20, "High",N176&gt;=10, "Medium", N176&lt;10, "Low")</f>
        <v>#NAME?</v>
      </c>
      <c r="X176" t="str">
        <f t="shared" si="9"/>
        <v>Low Budget</v>
      </c>
      <c r="Y176" s="7">
        <f>VLOOKUP(G176, Lookup_table!B:C,2,0)</f>
        <v>1.2</v>
      </c>
      <c r="Z176" t="str">
        <f t="shared" si="10"/>
        <v>Efficient Spend</v>
      </c>
      <c r="AA176" t="str">
        <f>VLOOKUP(H176, Lookup_table!E:F,2,0)</f>
        <v>Medium</v>
      </c>
    </row>
    <row r="177" spans="1:27" ht="17.5" customHeight="1" x14ac:dyDescent="0.35">
      <c r="A177" s="1" t="s">
        <v>321</v>
      </c>
      <c r="B177" s="2">
        <v>45557</v>
      </c>
      <c r="C177" s="1" t="s">
        <v>115</v>
      </c>
      <c r="D177" s="1">
        <v>63</v>
      </c>
      <c r="E177" s="1" t="s">
        <v>29</v>
      </c>
      <c r="F177" s="1" t="s">
        <v>57</v>
      </c>
      <c r="G177" s="1" t="s">
        <v>31</v>
      </c>
      <c r="H177" s="1" t="s">
        <v>26</v>
      </c>
      <c r="I177" s="1">
        <v>285.07</v>
      </c>
      <c r="J177" s="1">
        <v>38068</v>
      </c>
      <c r="K177" s="1">
        <v>2716</v>
      </c>
      <c r="L177" s="1">
        <v>243</v>
      </c>
      <c r="M177" s="1">
        <v>4</v>
      </c>
      <c r="N177" s="1">
        <v>7.1346012400000003</v>
      </c>
      <c r="O177" s="1">
        <v>8.9469808539999995</v>
      </c>
      <c r="P177" s="1">
        <f t="shared" si="0"/>
        <v>4</v>
      </c>
      <c r="V177" t="str">
        <f t="shared" si="8"/>
        <v>Average Performer</v>
      </c>
      <c r="W177" t="e" cm="1">
        <f t="array" aca="1" ref="W177" ca="1">_xlfn.IFS(N177&gt;=20, "High",N177&gt;=10, "Medium", N177&lt;10, "Low")</f>
        <v>#NAME?</v>
      </c>
      <c r="X177" t="str">
        <f t="shared" si="9"/>
        <v>Low Budget</v>
      </c>
      <c r="Y177" s="7">
        <f>VLOOKUP(G177, Lookup_table!B:C,2,0)</f>
        <v>1.2</v>
      </c>
      <c r="Z177" t="str">
        <f t="shared" si="10"/>
        <v>Efficient Spend</v>
      </c>
      <c r="AA177" t="str">
        <f>VLOOKUP(H177, Lookup_table!E:F,2,0)</f>
        <v>High</v>
      </c>
    </row>
    <row r="178" spans="1:27" ht="17.5" customHeight="1" x14ac:dyDescent="0.35">
      <c r="A178" s="1" t="s">
        <v>322</v>
      </c>
      <c r="B178" s="2">
        <v>45561</v>
      </c>
      <c r="C178" s="1" t="s">
        <v>302</v>
      </c>
      <c r="D178" s="1">
        <v>35</v>
      </c>
      <c r="E178" s="1" t="s">
        <v>23</v>
      </c>
      <c r="F178" s="1" t="s">
        <v>30</v>
      </c>
      <c r="G178" s="1" t="s">
        <v>25</v>
      </c>
      <c r="H178" s="1" t="s">
        <v>26</v>
      </c>
      <c r="I178" s="1">
        <v>110.33</v>
      </c>
      <c r="J178" s="1">
        <v>30034</v>
      </c>
      <c r="K178" s="1">
        <v>2366</v>
      </c>
      <c r="L178" s="1">
        <v>97</v>
      </c>
      <c r="M178" s="1">
        <v>3</v>
      </c>
      <c r="N178" s="1">
        <v>7.8777385630000003</v>
      </c>
      <c r="O178" s="1">
        <v>4.0997464069999996</v>
      </c>
      <c r="P178" s="1">
        <f t="shared" si="0"/>
        <v>3</v>
      </c>
      <c r="V178" t="str">
        <f t="shared" si="8"/>
        <v>Low Performer</v>
      </c>
      <c r="W178" t="e" cm="1">
        <f t="array" aca="1" ref="W178" ca="1">_xlfn.IFS(N178&gt;=20, "High",N178&gt;=10, "Medium", N178&lt;10, "Low")</f>
        <v>#NAME?</v>
      </c>
      <c r="X178" t="str">
        <f t="shared" si="9"/>
        <v>Low Budget</v>
      </c>
      <c r="Y178" s="7">
        <f>VLOOKUP(G178, Lookup_table!B:C,2,0)</f>
        <v>0.5</v>
      </c>
      <c r="Z178" t="str">
        <f t="shared" si="10"/>
        <v>Efficient Spend</v>
      </c>
      <c r="AA178" t="str">
        <f>VLOOKUP(H178, Lookup_table!E:F,2,0)</f>
        <v>High</v>
      </c>
    </row>
    <row r="179" spans="1:27" ht="17.5" customHeight="1" x14ac:dyDescent="0.35">
      <c r="A179" s="1" t="s">
        <v>323</v>
      </c>
      <c r="B179" s="2">
        <v>45633</v>
      </c>
      <c r="C179" s="1" t="s">
        <v>324</v>
      </c>
      <c r="D179" s="1">
        <v>28</v>
      </c>
      <c r="E179" s="1" t="s">
        <v>35</v>
      </c>
      <c r="F179" s="1" t="s">
        <v>41</v>
      </c>
      <c r="G179" s="1" t="s">
        <v>31</v>
      </c>
      <c r="H179" s="1" t="s">
        <v>62</v>
      </c>
      <c r="I179" s="1">
        <v>641.88</v>
      </c>
      <c r="J179" s="1">
        <v>33060</v>
      </c>
      <c r="K179" s="1">
        <v>560</v>
      </c>
      <c r="L179" s="1">
        <v>331</v>
      </c>
      <c r="M179" s="1">
        <v>1</v>
      </c>
      <c r="N179" s="1">
        <v>1.693889897</v>
      </c>
      <c r="O179" s="1">
        <v>59.107142860000003</v>
      </c>
      <c r="P179" s="1">
        <f t="shared" si="0"/>
        <v>1</v>
      </c>
      <c r="V179" t="str">
        <f t="shared" si="8"/>
        <v>Low Performer</v>
      </c>
      <c r="W179" t="e" cm="1">
        <f t="array" aca="1" ref="W179" ca="1">_xlfn.IFS(N179&gt;=20, "High",N179&gt;=10, "Medium", N179&lt;10, "Low")</f>
        <v>#NAME?</v>
      </c>
      <c r="X179" t="str">
        <f t="shared" si="9"/>
        <v>Medium Budget</v>
      </c>
      <c r="Y179" s="7">
        <f>VLOOKUP(G179, Lookup_table!B:C,2,0)</f>
        <v>1.2</v>
      </c>
      <c r="Z179" t="str">
        <f t="shared" si="10"/>
        <v>Efficient Spend</v>
      </c>
      <c r="AA179" t="str">
        <f>VLOOKUP(H179, Lookup_table!E:F,2,0)</f>
        <v>Medium</v>
      </c>
    </row>
    <row r="180" spans="1:27" ht="17.5" customHeight="1" x14ac:dyDescent="0.35">
      <c r="A180" s="1" t="s">
        <v>325</v>
      </c>
      <c r="B180" s="2">
        <v>45293</v>
      </c>
      <c r="C180" s="1" t="s">
        <v>199</v>
      </c>
      <c r="D180" s="1">
        <v>57</v>
      </c>
      <c r="E180" s="1" t="s">
        <v>35</v>
      </c>
      <c r="F180" s="1" t="s">
        <v>57</v>
      </c>
      <c r="G180" s="1" t="s">
        <v>42</v>
      </c>
      <c r="H180" s="1" t="s">
        <v>62</v>
      </c>
      <c r="I180" s="1">
        <v>304.58999999999997</v>
      </c>
      <c r="J180" s="1">
        <v>9742</v>
      </c>
      <c r="K180" s="1">
        <v>2808</v>
      </c>
      <c r="L180" s="1">
        <v>397</v>
      </c>
      <c r="M180" s="1">
        <v>2</v>
      </c>
      <c r="N180" s="1">
        <v>28.823650170000001</v>
      </c>
      <c r="O180" s="1">
        <v>14.138176639999999</v>
      </c>
      <c r="P180" s="1">
        <f t="shared" si="0"/>
        <v>2</v>
      </c>
      <c r="V180" t="str">
        <f t="shared" si="8"/>
        <v>Average Performer</v>
      </c>
      <c r="W180" t="e" cm="1">
        <f t="array" aca="1" ref="W180" ca="1">_xlfn.IFS(N180&gt;=20, "High",N180&gt;=10, "Medium", N180&lt;10, "Low")</f>
        <v>#NAME?</v>
      </c>
      <c r="X180" t="str">
        <f t="shared" si="9"/>
        <v>Low Budget</v>
      </c>
      <c r="Y180" s="7">
        <f>VLOOKUP(G180, Lookup_table!B:C,2,0)</f>
        <v>0.3</v>
      </c>
      <c r="Z180" t="str">
        <f t="shared" si="10"/>
        <v>Efficient Spend</v>
      </c>
      <c r="AA180" t="str">
        <f>VLOOKUP(H180, Lookup_table!E:F,2,0)</f>
        <v>Medium</v>
      </c>
    </row>
    <row r="181" spans="1:27" ht="17.5" customHeight="1" x14ac:dyDescent="0.35">
      <c r="A181" s="1" t="s">
        <v>326</v>
      </c>
      <c r="B181" s="2">
        <v>45579</v>
      </c>
      <c r="C181" s="1" t="s">
        <v>327</v>
      </c>
      <c r="E181" s="1" t="s">
        <v>29</v>
      </c>
      <c r="G181" s="1" t="s">
        <v>61</v>
      </c>
      <c r="H181" s="1" t="s">
        <v>26</v>
      </c>
      <c r="I181" s="1">
        <v>1625.89</v>
      </c>
      <c r="J181" s="1">
        <v>737</v>
      </c>
      <c r="K181" s="1">
        <v>1817</v>
      </c>
      <c r="L181" s="1">
        <v>42</v>
      </c>
      <c r="N181" s="1">
        <v>246.5400271</v>
      </c>
      <c r="O181" s="1">
        <v>2.3115024769999999</v>
      </c>
      <c r="P181" s="1">
        <f t="shared" si="0"/>
        <v>3</v>
      </c>
      <c r="U181" s="1">
        <f>COUNTIF(N177:N1000, N181&gt;100)</f>
        <v>0</v>
      </c>
      <c r="V181" t="str">
        <f t="shared" si="8"/>
        <v>Low Performer</v>
      </c>
      <c r="W181" t="e" cm="1">
        <f t="array" aca="1" ref="W181" ca="1">_xlfn.IFS(N181&gt;=20, "High",N181&gt;=10, "Medium", N181&lt;10, "Low")</f>
        <v>#NAME?</v>
      </c>
      <c r="X181" t="str">
        <f t="shared" si="9"/>
        <v>High Budget</v>
      </c>
      <c r="Y181" s="7">
        <f>VLOOKUP(G181, Lookup_table!B:C,2,0)</f>
        <v>0.2</v>
      </c>
      <c r="Z181" t="str">
        <f t="shared" si="10"/>
        <v>Inefficient Spend</v>
      </c>
      <c r="AA181" t="str">
        <f>VLOOKUP(H181, Lookup_table!E:F,2,0)</f>
        <v>High</v>
      </c>
    </row>
    <row r="182" spans="1:27" ht="17.5" customHeight="1" x14ac:dyDescent="0.35">
      <c r="A182" s="1" t="s">
        <v>328</v>
      </c>
      <c r="B182" s="2">
        <v>45500</v>
      </c>
      <c r="C182" s="1" t="s">
        <v>329</v>
      </c>
      <c r="D182" s="1">
        <v>57</v>
      </c>
      <c r="E182" s="1" t="s">
        <v>23</v>
      </c>
      <c r="F182" s="1" t="s">
        <v>30</v>
      </c>
      <c r="G182" s="1" t="s">
        <v>46</v>
      </c>
      <c r="H182" s="1" t="s">
        <v>32</v>
      </c>
      <c r="I182" s="1">
        <v>1031.83</v>
      </c>
      <c r="J182" s="1">
        <v>41302</v>
      </c>
      <c r="K182" s="1">
        <v>1392</v>
      </c>
      <c r="L182" s="1">
        <v>289</v>
      </c>
      <c r="N182" s="1">
        <v>3.3702968379999998</v>
      </c>
      <c r="O182" s="1">
        <v>20.761494249999998</v>
      </c>
      <c r="P182" s="1">
        <f t="shared" si="0"/>
        <v>3</v>
      </c>
      <c r="V182" t="str">
        <f t="shared" si="8"/>
        <v>Average Performer</v>
      </c>
      <c r="W182" t="e" cm="1">
        <f t="array" aca="1" ref="W182" ca="1">_xlfn.IFS(N182&gt;=20, "High",N182&gt;=10, "Medium", N182&lt;10, "Low")</f>
        <v>#NAME?</v>
      </c>
      <c r="X182" t="str">
        <f t="shared" si="9"/>
        <v>High Budget</v>
      </c>
      <c r="Y182" s="7">
        <f>VLOOKUP(G182, Lookup_table!B:C,2,0)</f>
        <v>0.75</v>
      </c>
      <c r="Z182" t="str">
        <f t="shared" si="10"/>
        <v>Efficient Spend</v>
      </c>
      <c r="AA182" t="str">
        <f>VLOOKUP(H182, Lookup_table!E:F,2,0)</f>
        <v>Medium</v>
      </c>
    </row>
    <row r="183" spans="1:27" ht="17.5" customHeight="1" x14ac:dyDescent="0.35">
      <c r="A183" s="1" t="s">
        <v>330</v>
      </c>
      <c r="B183" s="2">
        <v>45340</v>
      </c>
      <c r="C183" s="1" t="s">
        <v>119</v>
      </c>
      <c r="D183" s="1">
        <v>20</v>
      </c>
      <c r="E183" s="1" t="s">
        <v>23</v>
      </c>
      <c r="F183" s="1" t="s">
        <v>41</v>
      </c>
      <c r="G183" s="1" t="s">
        <v>46</v>
      </c>
      <c r="H183" s="1" t="s">
        <v>26</v>
      </c>
      <c r="I183" s="1">
        <v>1164.83</v>
      </c>
      <c r="J183" s="1">
        <v>27872</v>
      </c>
      <c r="K183" s="1">
        <v>3872</v>
      </c>
      <c r="L183" s="1">
        <v>354</v>
      </c>
      <c r="M183" s="1">
        <v>2</v>
      </c>
      <c r="N183" s="1">
        <v>13.89207807</v>
      </c>
      <c r="O183" s="1">
        <v>9.1425619830000002</v>
      </c>
      <c r="P183" s="1">
        <f t="shared" si="0"/>
        <v>2</v>
      </c>
      <c r="V183" t="str">
        <f t="shared" si="8"/>
        <v>Top Performer</v>
      </c>
      <c r="W183" t="e" cm="1">
        <f t="array" aca="1" ref="W183" ca="1">_xlfn.IFS(N183&gt;=20, "High",N183&gt;=10, "Medium", N183&lt;10, "Low")</f>
        <v>#NAME?</v>
      </c>
      <c r="X183" t="str">
        <f t="shared" si="9"/>
        <v>High Budget</v>
      </c>
      <c r="Y183" s="7">
        <f>VLOOKUP(G183, Lookup_table!B:C,2,0)</f>
        <v>0.75</v>
      </c>
      <c r="Z183" t="str">
        <f t="shared" si="10"/>
        <v>Efficient Spend</v>
      </c>
      <c r="AA183" t="str">
        <f>VLOOKUP(H183, Lookup_table!E:F,2,0)</f>
        <v>High</v>
      </c>
    </row>
    <row r="184" spans="1:27" ht="17.5" customHeight="1" x14ac:dyDescent="0.35">
      <c r="A184" s="1" t="s">
        <v>331</v>
      </c>
      <c r="B184" s="2">
        <v>45445</v>
      </c>
      <c r="C184" s="1" t="s">
        <v>332</v>
      </c>
      <c r="D184" s="1">
        <v>37</v>
      </c>
      <c r="E184" s="1" t="s">
        <v>35</v>
      </c>
      <c r="F184" s="1" t="s">
        <v>24</v>
      </c>
      <c r="G184" s="1" t="s">
        <v>31</v>
      </c>
      <c r="H184" s="1" t="s">
        <v>62</v>
      </c>
      <c r="I184" s="1">
        <v>945.56</v>
      </c>
      <c r="J184" s="1">
        <v>11853</v>
      </c>
      <c r="K184" s="1">
        <v>81</v>
      </c>
      <c r="L184" s="1">
        <v>206</v>
      </c>
      <c r="N184" s="1">
        <v>0.68337129799999996</v>
      </c>
      <c r="O184" s="1">
        <v>254.32098769999999</v>
      </c>
      <c r="P184" s="1">
        <f t="shared" si="0"/>
        <v>3</v>
      </c>
      <c r="V184" t="str">
        <f t="shared" si="8"/>
        <v>Low Performer</v>
      </c>
      <c r="W184" t="e" cm="1">
        <f t="array" aca="1" ref="W184" ca="1">_xlfn.IFS(N184&gt;=20, "High",N184&gt;=10, "Medium", N184&lt;10, "Low")</f>
        <v>#NAME?</v>
      </c>
      <c r="X184" t="str">
        <f t="shared" si="9"/>
        <v>Medium Budget</v>
      </c>
      <c r="Y184" s="7">
        <f>VLOOKUP(G184, Lookup_table!B:C,2,0)</f>
        <v>1.2</v>
      </c>
      <c r="Z184" t="str">
        <f t="shared" si="10"/>
        <v>Inefficient Spend</v>
      </c>
      <c r="AA184" t="str">
        <f>VLOOKUP(H184, Lookup_table!E:F,2,0)</f>
        <v>Medium</v>
      </c>
    </row>
    <row r="185" spans="1:27" ht="17.5" customHeight="1" x14ac:dyDescent="0.35">
      <c r="A185" s="1" t="s">
        <v>333</v>
      </c>
      <c r="B185" s="2">
        <v>45453</v>
      </c>
      <c r="C185" s="1" t="s">
        <v>334</v>
      </c>
      <c r="D185" s="1">
        <v>40</v>
      </c>
      <c r="E185" s="1" t="s">
        <v>29</v>
      </c>
      <c r="F185" s="1" t="s">
        <v>30</v>
      </c>
      <c r="G185" s="1" t="s">
        <v>61</v>
      </c>
      <c r="H185" s="1" t="s">
        <v>36</v>
      </c>
      <c r="I185" s="1">
        <v>1340.52</v>
      </c>
      <c r="J185" s="1">
        <v>49606</v>
      </c>
      <c r="K185" s="1">
        <v>2365</v>
      </c>
      <c r="L185" s="1">
        <v>10</v>
      </c>
      <c r="M185" s="1">
        <v>2</v>
      </c>
      <c r="N185" s="1">
        <v>4.7675684389999997</v>
      </c>
      <c r="O185" s="1">
        <v>0.422832981</v>
      </c>
      <c r="P185" s="1">
        <f t="shared" si="0"/>
        <v>2</v>
      </c>
      <c r="V185" t="str">
        <f t="shared" si="8"/>
        <v>Low Performer</v>
      </c>
      <c r="W185" t="e" cm="1">
        <f t="array" aca="1" ref="W185" ca="1">_xlfn.IFS(N185&gt;=20, "High",N185&gt;=10, "Medium", N185&lt;10, "Low")</f>
        <v>#NAME?</v>
      </c>
      <c r="X185" t="str">
        <f t="shared" si="9"/>
        <v>High Budget</v>
      </c>
      <c r="Y185" s="7">
        <f>VLOOKUP(G185, Lookup_table!B:C,2,0)</f>
        <v>0.2</v>
      </c>
      <c r="Z185" t="str">
        <f t="shared" si="10"/>
        <v>Inefficient Spend</v>
      </c>
      <c r="AA185" t="str">
        <f>VLOOKUP(H185, Lookup_table!E:F,2,0)</f>
        <v>High</v>
      </c>
    </row>
    <row r="186" spans="1:27" ht="17.5" customHeight="1" x14ac:dyDescent="0.35">
      <c r="A186" s="1" t="s">
        <v>335</v>
      </c>
      <c r="B186" s="2">
        <v>45547</v>
      </c>
      <c r="C186" s="1" t="s">
        <v>336</v>
      </c>
      <c r="D186" s="1">
        <v>30</v>
      </c>
      <c r="E186" s="1" t="s">
        <v>23</v>
      </c>
      <c r="F186" s="1" t="s">
        <v>30</v>
      </c>
      <c r="G186" s="1" t="s">
        <v>42</v>
      </c>
      <c r="H186" s="1" t="s">
        <v>36</v>
      </c>
      <c r="I186" s="1">
        <v>1071.8800000000001</v>
      </c>
      <c r="J186" s="1">
        <v>19159</v>
      </c>
      <c r="K186" s="1">
        <v>4763</v>
      </c>
      <c r="L186" s="1">
        <v>302</v>
      </c>
      <c r="N186" s="1">
        <v>24.86037893</v>
      </c>
      <c r="O186" s="1">
        <v>6.3405416749999999</v>
      </c>
      <c r="P186" s="1">
        <f t="shared" si="0"/>
        <v>3</v>
      </c>
      <c r="V186" t="str">
        <f t="shared" si="8"/>
        <v>Top Performer</v>
      </c>
      <c r="W186" t="e" cm="1">
        <f t="array" aca="1" ref="W186" ca="1">_xlfn.IFS(N186&gt;=20, "High",N186&gt;=10, "Medium", N186&lt;10, "Low")</f>
        <v>#NAME?</v>
      </c>
      <c r="X186" t="str">
        <f t="shared" si="9"/>
        <v>High Budget</v>
      </c>
      <c r="Y186" s="7">
        <f>VLOOKUP(G186, Lookup_table!B:C,2,0)</f>
        <v>0.3</v>
      </c>
      <c r="Z186" t="str">
        <f t="shared" si="10"/>
        <v>Efficient Spend</v>
      </c>
      <c r="AA186" t="str">
        <f>VLOOKUP(H186, Lookup_table!E:F,2,0)</f>
        <v>High</v>
      </c>
    </row>
    <row r="187" spans="1:27" ht="17.5" customHeight="1" x14ac:dyDescent="0.35">
      <c r="A187" s="1" t="s">
        <v>337</v>
      </c>
      <c r="B187" s="2">
        <v>45630</v>
      </c>
      <c r="C187" s="1" t="s">
        <v>338</v>
      </c>
      <c r="D187" s="1">
        <v>42</v>
      </c>
      <c r="E187" s="1" t="s">
        <v>23</v>
      </c>
      <c r="F187" s="1" t="s">
        <v>24</v>
      </c>
      <c r="G187" s="1" t="s">
        <v>31</v>
      </c>
      <c r="H187" s="1" t="s">
        <v>36</v>
      </c>
      <c r="I187" s="1">
        <v>1871.86</v>
      </c>
      <c r="J187" s="1">
        <v>5843</v>
      </c>
      <c r="K187" s="1">
        <v>4548</v>
      </c>
      <c r="L187" s="1">
        <v>317</v>
      </c>
      <c r="M187" s="1">
        <v>5</v>
      </c>
      <c r="N187" s="1">
        <v>77.836727710000005</v>
      </c>
      <c r="O187" s="1">
        <v>6.9700967460000003</v>
      </c>
      <c r="P187" s="1">
        <f t="shared" si="0"/>
        <v>5</v>
      </c>
      <c r="V187" t="str">
        <f t="shared" si="8"/>
        <v>Top Performer</v>
      </c>
      <c r="W187" t="e" cm="1">
        <f t="array" aca="1" ref="W187" ca="1">_xlfn.IFS(N187&gt;=20, "High",N187&gt;=10, "Medium", N187&lt;10, "Low")</f>
        <v>#NAME?</v>
      </c>
      <c r="X187" t="str">
        <f t="shared" si="9"/>
        <v>High Budget</v>
      </c>
      <c r="Y187" s="7">
        <f>VLOOKUP(G187, Lookup_table!B:C,2,0)</f>
        <v>1.2</v>
      </c>
      <c r="Z187" t="str">
        <f t="shared" si="10"/>
        <v>Efficient Spend</v>
      </c>
      <c r="AA187" t="str">
        <f>VLOOKUP(H187, Lookup_table!E:F,2,0)</f>
        <v>High</v>
      </c>
    </row>
    <row r="188" spans="1:27" ht="17.5" customHeight="1" x14ac:dyDescent="0.35">
      <c r="A188" s="1" t="s">
        <v>339</v>
      </c>
      <c r="B188" s="2">
        <v>45356</v>
      </c>
      <c r="C188" s="1" t="s">
        <v>40</v>
      </c>
      <c r="D188" s="1">
        <v>20</v>
      </c>
      <c r="E188" s="1" t="s">
        <v>23</v>
      </c>
      <c r="F188" s="1" t="s">
        <v>24</v>
      </c>
      <c r="G188" s="1" t="s">
        <v>42</v>
      </c>
      <c r="H188" s="1" t="s">
        <v>32</v>
      </c>
      <c r="I188" s="1">
        <v>1691.24</v>
      </c>
      <c r="J188" s="1">
        <v>32091</v>
      </c>
      <c r="K188" s="1">
        <v>2988</v>
      </c>
      <c r="L188" s="1">
        <v>222</v>
      </c>
      <c r="N188" s="1">
        <v>9.3110217819999992</v>
      </c>
      <c r="O188" s="1">
        <v>7.4297188759999999</v>
      </c>
      <c r="P188" s="1">
        <f t="shared" si="0"/>
        <v>3</v>
      </c>
      <c r="V188" t="str">
        <f t="shared" si="8"/>
        <v>Average Performer</v>
      </c>
      <c r="W188" t="e" cm="1">
        <f t="array" aca="1" ref="W188" ca="1">_xlfn.IFS(N188&gt;=20, "High",N188&gt;=10, "Medium", N188&lt;10, "Low")</f>
        <v>#NAME?</v>
      </c>
      <c r="X188" t="str">
        <f t="shared" si="9"/>
        <v>High Budget</v>
      </c>
      <c r="Y188" s="7">
        <f>VLOOKUP(G188, Lookup_table!B:C,2,0)</f>
        <v>0.3</v>
      </c>
      <c r="Z188" t="str">
        <f t="shared" si="10"/>
        <v>Inefficient Spend</v>
      </c>
      <c r="AA188" t="str">
        <f>VLOOKUP(H188, Lookup_table!E:F,2,0)</f>
        <v>Medium</v>
      </c>
    </row>
    <row r="189" spans="1:27" ht="17.5" customHeight="1" x14ac:dyDescent="0.35">
      <c r="A189" s="1" t="s">
        <v>340</v>
      </c>
      <c r="B189" s="2">
        <v>45606</v>
      </c>
      <c r="C189" s="1" t="s">
        <v>40</v>
      </c>
      <c r="D189" s="1">
        <v>25</v>
      </c>
      <c r="E189" s="1" t="s">
        <v>29</v>
      </c>
      <c r="F189" s="1" t="s">
        <v>50</v>
      </c>
      <c r="G189" s="1" t="s">
        <v>46</v>
      </c>
      <c r="H189" s="1" t="s">
        <v>32</v>
      </c>
      <c r="I189" s="1">
        <v>412</v>
      </c>
      <c r="J189" s="1">
        <v>40238</v>
      </c>
      <c r="K189" s="1">
        <v>4935</v>
      </c>
      <c r="L189" s="1">
        <v>376</v>
      </c>
      <c r="M189" s="1">
        <v>4</v>
      </c>
      <c r="N189" s="1">
        <v>12.264526070000001</v>
      </c>
      <c r="O189" s="1">
        <v>7.6190476189999998</v>
      </c>
      <c r="P189" s="1">
        <f t="shared" si="0"/>
        <v>4</v>
      </c>
      <c r="V189" t="str">
        <f t="shared" si="8"/>
        <v>Top Performer</v>
      </c>
      <c r="W189" t="e" cm="1">
        <f t="array" aca="1" ref="W189" ca="1">_xlfn.IFS(N189&gt;=20, "High",N189&gt;=10, "Medium", N189&lt;10, "Low")</f>
        <v>#NAME?</v>
      </c>
      <c r="X189" t="str">
        <f t="shared" si="9"/>
        <v>Low Budget</v>
      </c>
      <c r="Y189" s="7">
        <f>VLOOKUP(G189, Lookup_table!B:C,2,0)</f>
        <v>0.75</v>
      </c>
      <c r="Z189" t="str">
        <f t="shared" si="10"/>
        <v>Efficient Spend</v>
      </c>
      <c r="AA189" t="str">
        <f>VLOOKUP(H189, Lookup_table!E:F,2,0)</f>
        <v>Medium</v>
      </c>
    </row>
    <row r="190" spans="1:27" ht="17.5" customHeight="1" x14ac:dyDescent="0.35">
      <c r="A190" s="1" t="s">
        <v>341</v>
      </c>
      <c r="B190" s="2">
        <v>45558</v>
      </c>
      <c r="C190" s="1" t="s">
        <v>297</v>
      </c>
      <c r="D190" s="1">
        <v>46</v>
      </c>
      <c r="E190" s="1" t="s">
        <v>35</v>
      </c>
      <c r="F190" s="1" t="s">
        <v>50</v>
      </c>
      <c r="G190" s="1" t="s">
        <v>25</v>
      </c>
      <c r="H190" s="1" t="s">
        <v>36</v>
      </c>
      <c r="I190" s="1">
        <v>1753.45</v>
      </c>
      <c r="J190" s="1">
        <v>46250</v>
      </c>
      <c r="K190" s="1">
        <v>243</v>
      </c>
      <c r="L190" s="1">
        <v>87</v>
      </c>
      <c r="M190" s="1">
        <v>5</v>
      </c>
      <c r="N190" s="1">
        <v>0.52540540499999999</v>
      </c>
      <c r="O190" s="1">
        <v>35.802469139999999</v>
      </c>
      <c r="P190" s="1">
        <f t="shared" si="0"/>
        <v>5</v>
      </c>
      <c r="V190" t="str">
        <f t="shared" si="8"/>
        <v>Low Performer</v>
      </c>
      <c r="W190" t="e" cm="1">
        <f t="array" aca="1" ref="W190" ca="1">_xlfn.IFS(N190&gt;=20, "High",N190&gt;=10, "Medium", N190&lt;10, "Low")</f>
        <v>#NAME?</v>
      </c>
      <c r="X190" t="str">
        <f t="shared" si="9"/>
        <v>High Budget</v>
      </c>
      <c r="Y190" s="7">
        <f>VLOOKUP(G190, Lookup_table!B:C,2,0)</f>
        <v>0.5</v>
      </c>
      <c r="Z190" t="str">
        <f t="shared" si="10"/>
        <v>Inefficient Spend</v>
      </c>
      <c r="AA190" t="str">
        <f>VLOOKUP(H190, Lookup_table!E:F,2,0)</f>
        <v>High</v>
      </c>
    </row>
    <row r="191" spans="1:27" ht="17.5" customHeight="1" x14ac:dyDescent="0.35">
      <c r="A191" s="1" t="s">
        <v>342</v>
      </c>
      <c r="B191" s="2">
        <v>45319</v>
      </c>
      <c r="C191" s="1" t="s">
        <v>343</v>
      </c>
      <c r="D191" s="1">
        <v>55</v>
      </c>
      <c r="E191" s="1" t="s">
        <v>29</v>
      </c>
      <c r="F191" s="1" t="s">
        <v>45</v>
      </c>
      <c r="G191" s="1" t="s">
        <v>42</v>
      </c>
      <c r="H191" s="1" t="s">
        <v>32</v>
      </c>
      <c r="I191" s="1">
        <v>965.48</v>
      </c>
      <c r="J191" s="1">
        <v>7358</v>
      </c>
      <c r="K191" s="1">
        <v>1985</v>
      </c>
      <c r="L191" s="1">
        <v>57</v>
      </c>
      <c r="M191" s="1">
        <v>4</v>
      </c>
      <c r="N191" s="1">
        <v>26.977439520000001</v>
      </c>
      <c r="O191" s="1">
        <v>2.8715365240000001</v>
      </c>
      <c r="P191" s="1">
        <f t="shared" si="0"/>
        <v>4</v>
      </c>
      <c r="V191" t="str">
        <f t="shared" si="8"/>
        <v>Low Performer</v>
      </c>
      <c r="W191" t="e" cm="1">
        <f t="array" aca="1" ref="W191" ca="1">_xlfn.IFS(N191&gt;=20, "High",N191&gt;=10, "Medium", N191&lt;10, "Low")</f>
        <v>#NAME?</v>
      </c>
      <c r="X191" t="str">
        <f t="shared" si="9"/>
        <v>Medium Budget</v>
      </c>
      <c r="Y191" s="7">
        <f>VLOOKUP(G191, Lookup_table!B:C,2,0)</f>
        <v>0.3</v>
      </c>
      <c r="Z191" t="str">
        <f t="shared" si="10"/>
        <v>Inefficient Spend</v>
      </c>
      <c r="AA191" t="str">
        <f>VLOOKUP(H191, Lookup_table!E:F,2,0)</f>
        <v>Medium</v>
      </c>
    </row>
    <row r="192" spans="1:27" ht="17.5" customHeight="1" x14ac:dyDescent="0.35">
      <c r="A192" s="1" t="s">
        <v>344</v>
      </c>
      <c r="B192" s="2">
        <v>45448</v>
      </c>
      <c r="C192" s="1" t="s">
        <v>329</v>
      </c>
      <c r="D192" s="1">
        <v>25</v>
      </c>
      <c r="E192" s="1" t="s">
        <v>35</v>
      </c>
      <c r="F192" s="1" t="s">
        <v>57</v>
      </c>
      <c r="G192" s="1" t="s">
        <v>25</v>
      </c>
      <c r="H192" s="1" t="s">
        <v>26</v>
      </c>
      <c r="I192" s="1">
        <v>1938.03</v>
      </c>
      <c r="J192" s="1">
        <v>40841</v>
      </c>
      <c r="K192" s="1">
        <v>32</v>
      </c>
      <c r="L192" s="1">
        <v>55</v>
      </c>
      <c r="M192" s="1">
        <v>1</v>
      </c>
      <c r="N192" s="1">
        <v>7.8352636000000003E-2</v>
      </c>
      <c r="O192" s="1">
        <v>171.875</v>
      </c>
      <c r="P192" s="1">
        <f t="shared" si="0"/>
        <v>1</v>
      </c>
      <c r="V192" t="str">
        <f t="shared" si="8"/>
        <v>Low Performer</v>
      </c>
      <c r="W192" t="e" cm="1">
        <f t="array" aca="1" ref="W192" ca="1">_xlfn.IFS(N192&gt;=20, "High",N192&gt;=10, "Medium", N192&lt;10, "Low")</f>
        <v>#NAME?</v>
      </c>
      <c r="X192" t="str">
        <f t="shared" si="9"/>
        <v>High Budget</v>
      </c>
      <c r="Y192" s="7">
        <f>VLOOKUP(G192, Lookup_table!B:C,2,0)</f>
        <v>0.5</v>
      </c>
      <c r="Z192" t="str">
        <f t="shared" si="10"/>
        <v>Inefficient Spend</v>
      </c>
      <c r="AA192" t="str">
        <f>VLOOKUP(H192, Lookup_table!E:F,2,0)</f>
        <v>High</v>
      </c>
    </row>
    <row r="193" spans="1:27" ht="17.5" customHeight="1" x14ac:dyDescent="0.35">
      <c r="A193" s="1" t="s">
        <v>345</v>
      </c>
      <c r="B193" s="2">
        <v>45300</v>
      </c>
      <c r="C193" s="1" t="s">
        <v>152</v>
      </c>
      <c r="E193" s="1" t="s">
        <v>29</v>
      </c>
      <c r="G193" s="1" t="s">
        <v>25</v>
      </c>
      <c r="H193" s="1" t="s">
        <v>36</v>
      </c>
      <c r="I193" s="1">
        <v>1216.25</v>
      </c>
      <c r="J193" s="1">
        <v>33832</v>
      </c>
      <c r="K193" s="1">
        <v>3981</v>
      </c>
      <c r="L193" s="1">
        <v>132</v>
      </c>
      <c r="N193" s="1">
        <v>11.76696619</v>
      </c>
      <c r="O193" s="1">
        <v>3.315749812</v>
      </c>
      <c r="P193" s="1">
        <f t="shared" si="0"/>
        <v>3</v>
      </c>
      <c r="V193" t="str">
        <f t="shared" si="8"/>
        <v>Average Performer</v>
      </c>
      <c r="W193" t="e" cm="1">
        <f t="array" aca="1" ref="W193" ca="1">_xlfn.IFS(N193&gt;=20, "High",N193&gt;=10, "Medium", N193&lt;10, "Low")</f>
        <v>#NAME?</v>
      </c>
      <c r="X193" t="str">
        <f t="shared" si="9"/>
        <v>High Budget</v>
      </c>
      <c r="Y193" s="7">
        <f>VLOOKUP(G193, Lookup_table!B:C,2,0)</f>
        <v>0.5</v>
      </c>
      <c r="Z193" t="str">
        <f t="shared" si="10"/>
        <v>Efficient Spend</v>
      </c>
      <c r="AA193" t="str">
        <f>VLOOKUP(H193, Lookup_table!E:F,2,0)</f>
        <v>High</v>
      </c>
    </row>
    <row r="194" spans="1:27" ht="17.5" customHeight="1" x14ac:dyDescent="0.35">
      <c r="A194" s="1" t="s">
        <v>346</v>
      </c>
      <c r="B194" s="2">
        <v>45539</v>
      </c>
      <c r="C194" s="1" t="s">
        <v>347</v>
      </c>
      <c r="D194" s="1">
        <v>53</v>
      </c>
      <c r="E194" s="1" t="s">
        <v>35</v>
      </c>
      <c r="F194" s="1" t="s">
        <v>57</v>
      </c>
      <c r="G194" s="1" t="s">
        <v>46</v>
      </c>
      <c r="H194" s="1" t="s">
        <v>32</v>
      </c>
      <c r="I194" s="1">
        <v>50.16</v>
      </c>
      <c r="J194" s="1">
        <v>3704</v>
      </c>
      <c r="K194" s="1">
        <v>160</v>
      </c>
      <c r="L194" s="1">
        <v>246</v>
      </c>
      <c r="M194" s="1">
        <v>5</v>
      </c>
      <c r="N194" s="1">
        <v>4.3196544279999998</v>
      </c>
      <c r="O194" s="1">
        <v>153.75</v>
      </c>
      <c r="P194" s="1">
        <f t="shared" si="0"/>
        <v>5</v>
      </c>
      <c r="V194" t="str">
        <f t="shared" ref="V194:V257" si="11">IF(AND(L194&gt;200,K194&gt;3000),"Top Performer", IF(AND(L194&gt;=100,K194&gt;=1000),"Average Performer","Low Performer"))</f>
        <v>Low Performer</v>
      </c>
      <c r="W194" t="e" cm="1">
        <f t="array" aca="1" ref="W194" ca="1">_xlfn.IFS(N194&gt;=20, "High",N194&gt;=10, "Medium", N194&lt;10, "Low")</f>
        <v>#NAME?</v>
      </c>
      <c r="X194" t="str">
        <f t="shared" ref="X194:X257" si="12">IF(I194&gt;1000, "High Budget",IF(I194&gt;=500, "Medium Budget", "Low Budget"))</f>
        <v>Low Budget</v>
      </c>
      <c r="Y194" s="7">
        <f>VLOOKUP(G194, Lookup_table!B:C,2,0)</f>
        <v>0.75</v>
      </c>
      <c r="Z194" t="str">
        <f t="shared" ref="Z194:Z257" si="13">IF(I194/K194&lt;Y194, "Efficient Spend", "Inefficient Spend")</f>
        <v>Efficient Spend</v>
      </c>
      <c r="AA194" t="str">
        <f>VLOOKUP(H194, Lookup_table!E:F,2,0)</f>
        <v>Medium</v>
      </c>
    </row>
    <row r="195" spans="1:27" ht="17.5" customHeight="1" x14ac:dyDescent="0.35">
      <c r="A195" s="1" t="s">
        <v>348</v>
      </c>
      <c r="B195" s="2">
        <v>45392</v>
      </c>
      <c r="C195" s="1" t="s">
        <v>220</v>
      </c>
      <c r="D195" s="1">
        <v>50</v>
      </c>
      <c r="E195" s="1" t="s">
        <v>29</v>
      </c>
      <c r="F195" s="1" t="s">
        <v>24</v>
      </c>
      <c r="G195" s="1" t="s">
        <v>61</v>
      </c>
      <c r="H195" s="1" t="s">
        <v>26</v>
      </c>
      <c r="I195" s="1">
        <v>67.47</v>
      </c>
      <c r="J195" s="1">
        <v>26963</v>
      </c>
      <c r="K195" s="1">
        <v>4916</v>
      </c>
      <c r="L195" s="1">
        <v>303</v>
      </c>
      <c r="M195" s="1">
        <v>5</v>
      </c>
      <c r="N195" s="1">
        <v>18.232392539999999</v>
      </c>
      <c r="O195" s="1">
        <v>6.1635476000000002</v>
      </c>
      <c r="P195" s="1">
        <f t="shared" si="0"/>
        <v>5</v>
      </c>
      <c r="V195" t="str">
        <f t="shared" si="11"/>
        <v>Top Performer</v>
      </c>
      <c r="W195" t="e" cm="1">
        <f t="array" aca="1" ref="W195" ca="1">_xlfn.IFS(N195&gt;=20, "High",N195&gt;=10, "Medium", N195&lt;10, "Low")</f>
        <v>#NAME?</v>
      </c>
      <c r="X195" t="str">
        <f t="shared" si="12"/>
        <v>Low Budget</v>
      </c>
      <c r="Y195" s="7">
        <f>VLOOKUP(G195, Lookup_table!B:C,2,0)</f>
        <v>0.2</v>
      </c>
      <c r="Z195" t="str">
        <f t="shared" si="13"/>
        <v>Efficient Spend</v>
      </c>
      <c r="AA195" t="str">
        <f>VLOOKUP(H195, Lookup_table!E:F,2,0)</f>
        <v>High</v>
      </c>
    </row>
    <row r="196" spans="1:27" ht="17.5" customHeight="1" x14ac:dyDescent="0.35">
      <c r="A196" s="1" t="s">
        <v>349</v>
      </c>
      <c r="B196" s="2">
        <v>45546</v>
      </c>
      <c r="C196" s="1" t="s">
        <v>128</v>
      </c>
      <c r="D196" s="1">
        <v>43</v>
      </c>
      <c r="E196" s="1" t="s">
        <v>23</v>
      </c>
      <c r="F196" s="1" t="s">
        <v>50</v>
      </c>
      <c r="G196" s="1" t="s">
        <v>61</v>
      </c>
      <c r="H196" s="1" t="s">
        <v>26</v>
      </c>
      <c r="I196" s="1">
        <v>575.80999999999995</v>
      </c>
      <c r="J196" s="1">
        <v>44295</v>
      </c>
      <c r="K196" s="1">
        <v>1494</v>
      </c>
      <c r="L196" s="1">
        <v>159</v>
      </c>
      <c r="M196" s="1">
        <v>4</v>
      </c>
      <c r="N196" s="1">
        <v>3.3728411779999998</v>
      </c>
      <c r="O196" s="1">
        <v>10.642570279999999</v>
      </c>
      <c r="P196" s="1">
        <f t="shared" si="0"/>
        <v>4</v>
      </c>
      <c r="V196" t="str">
        <f t="shared" si="11"/>
        <v>Average Performer</v>
      </c>
      <c r="W196" t="e" cm="1">
        <f t="array" aca="1" ref="W196" ca="1">_xlfn.IFS(N196&gt;=20, "High",N196&gt;=10, "Medium", N196&lt;10, "Low")</f>
        <v>#NAME?</v>
      </c>
      <c r="X196" t="str">
        <f t="shared" si="12"/>
        <v>Medium Budget</v>
      </c>
      <c r="Y196" s="7">
        <f>VLOOKUP(G196, Lookup_table!B:C,2,0)</f>
        <v>0.2</v>
      </c>
      <c r="Z196" t="str">
        <f t="shared" si="13"/>
        <v>Inefficient Spend</v>
      </c>
      <c r="AA196" t="str">
        <f>VLOOKUP(H196, Lookup_table!E:F,2,0)</f>
        <v>High</v>
      </c>
    </row>
    <row r="197" spans="1:27" ht="17.5" customHeight="1" x14ac:dyDescent="0.35">
      <c r="A197" s="1" t="s">
        <v>350</v>
      </c>
      <c r="B197" s="2">
        <v>45602</v>
      </c>
      <c r="C197" s="1" t="s">
        <v>351</v>
      </c>
      <c r="D197" s="1">
        <v>59</v>
      </c>
      <c r="E197" s="1" t="s">
        <v>35</v>
      </c>
      <c r="F197" s="1" t="s">
        <v>41</v>
      </c>
      <c r="G197" s="1" t="s">
        <v>31</v>
      </c>
      <c r="H197" s="1" t="s">
        <v>32</v>
      </c>
      <c r="I197" s="1">
        <v>1655.32</v>
      </c>
      <c r="J197" s="1">
        <v>8094</v>
      </c>
      <c r="K197" s="1">
        <v>199</v>
      </c>
      <c r="L197" s="1">
        <v>396</v>
      </c>
      <c r="N197" s="1">
        <v>2.4586113169999999</v>
      </c>
      <c r="O197" s="1">
        <v>198.99497489999999</v>
      </c>
      <c r="P197" s="1">
        <f t="shared" si="0"/>
        <v>3</v>
      </c>
      <c r="V197" t="str">
        <f t="shared" si="11"/>
        <v>Low Performer</v>
      </c>
      <c r="W197" t="e" cm="1">
        <f t="array" aca="1" ref="W197" ca="1">_xlfn.IFS(N197&gt;=20, "High",N197&gt;=10, "Medium", N197&lt;10, "Low")</f>
        <v>#NAME?</v>
      </c>
      <c r="X197" t="str">
        <f t="shared" si="12"/>
        <v>High Budget</v>
      </c>
      <c r="Y197" s="7">
        <f>VLOOKUP(G197, Lookup_table!B:C,2,0)</f>
        <v>1.2</v>
      </c>
      <c r="Z197" t="str">
        <f t="shared" si="13"/>
        <v>Inefficient Spend</v>
      </c>
      <c r="AA197" t="str">
        <f>VLOOKUP(H197, Lookup_table!E:F,2,0)</f>
        <v>Medium</v>
      </c>
    </row>
    <row r="198" spans="1:27" ht="17.5" customHeight="1" x14ac:dyDescent="0.35">
      <c r="A198" s="1" t="s">
        <v>352</v>
      </c>
      <c r="B198" s="2">
        <v>45590</v>
      </c>
      <c r="C198" s="1" t="s">
        <v>295</v>
      </c>
      <c r="D198" s="1">
        <v>38</v>
      </c>
      <c r="E198" s="1" t="s">
        <v>23</v>
      </c>
      <c r="F198" s="1" t="s">
        <v>57</v>
      </c>
      <c r="G198" s="1" t="s">
        <v>31</v>
      </c>
      <c r="H198" s="1" t="s">
        <v>26</v>
      </c>
      <c r="I198" s="1">
        <v>1129.2</v>
      </c>
      <c r="J198" s="1">
        <v>45497</v>
      </c>
      <c r="K198" s="1">
        <v>4281</v>
      </c>
      <c r="L198" s="1">
        <v>186</v>
      </c>
      <c r="M198" s="1">
        <v>1</v>
      </c>
      <c r="N198" s="1">
        <v>9.4094116099999994</v>
      </c>
      <c r="O198" s="1">
        <v>4.3447792569999999</v>
      </c>
      <c r="P198" s="1">
        <f t="shared" si="0"/>
        <v>1</v>
      </c>
      <c r="V198" t="str">
        <f t="shared" si="11"/>
        <v>Average Performer</v>
      </c>
      <c r="W198" t="e" cm="1">
        <f t="array" aca="1" ref="W198" ca="1">_xlfn.IFS(N198&gt;=20, "High",N198&gt;=10, "Medium", N198&lt;10, "Low")</f>
        <v>#NAME?</v>
      </c>
      <c r="X198" t="str">
        <f t="shared" si="12"/>
        <v>High Budget</v>
      </c>
      <c r="Y198" s="7">
        <f>VLOOKUP(G198, Lookup_table!B:C,2,0)</f>
        <v>1.2</v>
      </c>
      <c r="Z198" t="str">
        <f t="shared" si="13"/>
        <v>Efficient Spend</v>
      </c>
      <c r="AA198" t="str">
        <f>VLOOKUP(H198, Lookup_table!E:F,2,0)</f>
        <v>High</v>
      </c>
    </row>
    <row r="199" spans="1:27" ht="17.5" customHeight="1" x14ac:dyDescent="0.35">
      <c r="A199" s="1" t="s">
        <v>353</v>
      </c>
      <c r="B199" s="2">
        <v>45640</v>
      </c>
      <c r="C199" s="1" t="s">
        <v>354</v>
      </c>
      <c r="D199" s="1">
        <v>23</v>
      </c>
      <c r="E199" s="1" t="s">
        <v>29</v>
      </c>
      <c r="F199" s="1" t="s">
        <v>41</v>
      </c>
      <c r="G199" s="1" t="s">
        <v>42</v>
      </c>
      <c r="H199" s="1" t="s">
        <v>62</v>
      </c>
      <c r="I199" s="1">
        <v>209.89</v>
      </c>
      <c r="J199" s="1">
        <v>10841</v>
      </c>
      <c r="K199" s="1">
        <v>4314</v>
      </c>
      <c r="L199" s="1">
        <v>232</v>
      </c>
      <c r="N199" s="1">
        <v>39.793376989999999</v>
      </c>
      <c r="O199" s="1">
        <v>5.3778395919999999</v>
      </c>
      <c r="P199" s="1">
        <f t="shared" si="0"/>
        <v>3</v>
      </c>
      <c r="V199" t="str">
        <f t="shared" si="11"/>
        <v>Top Performer</v>
      </c>
      <c r="W199" t="e" cm="1">
        <f t="array" aca="1" ref="W199" ca="1">_xlfn.IFS(N199&gt;=20, "High",N199&gt;=10, "Medium", N199&lt;10, "Low")</f>
        <v>#NAME?</v>
      </c>
      <c r="X199" t="str">
        <f t="shared" si="12"/>
        <v>Low Budget</v>
      </c>
      <c r="Y199" s="7">
        <f>VLOOKUP(G199, Lookup_table!B:C,2,0)</f>
        <v>0.3</v>
      </c>
      <c r="Z199" t="str">
        <f t="shared" si="13"/>
        <v>Efficient Spend</v>
      </c>
      <c r="AA199" t="str">
        <f>VLOOKUP(H199, Lookup_table!E:F,2,0)</f>
        <v>Medium</v>
      </c>
    </row>
    <row r="200" spans="1:27" ht="17.5" customHeight="1" x14ac:dyDescent="0.35">
      <c r="A200" s="1" t="s">
        <v>355</v>
      </c>
      <c r="B200" s="2">
        <v>45299</v>
      </c>
      <c r="C200" s="1" t="s">
        <v>227</v>
      </c>
      <c r="D200" s="1">
        <v>53</v>
      </c>
      <c r="E200" s="1" t="s">
        <v>23</v>
      </c>
      <c r="F200" s="1" t="s">
        <v>30</v>
      </c>
      <c r="G200" s="1" t="s">
        <v>42</v>
      </c>
      <c r="H200" s="1" t="s">
        <v>32</v>
      </c>
      <c r="I200" s="1">
        <v>1009.29</v>
      </c>
      <c r="J200" s="1">
        <v>17431</v>
      </c>
      <c r="K200" s="1">
        <v>1641</v>
      </c>
      <c r="L200" s="1">
        <v>28</v>
      </c>
      <c r="N200" s="1">
        <v>9.414261947</v>
      </c>
      <c r="O200" s="1">
        <v>1.706276661</v>
      </c>
      <c r="P200" s="1">
        <f t="shared" si="0"/>
        <v>3</v>
      </c>
      <c r="V200" t="str">
        <f t="shared" si="11"/>
        <v>Low Performer</v>
      </c>
      <c r="W200" t="e" cm="1">
        <f t="array" aca="1" ref="W200" ca="1">_xlfn.IFS(N200&gt;=20, "High",N200&gt;=10, "Medium", N200&lt;10, "Low")</f>
        <v>#NAME?</v>
      </c>
      <c r="X200" t="str">
        <f t="shared" si="12"/>
        <v>High Budget</v>
      </c>
      <c r="Y200" s="7">
        <f>VLOOKUP(G200, Lookup_table!B:C,2,0)</f>
        <v>0.3</v>
      </c>
      <c r="Z200" t="str">
        <f t="shared" si="13"/>
        <v>Inefficient Spend</v>
      </c>
      <c r="AA200" t="str">
        <f>VLOOKUP(H200, Lookup_table!E:F,2,0)</f>
        <v>Medium</v>
      </c>
    </row>
    <row r="201" spans="1:27" ht="17.5" customHeight="1" x14ac:dyDescent="0.35">
      <c r="A201" s="1" t="s">
        <v>356</v>
      </c>
      <c r="B201" s="2">
        <v>45533</v>
      </c>
      <c r="C201" s="1" t="s">
        <v>83</v>
      </c>
      <c r="D201" s="1">
        <v>33</v>
      </c>
      <c r="E201" s="1" t="s">
        <v>23</v>
      </c>
      <c r="F201" s="1" t="s">
        <v>45</v>
      </c>
      <c r="G201" s="1" t="s">
        <v>42</v>
      </c>
      <c r="H201" s="1" t="s">
        <v>26</v>
      </c>
      <c r="I201" s="1">
        <v>464.01</v>
      </c>
      <c r="J201" s="1">
        <v>39208</v>
      </c>
      <c r="K201" s="1">
        <v>2198</v>
      </c>
      <c r="L201" s="1">
        <v>25</v>
      </c>
      <c r="M201" s="1">
        <v>5</v>
      </c>
      <c r="N201" s="1">
        <v>5.6059987759999999</v>
      </c>
      <c r="O201" s="1">
        <v>1.137397634</v>
      </c>
      <c r="P201" s="1">
        <f t="shared" si="0"/>
        <v>5</v>
      </c>
      <c r="V201" t="str">
        <f t="shared" si="11"/>
        <v>Low Performer</v>
      </c>
      <c r="W201" t="e" cm="1">
        <f t="array" aca="1" ref="W201" ca="1">_xlfn.IFS(N201&gt;=20, "High",N201&gt;=10, "Medium", N201&lt;10, "Low")</f>
        <v>#NAME?</v>
      </c>
      <c r="X201" t="str">
        <f t="shared" si="12"/>
        <v>Low Budget</v>
      </c>
      <c r="Y201" s="7">
        <f>VLOOKUP(G201, Lookup_table!B:C,2,0)</f>
        <v>0.3</v>
      </c>
      <c r="Z201" t="str">
        <f t="shared" si="13"/>
        <v>Efficient Spend</v>
      </c>
      <c r="AA201" t="str">
        <f>VLOOKUP(H201, Lookup_table!E:F,2,0)</f>
        <v>High</v>
      </c>
    </row>
    <row r="202" spans="1:27" ht="17.5" customHeight="1" x14ac:dyDescent="0.35">
      <c r="A202" s="1" t="s">
        <v>357</v>
      </c>
      <c r="B202" s="2">
        <v>45435</v>
      </c>
      <c r="C202" s="1" t="s">
        <v>243</v>
      </c>
      <c r="D202" s="1">
        <v>58</v>
      </c>
      <c r="E202" s="1" t="s">
        <v>29</v>
      </c>
      <c r="F202" s="1" t="s">
        <v>24</v>
      </c>
      <c r="G202" s="1" t="s">
        <v>42</v>
      </c>
      <c r="H202" s="1" t="s">
        <v>62</v>
      </c>
      <c r="I202" s="1">
        <v>155.44999999999999</v>
      </c>
      <c r="J202" s="1">
        <v>22674</v>
      </c>
      <c r="K202" s="1">
        <v>928</v>
      </c>
      <c r="L202" s="1">
        <v>24</v>
      </c>
      <c r="M202" s="1">
        <v>2</v>
      </c>
      <c r="N202" s="1">
        <v>4.0927935079999997</v>
      </c>
      <c r="O202" s="1">
        <v>2.5862068969999998</v>
      </c>
      <c r="P202" s="1">
        <f t="shared" si="0"/>
        <v>2</v>
      </c>
      <c r="V202" t="str">
        <f t="shared" si="11"/>
        <v>Low Performer</v>
      </c>
      <c r="W202" t="e" cm="1">
        <f t="array" aca="1" ref="W202" ca="1">_xlfn.IFS(N202&gt;=20, "High",N202&gt;=10, "Medium", N202&lt;10, "Low")</f>
        <v>#NAME?</v>
      </c>
      <c r="X202" t="str">
        <f t="shared" si="12"/>
        <v>Low Budget</v>
      </c>
      <c r="Y202" s="7">
        <f>VLOOKUP(G202, Lookup_table!B:C,2,0)</f>
        <v>0.3</v>
      </c>
      <c r="Z202" t="str">
        <f t="shared" si="13"/>
        <v>Efficient Spend</v>
      </c>
      <c r="AA202" t="str">
        <f>VLOOKUP(H202, Lookup_table!E:F,2,0)</f>
        <v>Medium</v>
      </c>
    </row>
    <row r="203" spans="1:27" ht="17.5" customHeight="1" x14ac:dyDescent="0.35">
      <c r="A203" s="1" t="s">
        <v>358</v>
      </c>
      <c r="B203" s="2">
        <v>45420</v>
      </c>
      <c r="C203" s="1" t="s">
        <v>359</v>
      </c>
      <c r="D203" s="1">
        <v>22</v>
      </c>
      <c r="E203" s="1" t="s">
        <v>35</v>
      </c>
      <c r="F203" s="1" t="s">
        <v>45</v>
      </c>
      <c r="G203" s="1" t="s">
        <v>31</v>
      </c>
      <c r="H203" s="1" t="s">
        <v>32</v>
      </c>
      <c r="I203" s="1">
        <v>748.87</v>
      </c>
      <c r="J203" s="1">
        <v>4168</v>
      </c>
      <c r="K203" s="1">
        <v>3750</v>
      </c>
      <c r="L203" s="1">
        <v>180</v>
      </c>
      <c r="M203" s="1">
        <v>3</v>
      </c>
      <c r="N203" s="1">
        <v>89.971209209999998</v>
      </c>
      <c r="O203" s="1">
        <v>4.8</v>
      </c>
      <c r="P203" s="1">
        <f t="shared" si="0"/>
        <v>3</v>
      </c>
      <c r="V203" t="str">
        <f t="shared" si="11"/>
        <v>Average Performer</v>
      </c>
      <c r="W203" t="e" cm="1">
        <f t="array" aca="1" ref="W203" ca="1">_xlfn.IFS(N203&gt;=20, "High",N203&gt;=10, "Medium", N203&lt;10, "Low")</f>
        <v>#NAME?</v>
      </c>
      <c r="X203" t="str">
        <f t="shared" si="12"/>
        <v>Medium Budget</v>
      </c>
      <c r="Y203" s="7">
        <f>VLOOKUP(G203, Lookup_table!B:C,2,0)</f>
        <v>1.2</v>
      </c>
      <c r="Z203" t="str">
        <f t="shared" si="13"/>
        <v>Efficient Spend</v>
      </c>
      <c r="AA203" t="str">
        <f>VLOOKUP(H203, Lookup_table!E:F,2,0)</f>
        <v>Medium</v>
      </c>
    </row>
    <row r="204" spans="1:27" ht="17.5" customHeight="1" x14ac:dyDescent="0.35">
      <c r="A204" s="1" t="s">
        <v>360</v>
      </c>
      <c r="B204" s="2">
        <v>45502</v>
      </c>
      <c r="C204" s="1" t="s">
        <v>361</v>
      </c>
      <c r="D204" s="1">
        <v>45</v>
      </c>
      <c r="E204" s="1" t="s">
        <v>29</v>
      </c>
      <c r="F204" s="1" t="s">
        <v>30</v>
      </c>
      <c r="G204" s="1" t="s">
        <v>42</v>
      </c>
      <c r="H204" s="1" t="s">
        <v>36</v>
      </c>
      <c r="I204" s="1">
        <v>408.12</v>
      </c>
      <c r="J204" s="1">
        <v>4512</v>
      </c>
      <c r="K204" s="1">
        <v>2509</v>
      </c>
      <c r="L204" s="1">
        <v>363</v>
      </c>
      <c r="N204" s="1">
        <v>55.607269500000001</v>
      </c>
      <c r="O204" s="1">
        <v>14.4679155</v>
      </c>
      <c r="P204" s="1">
        <f t="shared" si="0"/>
        <v>3</v>
      </c>
      <c r="V204" t="str">
        <f t="shared" si="11"/>
        <v>Average Performer</v>
      </c>
      <c r="W204" t="e" cm="1">
        <f t="array" aca="1" ref="W204" ca="1">_xlfn.IFS(N204&gt;=20, "High",N204&gt;=10, "Medium", N204&lt;10, "Low")</f>
        <v>#NAME?</v>
      </c>
      <c r="X204" t="str">
        <f t="shared" si="12"/>
        <v>Low Budget</v>
      </c>
      <c r="Y204" s="7">
        <f>VLOOKUP(G204, Lookup_table!B:C,2,0)</f>
        <v>0.3</v>
      </c>
      <c r="Z204" t="str">
        <f t="shared" si="13"/>
        <v>Efficient Spend</v>
      </c>
      <c r="AA204" t="str">
        <f>VLOOKUP(H204, Lookup_table!E:F,2,0)</f>
        <v>High</v>
      </c>
    </row>
    <row r="205" spans="1:27" ht="17.5" customHeight="1" x14ac:dyDescent="0.35">
      <c r="A205" s="1" t="s">
        <v>362</v>
      </c>
      <c r="B205" s="2">
        <v>45523</v>
      </c>
      <c r="C205" s="1" t="s">
        <v>297</v>
      </c>
      <c r="D205" s="1">
        <v>26</v>
      </c>
      <c r="E205" s="1" t="s">
        <v>29</v>
      </c>
      <c r="F205" s="1" t="s">
        <v>57</v>
      </c>
      <c r="G205" s="1" t="s">
        <v>31</v>
      </c>
      <c r="H205" s="1" t="s">
        <v>62</v>
      </c>
      <c r="I205" s="1">
        <v>402.39</v>
      </c>
      <c r="J205" s="1">
        <v>26391</v>
      </c>
      <c r="K205" s="1">
        <v>2056</v>
      </c>
      <c r="L205" s="1">
        <v>238</v>
      </c>
      <c r="M205" s="1">
        <v>2</v>
      </c>
      <c r="N205" s="1">
        <v>7.7905346519999998</v>
      </c>
      <c r="O205" s="1">
        <v>11.57587549</v>
      </c>
      <c r="P205" s="1">
        <f t="shared" si="0"/>
        <v>2</v>
      </c>
      <c r="V205" t="str">
        <f t="shared" si="11"/>
        <v>Average Performer</v>
      </c>
      <c r="W205" t="e" cm="1">
        <f t="array" aca="1" ref="W205" ca="1">_xlfn.IFS(N205&gt;=20, "High",N205&gt;=10, "Medium", N205&lt;10, "Low")</f>
        <v>#NAME?</v>
      </c>
      <c r="X205" t="str">
        <f t="shared" si="12"/>
        <v>Low Budget</v>
      </c>
      <c r="Y205" s="7">
        <f>VLOOKUP(G205, Lookup_table!B:C,2,0)</f>
        <v>1.2</v>
      </c>
      <c r="Z205" t="str">
        <f t="shared" si="13"/>
        <v>Efficient Spend</v>
      </c>
      <c r="AA205" t="str">
        <f>VLOOKUP(H205, Lookup_table!E:F,2,0)</f>
        <v>Medium</v>
      </c>
    </row>
    <row r="206" spans="1:27" ht="17.5" customHeight="1" x14ac:dyDescent="0.35">
      <c r="A206" s="1" t="s">
        <v>363</v>
      </c>
      <c r="B206" s="2">
        <v>45468</v>
      </c>
      <c r="C206" s="1" t="s">
        <v>359</v>
      </c>
      <c r="D206" s="1">
        <v>19</v>
      </c>
      <c r="E206" s="1" t="s">
        <v>29</v>
      </c>
      <c r="F206" s="1" t="s">
        <v>30</v>
      </c>
      <c r="G206" s="1" t="s">
        <v>42</v>
      </c>
      <c r="H206" s="1" t="s">
        <v>36</v>
      </c>
      <c r="I206" s="1">
        <v>1074.33</v>
      </c>
      <c r="J206" s="1">
        <v>26900</v>
      </c>
      <c r="K206" s="1">
        <v>2876</v>
      </c>
      <c r="L206" s="1">
        <v>166</v>
      </c>
      <c r="M206" s="1">
        <v>4</v>
      </c>
      <c r="N206" s="1">
        <v>10.69144981</v>
      </c>
      <c r="O206" s="1">
        <v>5.7719054239999998</v>
      </c>
      <c r="P206" s="1">
        <f t="shared" si="0"/>
        <v>4</v>
      </c>
      <c r="V206" t="str">
        <f t="shared" si="11"/>
        <v>Average Performer</v>
      </c>
      <c r="W206" t="e" cm="1">
        <f t="array" aca="1" ref="W206" ca="1">_xlfn.IFS(N206&gt;=20, "High",N206&gt;=10, "Medium", N206&lt;10, "Low")</f>
        <v>#NAME?</v>
      </c>
      <c r="X206" t="str">
        <f t="shared" si="12"/>
        <v>High Budget</v>
      </c>
      <c r="Y206" s="7">
        <f>VLOOKUP(G206, Lookup_table!B:C,2,0)</f>
        <v>0.3</v>
      </c>
      <c r="Z206" t="str">
        <f t="shared" si="13"/>
        <v>Inefficient Spend</v>
      </c>
      <c r="AA206" t="str">
        <f>VLOOKUP(H206, Lookup_table!E:F,2,0)</f>
        <v>High</v>
      </c>
    </row>
    <row r="207" spans="1:27" ht="17.5" customHeight="1" x14ac:dyDescent="0.35">
      <c r="A207" s="1" t="s">
        <v>364</v>
      </c>
      <c r="B207" s="2">
        <v>45336</v>
      </c>
      <c r="C207" s="1" t="s">
        <v>81</v>
      </c>
      <c r="D207" s="1">
        <v>38</v>
      </c>
      <c r="E207" s="1" t="s">
        <v>29</v>
      </c>
      <c r="F207" s="1" t="s">
        <v>41</v>
      </c>
      <c r="G207" s="1" t="s">
        <v>46</v>
      </c>
      <c r="H207" s="1" t="s">
        <v>36</v>
      </c>
      <c r="I207" s="1">
        <v>1503.97</v>
      </c>
      <c r="J207" s="1">
        <v>33466</v>
      </c>
      <c r="K207" s="1">
        <v>3898</v>
      </c>
      <c r="L207" s="1">
        <v>169</v>
      </c>
      <c r="N207" s="1">
        <v>11.647642380000001</v>
      </c>
      <c r="O207" s="1">
        <v>4.3355566960000003</v>
      </c>
      <c r="P207" s="1">
        <f t="shared" si="0"/>
        <v>3</v>
      </c>
      <c r="V207" t="str">
        <f t="shared" si="11"/>
        <v>Average Performer</v>
      </c>
      <c r="W207" t="e" cm="1">
        <f t="array" aca="1" ref="W207" ca="1">_xlfn.IFS(N207&gt;=20, "High",N207&gt;=10, "Medium", N207&lt;10, "Low")</f>
        <v>#NAME?</v>
      </c>
      <c r="X207" t="str">
        <f t="shared" si="12"/>
        <v>High Budget</v>
      </c>
      <c r="Y207" s="7">
        <f>VLOOKUP(G207, Lookup_table!B:C,2,0)</f>
        <v>0.75</v>
      </c>
      <c r="Z207" t="str">
        <f t="shared" si="13"/>
        <v>Efficient Spend</v>
      </c>
      <c r="AA207" t="str">
        <f>VLOOKUP(H207, Lookup_table!E:F,2,0)</f>
        <v>High</v>
      </c>
    </row>
    <row r="208" spans="1:27" ht="17.5" customHeight="1" x14ac:dyDescent="0.35">
      <c r="A208" s="1" t="s">
        <v>365</v>
      </c>
      <c r="B208" s="2">
        <v>45301</v>
      </c>
      <c r="C208" s="1" t="s">
        <v>366</v>
      </c>
      <c r="D208" s="1">
        <v>20</v>
      </c>
      <c r="E208" s="1" t="s">
        <v>29</v>
      </c>
      <c r="F208" s="1" t="s">
        <v>41</v>
      </c>
      <c r="G208" s="1" t="s">
        <v>42</v>
      </c>
      <c r="H208" s="1" t="s">
        <v>26</v>
      </c>
      <c r="I208" s="1">
        <v>1987.15</v>
      </c>
      <c r="J208" s="1">
        <v>23853</v>
      </c>
      <c r="K208" s="1">
        <v>3607</v>
      </c>
      <c r="L208" s="1">
        <v>263</v>
      </c>
      <c r="N208" s="1">
        <v>15.121787619999999</v>
      </c>
      <c r="O208" s="1">
        <v>7.2913778760000003</v>
      </c>
      <c r="P208" s="1">
        <f t="shared" si="0"/>
        <v>3</v>
      </c>
      <c r="V208" t="str">
        <f t="shared" si="11"/>
        <v>Top Performer</v>
      </c>
      <c r="W208" t="e" cm="1">
        <f t="array" aca="1" ref="W208" ca="1">_xlfn.IFS(N208&gt;=20, "High",N208&gt;=10, "Medium", N208&lt;10, "Low")</f>
        <v>#NAME?</v>
      </c>
      <c r="X208" t="str">
        <f t="shared" si="12"/>
        <v>High Budget</v>
      </c>
      <c r="Y208" s="7">
        <f>VLOOKUP(G208, Lookup_table!B:C,2,0)</f>
        <v>0.3</v>
      </c>
      <c r="Z208" t="str">
        <f t="shared" si="13"/>
        <v>Inefficient Spend</v>
      </c>
      <c r="AA208" t="str">
        <f>VLOOKUP(H208, Lookup_table!E:F,2,0)</f>
        <v>High</v>
      </c>
    </row>
    <row r="209" spans="1:27" ht="17.5" customHeight="1" x14ac:dyDescent="0.35">
      <c r="A209" s="1" t="s">
        <v>367</v>
      </c>
      <c r="B209" s="2">
        <v>45594</v>
      </c>
      <c r="C209" s="1" t="s">
        <v>123</v>
      </c>
      <c r="D209" s="1">
        <v>64</v>
      </c>
      <c r="E209" s="1" t="s">
        <v>29</v>
      </c>
      <c r="F209" s="1" t="s">
        <v>30</v>
      </c>
      <c r="G209" s="1" t="s">
        <v>42</v>
      </c>
      <c r="H209" s="1" t="s">
        <v>36</v>
      </c>
      <c r="I209" s="1">
        <v>1418.37</v>
      </c>
      <c r="J209" s="1">
        <v>4546</v>
      </c>
      <c r="K209" s="1">
        <v>4425</v>
      </c>
      <c r="L209" s="1">
        <v>72</v>
      </c>
      <c r="M209" s="1">
        <v>1</v>
      </c>
      <c r="N209" s="1">
        <v>97.338319400000003</v>
      </c>
      <c r="O209" s="1">
        <v>1.6271186440000001</v>
      </c>
      <c r="P209" s="1">
        <f t="shared" si="0"/>
        <v>1</v>
      </c>
      <c r="V209" t="str">
        <f t="shared" si="11"/>
        <v>Low Performer</v>
      </c>
      <c r="W209" t="e" cm="1">
        <f t="array" aca="1" ref="W209" ca="1">_xlfn.IFS(N209&gt;=20, "High",N209&gt;=10, "Medium", N209&lt;10, "Low")</f>
        <v>#NAME?</v>
      </c>
      <c r="X209" t="str">
        <f t="shared" si="12"/>
        <v>High Budget</v>
      </c>
      <c r="Y209" s="7">
        <f>VLOOKUP(G209, Lookup_table!B:C,2,0)</f>
        <v>0.3</v>
      </c>
      <c r="Z209" t="str">
        <f t="shared" si="13"/>
        <v>Inefficient Spend</v>
      </c>
      <c r="AA209" t="str">
        <f>VLOOKUP(H209, Lookup_table!E:F,2,0)</f>
        <v>High</v>
      </c>
    </row>
    <row r="210" spans="1:27" ht="17.5" customHeight="1" x14ac:dyDescent="0.35">
      <c r="A210" s="1" t="s">
        <v>368</v>
      </c>
      <c r="B210" s="2">
        <v>45468</v>
      </c>
      <c r="C210" s="1" t="s">
        <v>369</v>
      </c>
      <c r="D210" s="1">
        <v>61</v>
      </c>
      <c r="E210" s="1" t="s">
        <v>35</v>
      </c>
      <c r="F210" s="1" t="s">
        <v>57</v>
      </c>
      <c r="G210" s="1" t="s">
        <v>31</v>
      </c>
      <c r="H210" s="1" t="s">
        <v>26</v>
      </c>
      <c r="I210" s="1">
        <v>330.82</v>
      </c>
      <c r="J210" s="1">
        <v>42577</v>
      </c>
      <c r="K210" s="1">
        <v>30</v>
      </c>
      <c r="L210" s="1">
        <v>260</v>
      </c>
      <c r="M210" s="1">
        <v>3</v>
      </c>
      <c r="N210" s="1">
        <v>7.0460576999999996E-2</v>
      </c>
      <c r="O210" s="1">
        <v>866.66666669999995</v>
      </c>
      <c r="P210" s="1">
        <f t="shared" si="0"/>
        <v>3</v>
      </c>
      <c r="V210" t="str">
        <f t="shared" si="11"/>
        <v>Low Performer</v>
      </c>
      <c r="W210" t="e" cm="1">
        <f t="array" aca="1" ref="W210" ca="1">_xlfn.IFS(N210&gt;=20, "High",N210&gt;=10, "Medium", N210&lt;10, "Low")</f>
        <v>#NAME?</v>
      </c>
      <c r="X210" t="str">
        <f t="shared" si="12"/>
        <v>Low Budget</v>
      </c>
      <c r="Y210" s="7">
        <f>VLOOKUP(G210, Lookup_table!B:C,2,0)</f>
        <v>1.2</v>
      </c>
      <c r="Z210" t="str">
        <f t="shared" si="13"/>
        <v>Inefficient Spend</v>
      </c>
      <c r="AA210" t="str">
        <f>VLOOKUP(H210, Lookup_table!E:F,2,0)</f>
        <v>High</v>
      </c>
    </row>
    <row r="211" spans="1:27" ht="17.5" customHeight="1" x14ac:dyDescent="0.35">
      <c r="A211" s="1" t="s">
        <v>370</v>
      </c>
      <c r="B211" s="2">
        <v>45419</v>
      </c>
      <c r="C211" s="1" t="s">
        <v>256</v>
      </c>
      <c r="D211" s="1">
        <v>31</v>
      </c>
      <c r="E211" s="1" t="s">
        <v>29</v>
      </c>
      <c r="F211" s="1" t="s">
        <v>30</v>
      </c>
      <c r="G211" s="1" t="s">
        <v>31</v>
      </c>
      <c r="H211" s="1" t="s">
        <v>32</v>
      </c>
      <c r="I211" s="1">
        <v>1247.71</v>
      </c>
      <c r="J211" s="1">
        <v>37476</v>
      </c>
      <c r="K211" s="1">
        <v>4398</v>
      </c>
      <c r="L211" s="1">
        <v>171</v>
      </c>
      <c r="M211" s="1">
        <v>1</v>
      </c>
      <c r="N211" s="1">
        <v>11.73551073</v>
      </c>
      <c r="O211" s="1">
        <v>3.8881309690000001</v>
      </c>
      <c r="P211" s="1">
        <f t="shared" si="0"/>
        <v>1</v>
      </c>
      <c r="V211" t="str">
        <f t="shared" si="11"/>
        <v>Average Performer</v>
      </c>
      <c r="W211" t="e" cm="1">
        <f t="array" aca="1" ref="W211" ca="1">_xlfn.IFS(N211&gt;=20, "High",N211&gt;=10, "Medium", N211&lt;10, "Low")</f>
        <v>#NAME?</v>
      </c>
      <c r="X211" t="str">
        <f t="shared" si="12"/>
        <v>High Budget</v>
      </c>
      <c r="Y211" s="7">
        <f>VLOOKUP(G211, Lookup_table!B:C,2,0)</f>
        <v>1.2</v>
      </c>
      <c r="Z211" t="str">
        <f t="shared" si="13"/>
        <v>Efficient Spend</v>
      </c>
      <c r="AA211" t="str">
        <f>VLOOKUP(H211, Lookup_table!E:F,2,0)</f>
        <v>Medium</v>
      </c>
    </row>
    <row r="212" spans="1:27" ht="17.5" customHeight="1" x14ac:dyDescent="0.35">
      <c r="A212" s="1" t="s">
        <v>371</v>
      </c>
      <c r="B212" s="2">
        <v>45297</v>
      </c>
      <c r="C212" s="1" t="s">
        <v>251</v>
      </c>
      <c r="D212" s="1">
        <v>26</v>
      </c>
      <c r="E212" s="1" t="s">
        <v>35</v>
      </c>
      <c r="F212" s="1" t="s">
        <v>57</v>
      </c>
      <c r="G212" s="1" t="s">
        <v>31</v>
      </c>
      <c r="H212" s="1" t="s">
        <v>62</v>
      </c>
      <c r="I212" s="1">
        <v>422.85</v>
      </c>
      <c r="J212" s="1">
        <v>24238</v>
      </c>
      <c r="K212" s="1">
        <v>1730</v>
      </c>
      <c r="L212" s="1">
        <v>105</v>
      </c>
      <c r="M212" s="1">
        <v>3</v>
      </c>
      <c r="N212" s="1">
        <v>7.1375526029999996</v>
      </c>
      <c r="O212" s="1">
        <v>6.0693641620000003</v>
      </c>
      <c r="P212" s="1">
        <f t="shared" si="0"/>
        <v>3</v>
      </c>
      <c r="V212" t="str">
        <f t="shared" si="11"/>
        <v>Average Performer</v>
      </c>
      <c r="W212" t="e" cm="1">
        <f t="array" aca="1" ref="W212" ca="1">_xlfn.IFS(N212&gt;=20, "High",N212&gt;=10, "Medium", N212&lt;10, "Low")</f>
        <v>#NAME?</v>
      </c>
      <c r="X212" t="str">
        <f t="shared" si="12"/>
        <v>Low Budget</v>
      </c>
      <c r="Y212" s="7">
        <f>VLOOKUP(G212, Lookup_table!B:C,2,0)</f>
        <v>1.2</v>
      </c>
      <c r="Z212" t="str">
        <f t="shared" si="13"/>
        <v>Efficient Spend</v>
      </c>
      <c r="AA212" t="str">
        <f>VLOOKUP(H212, Lookup_table!E:F,2,0)</f>
        <v>Medium</v>
      </c>
    </row>
    <row r="213" spans="1:27" ht="17.5" customHeight="1" x14ac:dyDescent="0.35">
      <c r="A213" s="1" t="s">
        <v>372</v>
      </c>
      <c r="B213" s="2">
        <v>45436</v>
      </c>
      <c r="C213" s="1" t="s">
        <v>193</v>
      </c>
      <c r="E213" s="1" t="s">
        <v>23</v>
      </c>
      <c r="G213" s="1" t="s">
        <v>25</v>
      </c>
      <c r="H213" s="1" t="s">
        <v>36</v>
      </c>
      <c r="I213" s="1">
        <v>701.34</v>
      </c>
      <c r="J213" s="1">
        <v>4023</v>
      </c>
      <c r="K213" s="1">
        <v>200</v>
      </c>
      <c r="L213" s="1">
        <v>110</v>
      </c>
      <c r="N213" s="1">
        <v>4.9714143670000004</v>
      </c>
      <c r="O213" s="1">
        <v>55</v>
      </c>
      <c r="P213" s="1">
        <f t="shared" si="0"/>
        <v>3</v>
      </c>
      <c r="V213" t="str">
        <f t="shared" si="11"/>
        <v>Low Performer</v>
      </c>
      <c r="W213" t="e" cm="1">
        <f t="array" aca="1" ref="W213" ca="1">_xlfn.IFS(N213&gt;=20, "High",N213&gt;=10, "Medium", N213&lt;10, "Low")</f>
        <v>#NAME?</v>
      </c>
      <c r="X213" t="str">
        <f t="shared" si="12"/>
        <v>Medium Budget</v>
      </c>
      <c r="Y213" s="7">
        <f>VLOOKUP(G213, Lookup_table!B:C,2,0)</f>
        <v>0.5</v>
      </c>
      <c r="Z213" t="str">
        <f t="shared" si="13"/>
        <v>Inefficient Spend</v>
      </c>
      <c r="AA213" t="str">
        <f>VLOOKUP(H213, Lookup_table!E:F,2,0)</f>
        <v>High</v>
      </c>
    </row>
    <row r="214" spans="1:27" ht="17.5" customHeight="1" x14ac:dyDescent="0.35">
      <c r="A214" s="1" t="s">
        <v>373</v>
      </c>
      <c r="B214" s="2">
        <v>45303</v>
      </c>
      <c r="C214" s="1" t="s">
        <v>319</v>
      </c>
      <c r="D214" s="1">
        <v>29</v>
      </c>
      <c r="E214" s="1" t="s">
        <v>23</v>
      </c>
      <c r="F214" s="1" t="s">
        <v>57</v>
      </c>
      <c r="G214" s="1" t="s">
        <v>61</v>
      </c>
      <c r="H214" s="1" t="s">
        <v>32</v>
      </c>
      <c r="I214" s="1">
        <v>1298.1600000000001</v>
      </c>
      <c r="J214" s="1">
        <v>33502</v>
      </c>
      <c r="K214" s="1">
        <v>4060</v>
      </c>
      <c r="L214" s="1">
        <v>107</v>
      </c>
      <c r="M214" s="1">
        <v>1</v>
      </c>
      <c r="N214" s="1">
        <v>12.118679480000001</v>
      </c>
      <c r="O214" s="1">
        <v>2.63546798</v>
      </c>
      <c r="P214" s="1">
        <f t="shared" si="0"/>
        <v>1</v>
      </c>
      <c r="V214" t="str">
        <f t="shared" si="11"/>
        <v>Average Performer</v>
      </c>
      <c r="W214" t="e" cm="1">
        <f t="array" aca="1" ref="W214" ca="1">_xlfn.IFS(N214&gt;=20, "High",N214&gt;=10, "Medium", N214&lt;10, "Low")</f>
        <v>#NAME?</v>
      </c>
      <c r="X214" t="str">
        <f t="shared" si="12"/>
        <v>High Budget</v>
      </c>
      <c r="Y214" s="7">
        <f>VLOOKUP(G214, Lookup_table!B:C,2,0)</f>
        <v>0.2</v>
      </c>
      <c r="Z214" t="str">
        <f t="shared" si="13"/>
        <v>Inefficient Spend</v>
      </c>
      <c r="AA214" t="str">
        <f>VLOOKUP(H214, Lookup_table!E:F,2,0)</f>
        <v>Medium</v>
      </c>
    </row>
    <row r="215" spans="1:27" ht="17.5" customHeight="1" x14ac:dyDescent="0.35">
      <c r="A215" s="1" t="s">
        <v>374</v>
      </c>
      <c r="B215" s="2">
        <v>45654</v>
      </c>
      <c r="C215" s="1" t="s">
        <v>142</v>
      </c>
      <c r="D215" s="1">
        <v>18</v>
      </c>
      <c r="E215" s="1" t="s">
        <v>23</v>
      </c>
      <c r="F215" s="1" t="s">
        <v>50</v>
      </c>
      <c r="G215" s="1" t="s">
        <v>31</v>
      </c>
      <c r="H215" s="1" t="s">
        <v>26</v>
      </c>
      <c r="I215" s="1">
        <v>1665.49</v>
      </c>
      <c r="J215" s="1">
        <v>40141</v>
      </c>
      <c r="K215" s="1">
        <v>4874</v>
      </c>
      <c r="L215" s="1">
        <v>219</v>
      </c>
      <c r="M215" s="1">
        <v>1</v>
      </c>
      <c r="N215" s="1">
        <v>12.14219875</v>
      </c>
      <c r="O215" s="1">
        <v>4.4932293799999998</v>
      </c>
      <c r="P215" s="1">
        <f t="shared" si="0"/>
        <v>1</v>
      </c>
      <c r="V215" t="str">
        <f t="shared" si="11"/>
        <v>Top Performer</v>
      </c>
      <c r="W215" t="e" cm="1">
        <f t="array" aca="1" ref="W215" ca="1">_xlfn.IFS(N215&gt;=20, "High",N215&gt;=10, "Medium", N215&lt;10, "Low")</f>
        <v>#NAME?</v>
      </c>
      <c r="X215" t="str">
        <f t="shared" si="12"/>
        <v>High Budget</v>
      </c>
      <c r="Y215" s="7">
        <f>VLOOKUP(G215, Lookup_table!B:C,2,0)</f>
        <v>1.2</v>
      </c>
      <c r="Z215" t="str">
        <f t="shared" si="13"/>
        <v>Efficient Spend</v>
      </c>
      <c r="AA215" t="str">
        <f>VLOOKUP(H215, Lookup_table!E:F,2,0)</f>
        <v>High</v>
      </c>
    </row>
    <row r="216" spans="1:27" ht="17.5" customHeight="1" x14ac:dyDescent="0.35">
      <c r="A216" s="1" t="s">
        <v>375</v>
      </c>
      <c r="B216" s="2">
        <v>45452</v>
      </c>
      <c r="C216" s="1" t="s">
        <v>201</v>
      </c>
      <c r="D216" s="1">
        <v>28</v>
      </c>
      <c r="E216" s="1" t="s">
        <v>23</v>
      </c>
      <c r="F216" s="1" t="s">
        <v>45</v>
      </c>
      <c r="G216" s="1" t="s">
        <v>46</v>
      </c>
      <c r="H216" s="1" t="s">
        <v>62</v>
      </c>
      <c r="I216" s="1">
        <v>746.58</v>
      </c>
      <c r="J216" s="1">
        <v>48288</v>
      </c>
      <c r="K216" s="1">
        <v>2590</v>
      </c>
      <c r="L216" s="1">
        <v>263</v>
      </c>
      <c r="M216" s="1">
        <v>1</v>
      </c>
      <c r="N216" s="1">
        <v>5.3636514249999996</v>
      </c>
      <c r="O216" s="1">
        <v>10.154440149999999</v>
      </c>
      <c r="P216" s="1">
        <f t="shared" si="0"/>
        <v>1</v>
      </c>
      <c r="V216" t="str">
        <f t="shared" si="11"/>
        <v>Average Performer</v>
      </c>
      <c r="W216" t="e" cm="1">
        <f t="array" aca="1" ref="W216" ca="1">_xlfn.IFS(N216&gt;=20, "High",N216&gt;=10, "Medium", N216&lt;10, "Low")</f>
        <v>#NAME?</v>
      </c>
      <c r="X216" t="str">
        <f t="shared" si="12"/>
        <v>Medium Budget</v>
      </c>
      <c r="Y216" s="7">
        <f>VLOOKUP(G216, Lookup_table!B:C,2,0)</f>
        <v>0.75</v>
      </c>
      <c r="Z216" t="str">
        <f t="shared" si="13"/>
        <v>Efficient Spend</v>
      </c>
      <c r="AA216" t="str">
        <f>VLOOKUP(H216, Lookup_table!E:F,2,0)</f>
        <v>Medium</v>
      </c>
    </row>
    <row r="217" spans="1:27" ht="17.5" customHeight="1" x14ac:dyDescent="0.35">
      <c r="A217" s="1" t="s">
        <v>376</v>
      </c>
      <c r="B217" s="2">
        <v>45588</v>
      </c>
      <c r="C217" s="1" t="s">
        <v>292</v>
      </c>
      <c r="D217" s="1">
        <v>59</v>
      </c>
      <c r="E217" s="1" t="s">
        <v>29</v>
      </c>
      <c r="F217" s="1" t="s">
        <v>57</v>
      </c>
      <c r="G217" s="1" t="s">
        <v>42</v>
      </c>
      <c r="H217" s="1" t="s">
        <v>26</v>
      </c>
      <c r="I217" s="1">
        <v>492.7</v>
      </c>
      <c r="J217" s="1">
        <v>10581</v>
      </c>
      <c r="K217" s="1">
        <v>389</v>
      </c>
      <c r="L217" s="1">
        <v>280</v>
      </c>
      <c r="M217" s="1">
        <v>1</v>
      </c>
      <c r="N217" s="1">
        <v>3.6764010960000002</v>
      </c>
      <c r="O217" s="1">
        <v>71.979434449999999</v>
      </c>
      <c r="P217" s="1">
        <f t="shared" si="0"/>
        <v>1</v>
      </c>
      <c r="V217" t="str">
        <f t="shared" si="11"/>
        <v>Low Performer</v>
      </c>
      <c r="W217" t="e" cm="1">
        <f t="array" aca="1" ref="W217" ca="1">_xlfn.IFS(N217&gt;=20, "High",N217&gt;=10, "Medium", N217&lt;10, "Low")</f>
        <v>#NAME?</v>
      </c>
      <c r="X217" t="str">
        <f t="shared" si="12"/>
        <v>Low Budget</v>
      </c>
      <c r="Y217" s="7">
        <f>VLOOKUP(G217, Lookup_table!B:C,2,0)</f>
        <v>0.3</v>
      </c>
      <c r="Z217" t="str">
        <f t="shared" si="13"/>
        <v>Inefficient Spend</v>
      </c>
      <c r="AA217" t="str">
        <f>VLOOKUP(H217, Lookup_table!E:F,2,0)</f>
        <v>High</v>
      </c>
    </row>
    <row r="218" spans="1:27" ht="17.5" customHeight="1" x14ac:dyDescent="0.35">
      <c r="A218" s="1" t="s">
        <v>377</v>
      </c>
      <c r="B218" s="2">
        <v>45328</v>
      </c>
      <c r="C218" s="1" t="s">
        <v>378</v>
      </c>
      <c r="D218" s="1">
        <v>51</v>
      </c>
      <c r="E218" s="1" t="s">
        <v>35</v>
      </c>
      <c r="F218" s="1" t="s">
        <v>57</v>
      </c>
      <c r="G218" s="1" t="s">
        <v>61</v>
      </c>
      <c r="H218" s="1" t="s">
        <v>36</v>
      </c>
      <c r="I218" s="1">
        <v>262.14999999999998</v>
      </c>
      <c r="J218" s="1">
        <v>26738</v>
      </c>
      <c r="K218" s="1">
        <v>4256</v>
      </c>
      <c r="L218" s="1">
        <v>287</v>
      </c>
      <c r="M218" s="1">
        <v>4</v>
      </c>
      <c r="N218" s="1">
        <v>15.9174209</v>
      </c>
      <c r="O218" s="1">
        <v>6.7434210529999996</v>
      </c>
      <c r="P218" s="1">
        <f t="shared" si="0"/>
        <v>4</v>
      </c>
      <c r="V218" t="str">
        <f t="shared" si="11"/>
        <v>Top Performer</v>
      </c>
      <c r="W218" t="e" cm="1">
        <f t="array" aca="1" ref="W218" ca="1">_xlfn.IFS(N218&gt;=20, "High",N218&gt;=10, "Medium", N218&lt;10, "Low")</f>
        <v>#NAME?</v>
      </c>
      <c r="X218" t="str">
        <f t="shared" si="12"/>
        <v>Low Budget</v>
      </c>
      <c r="Y218" s="7">
        <f>VLOOKUP(G218, Lookup_table!B:C,2,0)</f>
        <v>0.2</v>
      </c>
      <c r="Z218" t="str">
        <f t="shared" si="13"/>
        <v>Efficient Spend</v>
      </c>
      <c r="AA218" t="str">
        <f>VLOOKUP(H218, Lookup_table!E:F,2,0)</f>
        <v>High</v>
      </c>
    </row>
    <row r="219" spans="1:27" ht="17.5" customHeight="1" x14ac:dyDescent="0.35">
      <c r="A219" s="1" t="s">
        <v>379</v>
      </c>
      <c r="B219" s="2">
        <v>45361</v>
      </c>
      <c r="C219" s="1" t="s">
        <v>134</v>
      </c>
      <c r="D219" s="1">
        <v>45</v>
      </c>
      <c r="E219" s="1" t="s">
        <v>23</v>
      </c>
      <c r="F219" s="1" t="s">
        <v>41</v>
      </c>
      <c r="G219" s="1" t="s">
        <v>61</v>
      </c>
      <c r="H219" s="1" t="s">
        <v>32</v>
      </c>
      <c r="I219" s="1">
        <v>1158.22</v>
      </c>
      <c r="J219" s="1">
        <v>36951</v>
      </c>
      <c r="K219" s="1">
        <v>478</v>
      </c>
      <c r="L219" s="1">
        <v>103</v>
      </c>
      <c r="M219" s="1">
        <v>2</v>
      </c>
      <c r="N219" s="1">
        <v>1.2936050450000001</v>
      </c>
      <c r="O219" s="1">
        <v>21.548117149999999</v>
      </c>
      <c r="P219" s="1">
        <f t="shared" si="0"/>
        <v>2</v>
      </c>
      <c r="V219" t="str">
        <f t="shared" si="11"/>
        <v>Low Performer</v>
      </c>
      <c r="W219" t="e" cm="1">
        <f t="array" aca="1" ref="W219" ca="1">_xlfn.IFS(N219&gt;=20, "High",N219&gt;=10, "Medium", N219&lt;10, "Low")</f>
        <v>#NAME?</v>
      </c>
      <c r="X219" t="str">
        <f t="shared" si="12"/>
        <v>High Budget</v>
      </c>
      <c r="Y219" s="7">
        <f>VLOOKUP(G219, Lookup_table!B:C,2,0)</f>
        <v>0.2</v>
      </c>
      <c r="Z219" t="str">
        <f t="shared" si="13"/>
        <v>Inefficient Spend</v>
      </c>
      <c r="AA219" t="str">
        <f>VLOOKUP(H219, Lookup_table!E:F,2,0)</f>
        <v>Medium</v>
      </c>
    </row>
    <row r="220" spans="1:27" ht="17.5" customHeight="1" x14ac:dyDescent="0.35">
      <c r="A220" s="1" t="s">
        <v>380</v>
      </c>
      <c r="B220" s="2">
        <v>45655</v>
      </c>
      <c r="C220" s="1" t="s">
        <v>160</v>
      </c>
      <c r="D220" s="1">
        <v>49</v>
      </c>
      <c r="E220" s="1" t="s">
        <v>23</v>
      </c>
      <c r="F220" s="1" t="s">
        <v>45</v>
      </c>
      <c r="G220" s="1" t="s">
        <v>46</v>
      </c>
      <c r="H220" s="1" t="s">
        <v>32</v>
      </c>
      <c r="I220" s="1">
        <v>1935.02</v>
      </c>
      <c r="J220" s="1">
        <v>13246</v>
      </c>
      <c r="K220" s="1">
        <v>2792</v>
      </c>
      <c r="L220" s="1">
        <v>362</v>
      </c>
      <c r="M220" s="1">
        <v>2</v>
      </c>
      <c r="N220" s="1">
        <v>21.078061300000002</v>
      </c>
      <c r="O220" s="1">
        <v>12.96561605</v>
      </c>
      <c r="P220" s="1">
        <f t="shared" si="0"/>
        <v>2</v>
      </c>
      <c r="V220" t="str">
        <f t="shared" si="11"/>
        <v>Average Performer</v>
      </c>
      <c r="W220" t="e" cm="1">
        <f t="array" aca="1" ref="W220" ca="1">_xlfn.IFS(N220&gt;=20, "High",N220&gt;=10, "Medium", N220&lt;10, "Low")</f>
        <v>#NAME?</v>
      </c>
      <c r="X220" t="str">
        <f t="shared" si="12"/>
        <v>High Budget</v>
      </c>
      <c r="Y220" s="7">
        <f>VLOOKUP(G220, Lookup_table!B:C,2,0)</f>
        <v>0.75</v>
      </c>
      <c r="Z220" t="str">
        <f t="shared" si="13"/>
        <v>Efficient Spend</v>
      </c>
      <c r="AA220" t="str">
        <f>VLOOKUP(H220, Lookup_table!E:F,2,0)</f>
        <v>Medium</v>
      </c>
    </row>
    <row r="221" spans="1:27" ht="17.5" customHeight="1" x14ac:dyDescent="0.35">
      <c r="A221" s="1" t="s">
        <v>381</v>
      </c>
      <c r="B221" s="2">
        <v>45385</v>
      </c>
      <c r="C221" s="1" t="s">
        <v>144</v>
      </c>
      <c r="D221" s="1">
        <v>29</v>
      </c>
      <c r="E221" s="1" t="s">
        <v>23</v>
      </c>
      <c r="F221" s="1" t="s">
        <v>50</v>
      </c>
      <c r="G221" s="1" t="s">
        <v>61</v>
      </c>
      <c r="H221" s="1" t="s">
        <v>32</v>
      </c>
      <c r="I221" s="1">
        <v>1108.98</v>
      </c>
      <c r="J221" s="1">
        <v>42457</v>
      </c>
      <c r="K221" s="1">
        <v>2556</v>
      </c>
      <c r="L221" s="1">
        <v>22</v>
      </c>
      <c r="N221" s="1">
        <v>6.0202086819999998</v>
      </c>
      <c r="O221" s="1">
        <v>0.86071987500000002</v>
      </c>
      <c r="P221" s="1">
        <f t="shared" si="0"/>
        <v>3</v>
      </c>
      <c r="V221" t="str">
        <f t="shared" si="11"/>
        <v>Low Performer</v>
      </c>
      <c r="W221" t="e" cm="1">
        <f t="array" aca="1" ref="W221" ca="1">_xlfn.IFS(N221&gt;=20, "High",N221&gt;=10, "Medium", N221&lt;10, "Low")</f>
        <v>#NAME?</v>
      </c>
      <c r="X221" t="str">
        <f t="shared" si="12"/>
        <v>High Budget</v>
      </c>
      <c r="Y221" s="7">
        <f>VLOOKUP(G221, Lookup_table!B:C,2,0)</f>
        <v>0.2</v>
      </c>
      <c r="Z221" t="str">
        <f t="shared" si="13"/>
        <v>Inefficient Spend</v>
      </c>
      <c r="AA221" t="str">
        <f>VLOOKUP(H221, Lookup_table!E:F,2,0)</f>
        <v>Medium</v>
      </c>
    </row>
    <row r="222" spans="1:27" ht="17.5" customHeight="1" x14ac:dyDescent="0.35">
      <c r="A222" s="1" t="s">
        <v>382</v>
      </c>
      <c r="B222" s="2">
        <v>45341</v>
      </c>
      <c r="C222" s="1" t="s">
        <v>28</v>
      </c>
      <c r="D222" s="1">
        <v>49</v>
      </c>
      <c r="E222" s="1" t="s">
        <v>23</v>
      </c>
      <c r="F222" s="1" t="s">
        <v>24</v>
      </c>
      <c r="G222" s="1" t="s">
        <v>25</v>
      </c>
      <c r="H222" s="1" t="s">
        <v>32</v>
      </c>
      <c r="I222" s="1">
        <v>112.84</v>
      </c>
      <c r="J222" s="1">
        <v>23139</v>
      </c>
      <c r="K222" s="1">
        <v>508</v>
      </c>
      <c r="L222" s="1">
        <v>395</v>
      </c>
      <c r="M222" s="1">
        <v>3</v>
      </c>
      <c r="N222" s="1">
        <v>2.195427633</v>
      </c>
      <c r="O222" s="1">
        <v>77.755905510000005</v>
      </c>
      <c r="P222" s="1">
        <f t="shared" si="0"/>
        <v>3</v>
      </c>
      <c r="V222" t="str">
        <f t="shared" si="11"/>
        <v>Low Performer</v>
      </c>
      <c r="W222" t="e" cm="1">
        <f t="array" aca="1" ref="W222" ca="1">_xlfn.IFS(N222&gt;=20, "High",N222&gt;=10, "Medium", N222&lt;10, "Low")</f>
        <v>#NAME?</v>
      </c>
      <c r="X222" t="str">
        <f t="shared" si="12"/>
        <v>Low Budget</v>
      </c>
      <c r="Y222" s="7">
        <f>VLOOKUP(G222, Lookup_table!B:C,2,0)</f>
        <v>0.5</v>
      </c>
      <c r="Z222" t="str">
        <f t="shared" si="13"/>
        <v>Efficient Spend</v>
      </c>
      <c r="AA222" t="str">
        <f>VLOOKUP(H222, Lookup_table!E:F,2,0)</f>
        <v>Medium</v>
      </c>
    </row>
    <row r="223" spans="1:27" ht="17.5" customHeight="1" x14ac:dyDescent="0.35">
      <c r="A223" s="1" t="s">
        <v>383</v>
      </c>
      <c r="B223" s="2">
        <v>45609</v>
      </c>
      <c r="C223" s="1" t="s">
        <v>384</v>
      </c>
      <c r="D223" s="1">
        <v>54</v>
      </c>
      <c r="E223" s="1" t="s">
        <v>29</v>
      </c>
      <c r="F223" s="1" t="s">
        <v>45</v>
      </c>
      <c r="G223" s="1" t="s">
        <v>46</v>
      </c>
      <c r="H223" s="1" t="s">
        <v>32</v>
      </c>
      <c r="I223" s="1">
        <v>651.14</v>
      </c>
      <c r="J223" s="1">
        <v>17054</v>
      </c>
      <c r="K223" s="1">
        <v>2952</v>
      </c>
      <c r="L223" s="1">
        <v>319</v>
      </c>
      <c r="M223" s="1">
        <v>4</v>
      </c>
      <c r="N223" s="1">
        <v>17.309722059999999</v>
      </c>
      <c r="O223" s="1">
        <v>10.80623306</v>
      </c>
      <c r="P223" s="1">
        <f t="shared" si="0"/>
        <v>4</v>
      </c>
      <c r="V223" t="str">
        <f t="shared" si="11"/>
        <v>Average Performer</v>
      </c>
      <c r="W223" t="e" cm="1">
        <f t="array" aca="1" ref="W223" ca="1">_xlfn.IFS(N223&gt;=20, "High",N223&gt;=10, "Medium", N223&lt;10, "Low")</f>
        <v>#NAME?</v>
      </c>
      <c r="X223" t="str">
        <f t="shared" si="12"/>
        <v>Medium Budget</v>
      </c>
      <c r="Y223" s="7">
        <f>VLOOKUP(G223, Lookup_table!B:C,2,0)</f>
        <v>0.75</v>
      </c>
      <c r="Z223" t="str">
        <f t="shared" si="13"/>
        <v>Efficient Spend</v>
      </c>
      <c r="AA223" t="str">
        <f>VLOOKUP(H223, Lookup_table!E:F,2,0)</f>
        <v>Medium</v>
      </c>
    </row>
    <row r="224" spans="1:27" ht="17.5" customHeight="1" x14ac:dyDescent="0.35">
      <c r="A224" s="1" t="s">
        <v>385</v>
      </c>
      <c r="B224" s="2">
        <v>45515</v>
      </c>
      <c r="C224" s="1" t="s">
        <v>386</v>
      </c>
      <c r="D224" s="1">
        <v>51</v>
      </c>
      <c r="E224" s="1" t="s">
        <v>29</v>
      </c>
      <c r="F224" s="1" t="s">
        <v>45</v>
      </c>
      <c r="G224" s="1" t="s">
        <v>46</v>
      </c>
      <c r="H224" s="1" t="s">
        <v>62</v>
      </c>
      <c r="I224" s="1">
        <v>1451.52</v>
      </c>
      <c r="J224" s="1">
        <v>45447</v>
      </c>
      <c r="K224" s="1">
        <v>1539</v>
      </c>
      <c r="L224" s="1">
        <v>371</v>
      </c>
      <c r="M224" s="1">
        <v>5</v>
      </c>
      <c r="N224" s="1">
        <v>3.3863621359999998</v>
      </c>
      <c r="O224" s="1">
        <v>24.106562700000001</v>
      </c>
      <c r="P224" s="1">
        <f t="shared" si="0"/>
        <v>5</v>
      </c>
      <c r="V224" t="str">
        <f t="shared" si="11"/>
        <v>Average Performer</v>
      </c>
      <c r="W224" t="e" cm="1">
        <f t="array" aca="1" ref="W224" ca="1">_xlfn.IFS(N224&gt;=20, "High",N224&gt;=10, "Medium", N224&lt;10, "Low")</f>
        <v>#NAME?</v>
      </c>
      <c r="X224" t="str">
        <f t="shared" si="12"/>
        <v>High Budget</v>
      </c>
      <c r="Y224" s="7">
        <f>VLOOKUP(G224, Lookup_table!B:C,2,0)</f>
        <v>0.75</v>
      </c>
      <c r="Z224" t="str">
        <f t="shared" si="13"/>
        <v>Inefficient Spend</v>
      </c>
      <c r="AA224" t="str">
        <f>VLOOKUP(H224, Lookup_table!E:F,2,0)</f>
        <v>Medium</v>
      </c>
    </row>
    <row r="225" spans="1:27" ht="17.5" customHeight="1" x14ac:dyDescent="0.35">
      <c r="A225" s="1" t="s">
        <v>387</v>
      </c>
      <c r="B225" s="2">
        <v>45427</v>
      </c>
      <c r="C225" s="1" t="s">
        <v>100</v>
      </c>
      <c r="D225" s="1">
        <v>27</v>
      </c>
      <c r="E225" s="1" t="s">
        <v>29</v>
      </c>
      <c r="F225" s="1" t="s">
        <v>57</v>
      </c>
      <c r="G225" s="1" t="s">
        <v>42</v>
      </c>
      <c r="H225" s="1" t="s">
        <v>32</v>
      </c>
      <c r="I225" s="1">
        <v>1895.22</v>
      </c>
      <c r="J225" s="1">
        <v>30197</v>
      </c>
      <c r="K225" s="1">
        <v>296</v>
      </c>
      <c r="L225" s="1">
        <v>36</v>
      </c>
      <c r="N225" s="1">
        <v>0.98022982400000003</v>
      </c>
      <c r="O225" s="1">
        <v>12.162162159999999</v>
      </c>
      <c r="P225" s="1">
        <f t="shared" si="0"/>
        <v>3</v>
      </c>
      <c r="V225" t="str">
        <f t="shared" si="11"/>
        <v>Low Performer</v>
      </c>
      <c r="W225" t="e" cm="1">
        <f t="array" aca="1" ref="W225" ca="1">_xlfn.IFS(N225&gt;=20, "High",N225&gt;=10, "Medium", N225&lt;10, "Low")</f>
        <v>#NAME?</v>
      </c>
      <c r="X225" t="str">
        <f t="shared" si="12"/>
        <v>High Budget</v>
      </c>
      <c r="Y225" s="7">
        <f>VLOOKUP(G225, Lookup_table!B:C,2,0)</f>
        <v>0.3</v>
      </c>
      <c r="Z225" t="str">
        <f t="shared" si="13"/>
        <v>Inefficient Spend</v>
      </c>
      <c r="AA225" t="str">
        <f>VLOOKUP(H225, Lookup_table!E:F,2,0)</f>
        <v>Medium</v>
      </c>
    </row>
    <row r="226" spans="1:27" ht="17.5" customHeight="1" x14ac:dyDescent="0.35">
      <c r="A226" s="1" t="s">
        <v>388</v>
      </c>
      <c r="B226" s="2">
        <v>45384</v>
      </c>
      <c r="C226" s="1" t="s">
        <v>132</v>
      </c>
      <c r="D226" s="1">
        <v>47</v>
      </c>
      <c r="E226" s="1" t="s">
        <v>23</v>
      </c>
      <c r="F226" s="1" t="s">
        <v>45</v>
      </c>
      <c r="G226" s="1" t="s">
        <v>46</v>
      </c>
      <c r="H226" s="1" t="s">
        <v>62</v>
      </c>
      <c r="I226" s="1">
        <v>336.05</v>
      </c>
      <c r="J226" s="1">
        <v>5603</v>
      </c>
      <c r="K226" s="1">
        <v>734</v>
      </c>
      <c r="L226" s="1">
        <v>44</v>
      </c>
      <c r="M226" s="1">
        <v>1</v>
      </c>
      <c r="N226" s="1">
        <v>13.10012493</v>
      </c>
      <c r="O226" s="1">
        <v>5.9945504090000004</v>
      </c>
      <c r="P226" s="1">
        <f t="shared" si="0"/>
        <v>1</v>
      </c>
      <c r="V226" t="str">
        <f t="shared" si="11"/>
        <v>Low Performer</v>
      </c>
      <c r="W226" t="e" cm="1">
        <f t="array" aca="1" ref="W226" ca="1">_xlfn.IFS(N226&gt;=20, "High",N226&gt;=10, "Medium", N226&lt;10, "Low")</f>
        <v>#NAME?</v>
      </c>
      <c r="X226" t="str">
        <f t="shared" si="12"/>
        <v>Low Budget</v>
      </c>
      <c r="Y226" s="7">
        <f>VLOOKUP(G226, Lookup_table!B:C,2,0)</f>
        <v>0.75</v>
      </c>
      <c r="Z226" t="str">
        <f t="shared" si="13"/>
        <v>Efficient Spend</v>
      </c>
      <c r="AA226" t="str">
        <f>VLOOKUP(H226, Lookup_table!E:F,2,0)</f>
        <v>Medium</v>
      </c>
    </row>
    <row r="227" spans="1:27" ht="17.5" customHeight="1" x14ac:dyDescent="0.35">
      <c r="A227" s="1" t="s">
        <v>389</v>
      </c>
      <c r="B227" s="2">
        <v>45606</v>
      </c>
      <c r="C227" s="1" t="s">
        <v>261</v>
      </c>
      <c r="D227" s="1">
        <v>32</v>
      </c>
      <c r="E227" s="1" t="s">
        <v>29</v>
      </c>
      <c r="F227" s="1" t="s">
        <v>41</v>
      </c>
      <c r="G227" s="1" t="s">
        <v>46</v>
      </c>
      <c r="H227" s="1" t="s">
        <v>62</v>
      </c>
      <c r="I227" s="1">
        <v>1731.3</v>
      </c>
      <c r="J227" s="1">
        <v>43938</v>
      </c>
      <c r="K227" s="1">
        <v>4680</v>
      </c>
      <c r="L227" s="1">
        <v>297</v>
      </c>
      <c r="N227" s="1">
        <v>10.651372390000001</v>
      </c>
      <c r="O227" s="1">
        <v>6.346153846</v>
      </c>
      <c r="P227" s="1">
        <f t="shared" si="0"/>
        <v>3</v>
      </c>
      <c r="V227" t="str">
        <f t="shared" si="11"/>
        <v>Top Performer</v>
      </c>
      <c r="W227" t="e" cm="1">
        <f t="array" aca="1" ref="W227" ca="1">_xlfn.IFS(N227&gt;=20, "High",N227&gt;=10, "Medium", N227&lt;10, "Low")</f>
        <v>#NAME?</v>
      </c>
      <c r="X227" t="str">
        <f t="shared" si="12"/>
        <v>High Budget</v>
      </c>
      <c r="Y227" s="7">
        <f>VLOOKUP(G227, Lookup_table!B:C,2,0)</f>
        <v>0.75</v>
      </c>
      <c r="Z227" t="str">
        <f t="shared" si="13"/>
        <v>Efficient Spend</v>
      </c>
      <c r="AA227" t="str">
        <f>VLOOKUP(H227, Lookup_table!E:F,2,0)</f>
        <v>Medium</v>
      </c>
    </row>
    <row r="228" spans="1:27" ht="17.5" customHeight="1" x14ac:dyDescent="0.35">
      <c r="A228" s="1" t="s">
        <v>390</v>
      </c>
      <c r="B228" s="2">
        <v>45470</v>
      </c>
      <c r="C228" s="1" t="s">
        <v>391</v>
      </c>
      <c r="D228" s="1">
        <v>20</v>
      </c>
      <c r="E228" s="1" t="s">
        <v>23</v>
      </c>
      <c r="F228" s="1" t="s">
        <v>45</v>
      </c>
      <c r="G228" s="1" t="s">
        <v>42</v>
      </c>
      <c r="H228" s="1" t="s">
        <v>32</v>
      </c>
      <c r="I228" s="1">
        <v>1564.51</v>
      </c>
      <c r="J228" s="1">
        <v>18743</v>
      </c>
      <c r="K228" s="1">
        <v>4432</v>
      </c>
      <c r="L228" s="1">
        <v>314</v>
      </c>
      <c r="M228" s="1">
        <v>3</v>
      </c>
      <c r="N228" s="1">
        <v>23.646161230000001</v>
      </c>
      <c r="O228" s="1">
        <v>7.0848375450000001</v>
      </c>
      <c r="P228" s="1">
        <f t="shared" si="0"/>
        <v>3</v>
      </c>
      <c r="V228" t="str">
        <f t="shared" si="11"/>
        <v>Top Performer</v>
      </c>
      <c r="W228" t="e" cm="1">
        <f t="array" aca="1" ref="W228" ca="1">_xlfn.IFS(N228&gt;=20, "High",N228&gt;=10, "Medium", N228&lt;10, "Low")</f>
        <v>#NAME?</v>
      </c>
      <c r="X228" t="str">
        <f t="shared" si="12"/>
        <v>High Budget</v>
      </c>
      <c r="Y228" s="7">
        <f>VLOOKUP(G228, Lookup_table!B:C,2,0)</f>
        <v>0.3</v>
      </c>
      <c r="Z228" t="str">
        <f t="shared" si="13"/>
        <v>Inefficient Spend</v>
      </c>
      <c r="AA228" t="str">
        <f>VLOOKUP(H228, Lookup_table!E:F,2,0)</f>
        <v>Medium</v>
      </c>
    </row>
    <row r="229" spans="1:27" ht="17.5" customHeight="1" x14ac:dyDescent="0.35">
      <c r="A229" s="1" t="s">
        <v>392</v>
      </c>
      <c r="B229" s="2">
        <v>45468</v>
      </c>
      <c r="C229" s="1" t="s">
        <v>393</v>
      </c>
      <c r="D229" s="1">
        <v>27</v>
      </c>
      <c r="E229" s="1" t="s">
        <v>29</v>
      </c>
      <c r="F229" s="1" t="s">
        <v>30</v>
      </c>
      <c r="G229" s="1" t="s">
        <v>61</v>
      </c>
      <c r="H229" s="1" t="s">
        <v>62</v>
      </c>
      <c r="I229" s="1">
        <v>884.06</v>
      </c>
      <c r="J229" s="1">
        <v>33765</v>
      </c>
      <c r="K229" s="1">
        <v>3602</v>
      </c>
      <c r="L229" s="1">
        <v>71</v>
      </c>
      <c r="M229" s="1">
        <v>2</v>
      </c>
      <c r="N229" s="1">
        <v>10.66785133</v>
      </c>
      <c r="O229" s="1">
        <v>1.971127152</v>
      </c>
      <c r="P229" s="1">
        <f t="shared" si="0"/>
        <v>2</v>
      </c>
      <c r="V229" t="str">
        <f t="shared" si="11"/>
        <v>Low Performer</v>
      </c>
      <c r="W229" t="e" cm="1">
        <f t="array" aca="1" ref="W229" ca="1">_xlfn.IFS(N229&gt;=20, "High",N229&gt;=10, "Medium", N229&lt;10, "Low")</f>
        <v>#NAME?</v>
      </c>
      <c r="X229" t="str">
        <f t="shared" si="12"/>
        <v>Medium Budget</v>
      </c>
      <c r="Y229" s="7">
        <f>VLOOKUP(G229, Lookup_table!B:C,2,0)</f>
        <v>0.2</v>
      </c>
      <c r="Z229" t="str">
        <f t="shared" si="13"/>
        <v>Inefficient Spend</v>
      </c>
      <c r="AA229" t="str">
        <f>VLOOKUP(H229, Lookup_table!E:F,2,0)</f>
        <v>Medium</v>
      </c>
    </row>
    <row r="230" spans="1:27" ht="17.5" customHeight="1" x14ac:dyDescent="0.35">
      <c r="A230" s="1" t="s">
        <v>394</v>
      </c>
      <c r="B230" s="2">
        <v>45626</v>
      </c>
      <c r="C230" s="1" t="s">
        <v>395</v>
      </c>
      <c r="D230" s="1">
        <v>29</v>
      </c>
      <c r="E230" s="1" t="s">
        <v>35</v>
      </c>
      <c r="F230" s="1" t="s">
        <v>45</v>
      </c>
      <c r="G230" s="1" t="s">
        <v>42</v>
      </c>
      <c r="H230" s="1" t="s">
        <v>32</v>
      </c>
      <c r="I230" s="1">
        <v>1875.48</v>
      </c>
      <c r="J230" s="1">
        <v>32952</v>
      </c>
      <c r="K230" s="1">
        <v>901</v>
      </c>
      <c r="L230" s="1">
        <v>392</v>
      </c>
      <c r="M230" s="1">
        <v>4</v>
      </c>
      <c r="N230" s="1">
        <v>2.7342801649999999</v>
      </c>
      <c r="O230" s="1">
        <v>43.507214210000001</v>
      </c>
      <c r="P230" s="1">
        <f t="shared" si="0"/>
        <v>4</v>
      </c>
      <c r="V230" t="str">
        <f t="shared" si="11"/>
        <v>Low Performer</v>
      </c>
      <c r="W230" t="e" cm="1">
        <f t="array" aca="1" ref="W230" ca="1">_xlfn.IFS(N230&gt;=20, "High",N230&gt;=10, "Medium", N230&lt;10, "Low")</f>
        <v>#NAME?</v>
      </c>
      <c r="X230" t="str">
        <f t="shared" si="12"/>
        <v>High Budget</v>
      </c>
      <c r="Y230" s="7">
        <f>VLOOKUP(G230, Lookup_table!B:C,2,0)</f>
        <v>0.3</v>
      </c>
      <c r="Z230" t="str">
        <f t="shared" si="13"/>
        <v>Inefficient Spend</v>
      </c>
      <c r="AA230" t="str">
        <f>VLOOKUP(H230, Lookup_table!E:F,2,0)</f>
        <v>Medium</v>
      </c>
    </row>
    <row r="231" spans="1:27" ht="17.5" customHeight="1" x14ac:dyDescent="0.35">
      <c r="A231" s="1" t="s">
        <v>396</v>
      </c>
      <c r="B231" s="2">
        <v>45339</v>
      </c>
      <c r="C231" s="1" t="s">
        <v>259</v>
      </c>
      <c r="D231" s="1">
        <v>19</v>
      </c>
      <c r="E231" s="1" t="s">
        <v>35</v>
      </c>
      <c r="F231" s="1" t="s">
        <v>50</v>
      </c>
      <c r="G231" s="1" t="s">
        <v>25</v>
      </c>
      <c r="H231" s="1" t="s">
        <v>62</v>
      </c>
      <c r="I231" s="1">
        <v>1087.97</v>
      </c>
      <c r="J231" s="1">
        <v>20564</v>
      </c>
      <c r="K231" s="1">
        <v>534</v>
      </c>
      <c r="L231" s="1">
        <v>6</v>
      </c>
      <c r="M231" s="1">
        <v>5</v>
      </c>
      <c r="N231" s="1">
        <v>2.5967710560000001</v>
      </c>
      <c r="O231" s="1">
        <v>1.123595506</v>
      </c>
      <c r="P231" s="1">
        <f t="shared" si="0"/>
        <v>5</v>
      </c>
      <c r="V231" t="str">
        <f t="shared" si="11"/>
        <v>Low Performer</v>
      </c>
      <c r="W231" t="e" cm="1">
        <f t="array" aca="1" ref="W231" ca="1">_xlfn.IFS(N231&gt;=20, "High",N231&gt;=10, "Medium", N231&lt;10, "Low")</f>
        <v>#NAME?</v>
      </c>
      <c r="X231" t="str">
        <f t="shared" si="12"/>
        <v>High Budget</v>
      </c>
      <c r="Y231" s="7">
        <f>VLOOKUP(G231, Lookup_table!B:C,2,0)</f>
        <v>0.5</v>
      </c>
      <c r="Z231" t="str">
        <f t="shared" si="13"/>
        <v>Inefficient Spend</v>
      </c>
      <c r="AA231" t="str">
        <f>VLOOKUP(H231, Lookup_table!E:F,2,0)</f>
        <v>Medium</v>
      </c>
    </row>
    <row r="232" spans="1:27" ht="17.5" customHeight="1" x14ac:dyDescent="0.35">
      <c r="A232" s="1" t="s">
        <v>397</v>
      </c>
      <c r="B232" s="2">
        <v>45418</v>
      </c>
      <c r="C232" s="1" t="s">
        <v>297</v>
      </c>
      <c r="D232" s="1">
        <v>52</v>
      </c>
      <c r="E232" s="1" t="s">
        <v>29</v>
      </c>
      <c r="F232" s="1" t="s">
        <v>24</v>
      </c>
      <c r="G232" s="1" t="s">
        <v>42</v>
      </c>
      <c r="H232" s="1" t="s">
        <v>26</v>
      </c>
      <c r="I232" s="1">
        <v>715.4</v>
      </c>
      <c r="J232" s="1">
        <v>47785</v>
      </c>
      <c r="K232" s="1">
        <v>3256</v>
      </c>
      <c r="L232" s="1">
        <v>314</v>
      </c>
      <c r="N232" s="1">
        <v>6.81385372</v>
      </c>
      <c r="O232" s="1">
        <v>9.6437346440000002</v>
      </c>
      <c r="P232" s="1">
        <f t="shared" si="0"/>
        <v>3</v>
      </c>
      <c r="V232" t="str">
        <f t="shared" si="11"/>
        <v>Top Performer</v>
      </c>
      <c r="W232" t="e" cm="1">
        <f t="array" aca="1" ref="W232" ca="1">_xlfn.IFS(N232&gt;=20, "High",N232&gt;=10, "Medium", N232&lt;10, "Low")</f>
        <v>#NAME?</v>
      </c>
      <c r="X232" t="str">
        <f t="shared" si="12"/>
        <v>Medium Budget</v>
      </c>
      <c r="Y232" s="7">
        <f>VLOOKUP(G232, Lookup_table!B:C,2,0)</f>
        <v>0.3</v>
      </c>
      <c r="Z232" t="str">
        <f t="shared" si="13"/>
        <v>Efficient Spend</v>
      </c>
      <c r="AA232" t="str">
        <f>VLOOKUP(H232, Lookup_table!E:F,2,0)</f>
        <v>High</v>
      </c>
    </row>
    <row r="233" spans="1:27" ht="17.5" customHeight="1" x14ac:dyDescent="0.35">
      <c r="A233" s="1" t="s">
        <v>398</v>
      </c>
      <c r="B233" s="2">
        <v>45503</v>
      </c>
      <c r="C233" s="1" t="s">
        <v>270</v>
      </c>
      <c r="D233" s="1">
        <v>35</v>
      </c>
      <c r="E233" s="1" t="s">
        <v>29</v>
      </c>
      <c r="F233" s="1" t="s">
        <v>57</v>
      </c>
      <c r="G233" s="1" t="s">
        <v>42</v>
      </c>
      <c r="H233" s="1" t="s">
        <v>36</v>
      </c>
      <c r="I233" s="1">
        <v>867.52</v>
      </c>
      <c r="J233" s="1">
        <v>23149</v>
      </c>
      <c r="K233" s="1">
        <v>3981</v>
      </c>
      <c r="L233" s="1">
        <v>71</v>
      </c>
      <c r="M233" s="1">
        <v>5</v>
      </c>
      <c r="N233" s="1">
        <v>17.19728714</v>
      </c>
      <c r="O233" s="1">
        <v>1.7834714899999999</v>
      </c>
      <c r="P233" s="1">
        <f t="shared" si="0"/>
        <v>5</v>
      </c>
      <c r="V233" t="str">
        <f t="shared" si="11"/>
        <v>Low Performer</v>
      </c>
      <c r="W233" t="e" cm="1">
        <f t="array" aca="1" ref="W233" ca="1">_xlfn.IFS(N233&gt;=20, "High",N233&gt;=10, "Medium", N233&lt;10, "Low")</f>
        <v>#NAME?</v>
      </c>
      <c r="X233" t="str">
        <f t="shared" si="12"/>
        <v>Medium Budget</v>
      </c>
      <c r="Y233" s="7">
        <f>VLOOKUP(G233, Lookup_table!B:C,2,0)</f>
        <v>0.3</v>
      </c>
      <c r="Z233" t="str">
        <f t="shared" si="13"/>
        <v>Efficient Spend</v>
      </c>
      <c r="AA233" t="str">
        <f>VLOOKUP(H233, Lookup_table!E:F,2,0)</f>
        <v>High</v>
      </c>
    </row>
    <row r="234" spans="1:27" ht="17.5" customHeight="1" x14ac:dyDescent="0.35">
      <c r="A234" s="1" t="s">
        <v>399</v>
      </c>
      <c r="B234" s="2">
        <v>45397</v>
      </c>
      <c r="C234" s="1" t="s">
        <v>286</v>
      </c>
      <c r="D234" s="1">
        <v>23</v>
      </c>
      <c r="E234" s="1" t="s">
        <v>23</v>
      </c>
      <c r="F234" s="1" t="s">
        <v>41</v>
      </c>
      <c r="G234" s="1" t="s">
        <v>42</v>
      </c>
      <c r="H234" s="1" t="s">
        <v>32</v>
      </c>
      <c r="I234" s="1">
        <v>526.45000000000005</v>
      </c>
      <c r="J234" s="1">
        <v>24687</v>
      </c>
      <c r="K234" s="1">
        <v>3886</v>
      </c>
      <c r="L234" s="1">
        <v>260</v>
      </c>
      <c r="M234" s="1">
        <v>5</v>
      </c>
      <c r="N234" s="1">
        <v>15.7410783</v>
      </c>
      <c r="O234" s="1">
        <v>6.6906845080000004</v>
      </c>
      <c r="P234" s="1">
        <f t="shared" si="0"/>
        <v>5</v>
      </c>
      <c r="V234" t="str">
        <f t="shared" si="11"/>
        <v>Top Performer</v>
      </c>
      <c r="W234" t="e" cm="1">
        <f t="array" aca="1" ref="W234" ca="1">_xlfn.IFS(N234&gt;=20, "High",N234&gt;=10, "Medium", N234&lt;10, "Low")</f>
        <v>#NAME?</v>
      </c>
      <c r="X234" t="str">
        <f t="shared" si="12"/>
        <v>Medium Budget</v>
      </c>
      <c r="Y234" s="7">
        <f>VLOOKUP(G234, Lookup_table!B:C,2,0)</f>
        <v>0.3</v>
      </c>
      <c r="Z234" t="str">
        <f t="shared" si="13"/>
        <v>Efficient Spend</v>
      </c>
      <c r="AA234" t="str">
        <f>VLOOKUP(H234, Lookup_table!E:F,2,0)</f>
        <v>Medium</v>
      </c>
    </row>
    <row r="235" spans="1:27" ht="17.5" customHeight="1" x14ac:dyDescent="0.35">
      <c r="A235" s="1" t="s">
        <v>400</v>
      </c>
      <c r="B235" s="2">
        <v>45369</v>
      </c>
      <c r="C235" s="1" t="s">
        <v>378</v>
      </c>
      <c r="D235" s="1">
        <v>56</v>
      </c>
      <c r="E235" s="1" t="s">
        <v>29</v>
      </c>
      <c r="F235" s="1" t="s">
        <v>41</v>
      </c>
      <c r="G235" s="1" t="s">
        <v>46</v>
      </c>
      <c r="H235" s="1" t="s">
        <v>26</v>
      </c>
      <c r="I235" s="1">
        <v>880.74</v>
      </c>
      <c r="J235" s="1">
        <v>1867</v>
      </c>
      <c r="K235" s="1">
        <v>4531</v>
      </c>
      <c r="L235" s="1">
        <v>230</v>
      </c>
      <c r="M235" s="1">
        <v>4</v>
      </c>
      <c r="N235" s="1">
        <v>242.68880559999999</v>
      </c>
      <c r="O235" s="1">
        <v>5.0761421320000002</v>
      </c>
      <c r="P235" s="1">
        <f t="shared" si="0"/>
        <v>4</v>
      </c>
      <c r="U235" s="1">
        <f>COUNTIF(N231:N1000, N235&gt;100)</f>
        <v>0</v>
      </c>
      <c r="V235" t="str">
        <f t="shared" si="11"/>
        <v>Top Performer</v>
      </c>
      <c r="W235" t="e" cm="1">
        <f t="array" aca="1" ref="W235" ca="1">_xlfn.IFS(N235&gt;=20, "High",N235&gt;=10, "Medium", N235&lt;10, "Low")</f>
        <v>#NAME?</v>
      </c>
      <c r="X235" t="str">
        <f t="shared" si="12"/>
        <v>Medium Budget</v>
      </c>
      <c r="Y235" s="7">
        <f>VLOOKUP(G235, Lookup_table!B:C,2,0)</f>
        <v>0.75</v>
      </c>
      <c r="Z235" t="str">
        <f t="shared" si="13"/>
        <v>Efficient Spend</v>
      </c>
      <c r="AA235" t="str">
        <f>VLOOKUP(H235, Lookup_table!E:F,2,0)</f>
        <v>High</v>
      </c>
    </row>
    <row r="236" spans="1:27" ht="17.5" customHeight="1" x14ac:dyDescent="0.35">
      <c r="A236" s="1" t="s">
        <v>401</v>
      </c>
      <c r="B236" s="2">
        <v>45316</v>
      </c>
      <c r="C236" s="1" t="s">
        <v>126</v>
      </c>
      <c r="D236" s="1">
        <v>49</v>
      </c>
      <c r="E236" s="1" t="s">
        <v>35</v>
      </c>
      <c r="F236" s="1" t="s">
        <v>50</v>
      </c>
      <c r="G236" s="1" t="s">
        <v>46</v>
      </c>
      <c r="H236" s="1" t="s">
        <v>26</v>
      </c>
      <c r="I236" s="1">
        <v>1305.48</v>
      </c>
      <c r="J236" s="1">
        <v>48180</v>
      </c>
      <c r="K236" s="1">
        <v>3428</v>
      </c>
      <c r="L236" s="1">
        <v>235</v>
      </c>
      <c r="M236" s="1">
        <v>3</v>
      </c>
      <c r="N236" s="1">
        <v>7.1149854709999998</v>
      </c>
      <c r="O236" s="1">
        <v>6.8553092180000004</v>
      </c>
      <c r="P236" s="1">
        <f t="shared" si="0"/>
        <v>3</v>
      </c>
      <c r="V236" t="str">
        <f t="shared" si="11"/>
        <v>Top Performer</v>
      </c>
      <c r="W236" t="e" cm="1">
        <f t="array" aca="1" ref="W236" ca="1">_xlfn.IFS(N236&gt;=20, "High",N236&gt;=10, "Medium", N236&lt;10, "Low")</f>
        <v>#NAME?</v>
      </c>
      <c r="X236" t="str">
        <f t="shared" si="12"/>
        <v>High Budget</v>
      </c>
      <c r="Y236" s="7">
        <f>VLOOKUP(G236, Lookup_table!B:C,2,0)</f>
        <v>0.75</v>
      </c>
      <c r="Z236" t="str">
        <f t="shared" si="13"/>
        <v>Efficient Spend</v>
      </c>
      <c r="AA236" t="str">
        <f>VLOOKUP(H236, Lookup_table!E:F,2,0)</f>
        <v>High</v>
      </c>
    </row>
    <row r="237" spans="1:27" ht="17.5" customHeight="1" x14ac:dyDescent="0.35">
      <c r="A237" s="1" t="s">
        <v>402</v>
      </c>
      <c r="B237" s="2">
        <v>45359</v>
      </c>
      <c r="C237" s="1" t="s">
        <v>90</v>
      </c>
      <c r="D237" s="1">
        <v>32</v>
      </c>
      <c r="E237" s="1" t="s">
        <v>29</v>
      </c>
      <c r="F237" s="1" t="s">
        <v>50</v>
      </c>
      <c r="G237" s="1" t="s">
        <v>61</v>
      </c>
      <c r="H237" s="1" t="s">
        <v>32</v>
      </c>
      <c r="I237" s="1">
        <v>785.75</v>
      </c>
      <c r="J237" s="1">
        <v>12360</v>
      </c>
      <c r="K237" s="1">
        <v>830</v>
      </c>
      <c r="L237" s="1">
        <v>338</v>
      </c>
      <c r="M237" s="1">
        <v>3</v>
      </c>
      <c r="N237" s="1">
        <v>6.715210356</v>
      </c>
      <c r="O237" s="1">
        <v>40.722891570000002</v>
      </c>
      <c r="P237" s="1">
        <f t="shared" si="0"/>
        <v>3</v>
      </c>
      <c r="V237" t="str">
        <f t="shared" si="11"/>
        <v>Low Performer</v>
      </c>
      <c r="W237" t="e" cm="1">
        <f t="array" aca="1" ref="W237" ca="1">_xlfn.IFS(N237&gt;=20, "High",N237&gt;=10, "Medium", N237&lt;10, "Low")</f>
        <v>#NAME?</v>
      </c>
      <c r="X237" t="str">
        <f t="shared" si="12"/>
        <v>Medium Budget</v>
      </c>
      <c r="Y237" s="7">
        <f>VLOOKUP(G237, Lookup_table!B:C,2,0)</f>
        <v>0.2</v>
      </c>
      <c r="Z237" t="str">
        <f t="shared" si="13"/>
        <v>Inefficient Spend</v>
      </c>
      <c r="AA237" t="str">
        <f>VLOOKUP(H237, Lookup_table!E:F,2,0)</f>
        <v>Medium</v>
      </c>
    </row>
    <row r="238" spans="1:27" ht="17.5" customHeight="1" x14ac:dyDescent="0.35">
      <c r="A238" s="1" t="s">
        <v>403</v>
      </c>
      <c r="B238" s="2">
        <v>45341</v>
      </c>
      <c r="C238" s="1" t="s">
        <v>404</v>
      </c>
      <c r="D238" s="1">
        <v>35</v>
      </c>
      <c r="E238" s="1" t="s">
        <v>23</v>
      </c>
      <c r="F238" s="1" t="s">
        <v>50</v>
      </c>
      <c r="G238" s="1" t="s">
        <v>31</v>
      </c>
      <c r="H238" s="1" t="s">
        <v>62</v>
      </c>
      <c r="I238" s="1">
        <v>307.75</v>
      </c>
      <c r="J238" s="1">
        <v>37454</v>
      </c>
      <c r="K238" s="1">
        <v>2046</v>
      </c>
      <c r="L238" s="1">
        <v>25</v>
      </c>
      <c r="M238" s="1">
        <v>3</v>
      </c>
      <c r="N238" s="1">
        <v>5.4627009129999999</v>
      </c>
      <c r="O238" s="1">
        <v>1.221896383</v>
      </c>
      <c r="P238" s="1">
        <f t="shared" si="0"/>
        <v>3</v>
      </c>
      <c r="V238" t="str">
        <f t="shared" si="11"/>
        <v>Low Performer</v>
      </c>
      <c r="W238" t="e" cm="1">
        <f t="array" aca="1" ref="W238" ca="1">_xlfn.IFS(N238&gt;=20, "High",N238&gt;=10, "Medium", N238&lt;10, "Low")</f>
        <v>#NAME?</v>
      </c>
      <c r="X238" t="str">
        <f t="shared" si="12"/>
        <v>Low Budget</v>
      </c>
      <c r="Y238" s="7">
        <f>VLOOKUP(G238, Lookup_table!B:C,2,0)</f>
        <v>1.2</v>
      </c>
      <c r="Z238" t="str">
        <f t="shared" si="13"/>
        <v>Efficient Spend</v>
      </c>
      <c r="AA238" t="str">
        <f>VLOOKUP(H238, Lookup_table!E:F,2,0)</f>
        <v>Medium</v>
      </c>
    </row>
    <row r="239" spans="1:27" ht="17.5" customHeight="1" x14ac:dyDescent="0.35">
      <c r="A239" s="1" t="s">
        <v>405</v>
      </c>
      <c r="B239" s="2">
        <v>45325</v>
      </c>
      <c r="C239" s="1" t="s">
        <v>406</v>
      </c>
      <c r="D239" s="1">
        <v>40</v>
      </c>
      <c r="E239" s="1" t="s">
        <v>29</v>
      </c>
      <c r="F239" s="1" t="s">
        <v>30</v>
      </c>
      <c r="G239" s="1" t="s">
        <v>25</v>
      </c>
      <c r="H239" s="1" t="s">
        <v>26</v>
      </c>
      <c r="I239" s="1">
        <v>1845.67</v>
      </c>
      <c r="J239" s="1">
        <v>29637</v>
      </c>
      <c r="K239" s="1">
        <v>3427</v>
      </c>
      <c r="L239" s="1">
        <v>256</v>
      </c>
      <c r="M239" s="1">
        <v>2</v>
      </c>
      <c r="N239" s="1">
        <v>11.563248639999999</v>
      </c>
      <c r="O239" s="1">
        <v>7.4700904579999996</v>
      </c>
      <c r="P239" s="1">
        <f t="shared" si="0"/>
        <v>2</v>
      </c>
      <c r="V239" t="str">
        <f t="shared" si="11"/>
        <v>Top Performer</v>
      </c>
      <c r="W239" t="e" cm="1">
        <f t="array" aca="1" ref="W239" ca="1">_xlfn.IFS(N239&gt;=20, "High",N239&gt;=10, "Medium", N239&lt;10, "Low")</f>
        <v>#NAME?</v>
      </c>
      <c r="X239" t="str">
        <f t="shared" si="12"/>
        <v>High Budget</v>
      </c>
      <c r="Y239" s="7">
        <f>VLOOKUP(G239, Lookup_table!B:C,2,0)</f>
        <v>0.5</v>
      </c>
      <c r="Z239" t="str">
        <f t="shared" si="13"/>
        <v>Inefficient Spend</v>
      </c>
      <c r="AA239" t="str">
        <f>VLOOKUP(H239, Lookup_table!E:F,2,0)</f>
        <v>High</v>
      </c>
    </row>
    <row r="240" spans="1:27" ht="17.5" customHeight="1" x14ac:dyDescent="0.35">
      <c r="A240" s="1" t="s">
        <v>407</v>
      </c>
      <c r="B240" s="2">
        <v>45623</v>
      </c>
      <c r="C240" s="1" t="s">
        <v>369</v>
      </c>
      <c r="D240" s="1">
        <v>34</v>
      </c>
      <c r="E240" s="1" t="s">
        <v>23</v>
      </c>
      <c r="F240" s="1" t="s">
        <v>50</v>
      </c>
      <c r="G240" s="1" t="s">
        <v>46</v>
      </c>
      <c r="H240" s="1" t="s">
        <v>36</v>
      </c>
      <c r="I240" s="1">
        <v>1466.41</v>
      </c>
      <c r="J240" s="1">
        <v>40785</v>
      </c>
      <c r="K240" s="1">
        <v>294</v>
      </c>
      <c r="L240" s="1">
        <v>309</v>
      </c>
      <c r="M240" s="1">
        <v>5</v>
      </c>
      <c r="N240" s="1">
        <v>0.72085325499999997</v>
      </c>
      <c r="O240" s="1">
        <v>105.1020408</v>
      </c>
      <c r="P240" s="1">
        <f t="shared" si="0"/>
        <v>5</v>
      </c>
      <c r="V240" t="str">
        <f t="shared" si="11"/>
        <v>Low Performer</v>
      </c>
      <c r="W240" t="e" cm="1">
        <f t="array" aca="1" ref="W240" ca="1">_xlfn.IFS(N240&gt;=20, "High",N240&gt;=10, "Medium", N240&lt;10, "Low")</f>
        <v>#NAME?</v>
      </c>
      <c r="X240" t="str">
        <f t="shared" si="12"/>
        <v>High Budget</v>
      </c>
      <c r="Y240" s="7">
        <f>VLOOKUP(G240, Lookup_table!B:C,2,0)</f>
        <v>0.75</v>
      </c>
      <c r="Z240" t="str">
        <f t="shared" si="13"/>
        <v>Inefficient Spend</v>
      </c>
      <c r="AA240" t="str">
        <f>VLOOKUP(H240, Lookup_table!E:F,2,0)</f>
        <v>High</v>
      </c>
    </row>
    <row r="241" spans="1:27" ht="17.5" customHeight="1" x14ac:dyDescent="0.35">
      <c r="A241" s="1" t="s">
        <v>408</v>
      </c>
      <c r="B241" s="2">
        <v>45639</v>
      </c>
      <c r="C241" s="1" t="s">
        <v>409</v>
      </c>
      <c r="E241" s="1" t="s">
        <v>23</v>
      </c>
      <c r="G241" s="1" t="s">
        <v>42</v>
      </c>
      <c r="H241" s="1" t="s">
        <v>26</v>
      </c>
      <c r="I241" s="1">
        <v>394.75</v>
      </c>
      <c r="J241" s="1">
        <v>39706</v>
      </c>
      <c r="K241" s="1">
        <v>3487</v>
      </c>
      <c r="L241" s="1">
        <v>331</v>
      </c>
      <c r="N241" s="1">
        <v>8.7820480530000005</v>
      </c>
      <c r="O241" s="1">
        <v>9.492400344</v>
      </c>
      <c r="P241" s="1">
        <f t="shared" si="0"/>
        <v>3</v>
      </c>
      <c r="V241" t="str">
        <f t="shared" si="11"/>
        <v>Top Performer</v>
      </c>
      <c r="W241" t="e" cm="1">
        <f t="array" aca="1" ref="W241" ca="1">_xlfn.IFS(N241&gt;=20, "High",N241&gt;=10, "Medium", N241&lt;10, "Low")</f>
        <v>#NAME?</v>
      </c>
      <c r="X241" t="str">
        <f t="shared" si="12"/>
        <v>Low Budget</v>
      </c>
      <c r="Y241" s="7">
        <f>VLOOKUP(G241, Lookup_table!B:C,2,0)</f>
        <v>0.3</v>
      </c>
      <c r="Z241" t="str">
        <f t="shared" si="13"/>
        <v>Efficient Spend</v>
      </c>
      <c r="AA241" t="str">
        <f>VLOOKUP(H241, Lookup_table!E:F,2,0)</f>
        <v>High</v>
      </c>
    </row>
    <row r="242" spans="1:27" ht="17.5" customHeight="1" x14ac:dyDescent="0.35">
      <c r="A242" s="1" t="s">
        <v>410</v>
      </c>
      <c r="B242" s="2">
        <v>45360</v>
      </c>
      <c r="C242" s="1" t="s">
        <v>44</v>
      </c>
      <c r="D242" s="1">
        <v>57</v>
      </c>
      <c r="E242" s="1" t="s">
        <v>23</v>
      </c>
      <c r="F242" s="1" t="s">
        <v>50</v>
      </c>
      <c r="G242" s="1" t="s">
        <v>46</v>
      </c>
      <c r="H242" s="1" t="s">
        <v>36</v>
      </c>
      <c r="I242" s="1">
        <v>1661.73</v>
      </c>
      <c r="J242" s="1">
        <v>32350</v>
      </c>
      <c r="K242" s="1">
        <v>4136</v>
      </c>
      <c r="L242" s="1">
        <v>82</v>
      </c>
      <c r="M242" s="1">
        <v>5</v>
      </c>
      <c r="N242" s="1">
        <v>12.785162290000001</v>
      </c>
      <c r="O242" s="1">
        <v>1.9825918760000001</v>
      </c>
      <c r="P242" s="1">
        <f t="shared" si="0"/>
        <v>5</v>
      </c>
      <c r="V242" t="str">
        <f t="shared" si="11"/>
        <v>Low Performer</v>
      </c>
      <c r="W242" t="e" cm="1">
        <f t="array" aca="1" ref="W242" ca="1">_xlfn.IFS(N242&gt;=20, "High",N242&gt;=10, "Medium", N242&lt;10, "Low")</f>
        <v>#NAME?</v>
      </c>
      <c r="X242" t="str">
        <f t="shared" si="12"/>
        <v>High Budget</v>
      </c>
      <c r="Y242" s="7">
        <f>VLOOKUP(G242, Lookup_table!B:C,2,0)</f>
        <v>0.75</v>
      </c>
      <c r="Z242" t="str">
        <f t="shared" si="13"/>
        <v>Efficient Spend</v>
      </c>
      <c r="AA242" t="str">
        <f>VLOOKUP(H242, Lookup_table!E:F,2,0)</f>
        <v>High</v>
      </c>
    </row>
    <row r="243" spans="1:27" ht="17.5" customHeight="1" x14ac:dyDescent="0.35">
      <c r="A243" s="1" t="s">
        <v>411</v>
      </c>
      <c r="B243" s="2">
        <v>45522</v>
      </c>
      <c r="C243" s="1" t="s">
        <v>210</v>
      </c>
      <c r="E243" s="1" t="s">
        <v>23</v>
      </c>
      <c r="G243" s="1" t="s">
        <v>31</v>
      </c>
      <c r="H243" s="1" t="s">
        <v>36</v>
      </c>
      <c r="I243" s="1">
        <v>1903.52</v>
      </c>
      <c r="J243" s="1">
        <v>7720</v>
      </c>
      <c r="K243" s="1">
        <v>2503</v>
      </c>
      <c r="L243" s="1">
        <v>312</v>
      </c>
      <c r="N243" s="1">
        <v>32.422279789999997</v>
      </c>
      <c r="O243" s="1">
        <v>12.46504195</v>
      </c>
      <c r="P243" s="1">
        <f t="shared" si="0"/>
        <v>3</v>
      </c>
      <c r="V243" t="str">
        <f t="shared" si="11"/>
        <v>Average Performer</v>
      </c>
      <c r="W243" t="e" cm="1">
        <f t="array" aca="1" ref="W243" ca="1">_xlfn.IFS(N243&gt;=20, "High",N243&gt;=10, "Medium", N243&lt;10, "Low")</f>
        <v>#NAME?</v>
      </c>
      <c r="X243" t="str">
        <f t="shared" si="12"/>
        <v>High Budget</v>
      </c>
      <c r="Y243" s="7">
        <f>VLOOKUP(G243, Lookup_table!B:C,2,0)</f>
        <v>1.2</v>
      </c>
      <c r="Z243" t="str">
        <f t="shared" si="13"/>
        <v>Efficient Spend</v>
      </c>
      <c r="AA243" t="str">
        <f>VLOOKUP(H243, Lookup_table!E:F,2,0)</f>
        <v>High</v>
      </c>
    </row>
    <row r="244" spans="1:27" ht="17.5" customHeight="1" x14ac:dyDescent="0.35">
      <c r="A244" s="1" t="s">
        <v>412</v>
      </c>
      <c r="B244" s="2">
        <v>45387</v>
      </c>
      <c r="C244" s="1" t="s">
        <v>243</v>
      </c>
      <c r="D244" s="1">
        <v>20</v>
      </c>
      <c r="E244" s="1" t="s">
        <v>23</v>
      </c>
      <c r="F244" s="1" t="s">
        <v>41</v>
      </c>
      <c r="G244" s="1" t="s">
        <v>25</v>
      </c>
      <c r="H244" s="1" t="s">
        <v>36</v>
      </c>
      <c r="I244" s="1">
        <v>598.57000000000005</v>
      </c>
      <c r="J244" s="1">
        <v>30323</v>
      </c>
      <c r="K244" s="1">
        <v>2913</v>
      </c>
      <c r="L244" s="1">
        <v>265</v>
      </c>
      <c r="M244" s="1">
        <v>1</v>
      </c>
      <c r="N244" s="1">
        <v>9.6065692709999997</v>
      </c>
      <c r="O244" s="1">
        <v>9.0971507040000006</v>
      </c>
      <c r="P244" s="1">
        <f t="shared" si="0"/>
        <v>1</v>
      </c>
      <c r="V244" t="str">
        <f t="shared" si="11"/>
        <v>Average Performer</v>
      </c>
      <c r="W244" t="e" cm="1">
        <f t="array" aca="1" ref="W244" ca="1">_xlfn.IFS(N244&gt;=20, "High",N244&gt;=10, "Medium", N244&lt;10, "Low")</f>
        <v>#NAME?</v>
      </c>
      <c r="X244" t="str">
        <f t="shared" si="12"/>
        <v>Medium Budget</v>
      </c>
      <c r="Y244" s="7">
        <f>VLOOKUP(G244, Lookup_table!B:C,2,0)</f>
        <v>0.5</v>
      </c>
      <c r="Z244" t="str">
        <f t="shared" si="13"/>
        <v>Efficient Spend</v>
      </c>
      <c r="AA244" t="str">
        <f>VLOOKUP(H244, Lookup_table!E:F,2,0)</f>
        <v>High</v>
      </c>
    </row>
    <row r="245" spans="1:27" ht="17.5" customHeight="1" x14ac:dyDescent="0.35">
      <c r="A245" s="1" t="s">
        <v>413</v>
      </c>
      <c r="B245" s="2">
        <v>45417</v>
      </c>
      <c r="C245" s="1" t="s">
        <v>414</v>
      </c>
      <c r="D245" s="1">
        <v>40</v>
      </c>
      <c r="E245" s="1" t="s">
        <v>35</v>
      </c>
      <c r="F245" s="1" t="s">
        <v>41</v>
      </c>
      <c r="G245" s="1" t="s">
        <v>31</v>
      </c>
      <c r="H245" s="1" t="s">
        <v>36</v>
      </c>
      <c r="I245" s="1">
        <v>1099.93</v>
      </c>
      <c r="J245" s="1">
        <v>35184</v>
      </c>
      <c r="K245" s="1">
        <v>2740</v>
      </c>
      <c r="L245" s="1">
        <v>31</v>
      </c>
      <c r="M245" s="1">
        <v>3</v>
      </c>
      <c r="N245" s="1">
        <v>7.7876307410000001</v>
      </c>
      <c r="O245" s="1">
        <v>1.131386861</v>
      </c>
      <c r="P245" s="1">
        <f t="shared" si="0"/>
        <v>3</v>
      </c>
      <c r="V245" t="str">
        <f t="shared" si="11"/>
        <v>Low Performer</v>
      </c>
      <c r="W245" t="e" cm="1">
        <f t="array" aca="1" ref="W245" ca="1">_xlfn.IFS(N245&gt;=20, "High",N245&gt;=10, "Medium", N245&lt;10, "Low")</f>
        <v>#NAME?</v>
      </c>
      <c r="X245" t="str">
        <f t="shared" si="12"/>
        <v>High Budget</v>
      </c>
      <c r="Y245" s="7">
        <f>VLOOKUP(G245, Lookup_table!B:C,2,0)</f>
        <v>1.2</v>
      </c>
      <c r="Z245" t="str">
        <f t="shared" si="13"/>
        <v>Efficient Spend</v>
      </c>
      <c r="AA245" t="str">
        <f>VLOOKUP(H245, Lookup_table!E:F,2,0)</f>
        <v>High</v>
      </c>
    </row>
    <row r="246" spans="1:27" ht="17.5" customHeight="1" x14ac:dyDescent="0.35">
      <c r="A246" s="1" t="s">
        <v>415</v>
      </c>
      <c r="B246" s="2">
        <v>45543</v>
      </c>
      <c r="C246" s="1" t="s">
        <v>329</v>
      </c>
      <c r="D246" s="1">
        <v>22</v>
      </c>
      <c r="E246" s="1" t="s">
        <v>23</v>
      </c>
      <c r="F246" s="1" t="s">
        <v>45</v>
      </c>
      <c r="G246" s="1" t="s">
        <v>46</v>
      </c>
      <c r="H246" s="1" t="s">
        <v>62</v>
      </c>
      <c r="I246" s="1">
        <v>1870.23</v>
      </c>
      <c r="J246" s="1">
        <v>4858</v>
      </c>
      <c r="K246" s="1">
        <v>2255</v>
      </c>
      <c r="L246" s="1">
        <v>205</v>
      </c>
      <c r="N246" s="1">
        <v>46.418279130000002</v>
      </c>
      <c r="O246" s="1">
        <v>9.0909090910000003</v>
      </c>
      <c r="P246" s="1">
        <f t="shared" si="0"/>
        <v>3</v>
      </c>
      <c r="V246" t="str">
        <f t="shared" si="11"/>
        <v>Average Performer</v>
      </c>
      <c r="W246" t="e" cm="1">
        <f t="array" aca="1" ref="W246" ca="1">_xlfn.IFS(N246&gt;=20, "High",N246&gt;=10, "Medium", N246&lt;10, "Low")</f>
        <v>#NAME?</v>
      </c>
      <c r="X246" t="str">
        <f t="shared" si="12"/>
        <v>High Budget</v>
      </c>
      <c r="Y246" s="7">
        <f>VLOOKUP(G246, Lookup_table!B:C,2,0)</f>
        <v>0.75</v>
      </c>
      <c r="Z246" t="str">
        <f t="shared" si="13"/>
        <v>Inefficient Spend</v>
      </c>
      <c r="AA246" t="str">
        <f>VLOOKUP(H246, Lookup_table!E:F,2,0)</f>
        <v>Medium</v>
      </c>
    </row>
    <row r="247" spans="1:27" ht="17.5" customHeight="1" x14ac:dyDescent="0.35">
      <c r="A247" s="1" t="s">
        <v>416</v>
      </c>
      <c r="B247" s="2">
        <v>45353</v>
      </c>
      <c r="C247" s="1" t="s">
        <v>329</v>
      </c>
      <c r="D247" s="1">
        <v>64</v>
      </c>
      <c r="E247" s="1" t="s">
        <v>23</v>
      </c>
      <c r="F247" s="1" t="s">
        <v>24</v>
      </c>
      <c r="G247" s="1" t="s">
        <v>61</v>
      </c>
      <c r="H247" s="1" t="s">
        <v>32</v>
      </c>
      <c r="I247" s="1">
        <v>699.4</v>
      </c>
      <c r="J247" s="1">
        <v>16566</v>
      </c>
      <c r="K247" s="1">
        <v>4254</v>
      </c>
      <c r="L247" s="1">
        <v>29</v>
      </c>
      <c r="M247" s="1">
        <v>1</v>
      </c>
      <c r="N247" s="1">
        <v>25.679101769999999</v>
      </c>
      <c r="O247" s="1">
        <v>0.68171133100000003</v>
      </c>
      <c r="P247" s="1">
        <f t="shared" si="0"/>
        <v>1</v>
      </c>
      <c r="V247" t="str">
        <f t="shared" si="11"/>
        <v>Low Performer</v>
      </c>
      <c r="W247" t="e" cm="1">
        <f t="array" aca="1" ref="W247" ca="1">_xlfn.IFS(N247&gt;=20, "High",N247&gt;=10, "Medium", N247&lt;10, "Low")</f>
        <v>#NAME?</v>
      </c>
      <c r="X247" t="str">
        <f t="shared" si="12"/>
        <v>Medium Budget</v>
      </c>
      <c r="Y247" s="7">
        <f>VLOOKUP(G247, Lookup_table!B:C,2,0)</f>
        <v>0.2</v>
      </c>
      <c r="Z247" t="str">
        <f t="shared" si="13"/>
        <v>Efficient Spend</v>
      </c>
      <c r="AA247" t="str">
        <f>VLOOKUP(H247, Lookup_table!E:F,2,0)</f>
        <v>Medium</v>
      </c>
    </row>
    <row r="248" spans="1:27" ht="17.5" customHeight="1" x14ac:dyDescent="0.35">
      <c r="A248" s="1" t="s">
        <v>417</v>
      </c>
      <c r="B248" s="2">
        <v>45642</v>
      </c>
      <c r="C248" s="1" t="s">
        <v>418</v>
      </c>
      <c r="D248" s="1">
        <v>51</v>
      </c>
      <c r="E248" s="1" t="s">
        <v>35</v>
      </c>
      <c r="F248" s="1" t="s">
        <v>45</v>
      </c>
      <c r="G248" s="1" t="s">
        <v>25</v>
      </c>
      <c r="H248" s="1" t="s">
        <v>62</v>
      </c>
      <c r="I248" s="1">
        <v>758.46</v>
      </c>
      <c r="J248" s="1">
        <v>34903</v>
      </c>
      <c r="K248" s="1">
        <v>1492</v>
      </c>
      <c r="L248" s="1">
        <v>340</v>
      </c>
      <c r="M248" s="1">
        <v>5</v>
      </c>
      <c r="N248" s="1">
        <v>4.2747041799999996</v>
      </c>
      <c r="O248" s="1">
        <v>22.788203750000001</v>
      </c>
      <c r="P248" s="1">
        <f t="shared" si="0"/>
        <v>5</v>
      </c>
      <c r="V248" t="str">
        <f t="shared" si="11"/>
        <v>Average Performer</v>
      </c>
      <c r="W248" t="e" cm="1">
        <f t="array" aca="1" ref="W248" ca="1">_xlfn.IFS(N248&gt;=20, "High",N248&gt;=10, "Medium", N248&lt;10, "Low")</f>
        <v>#NAME?</v>
      </c>
      <c r="X248" t="str">
        <f t="shared" si="12"/>
        <v>Medium Budget</v>
      </c>
      <c r="Y248" s="7">
        <f>VLOOKUP(G248, Lookup_table!B:C,2,0)</f>
        <v>0.5</v>
      </c>
      <c r="Z248" t="str">
        <f t="shared" si="13"/>
        <v>Inefficient Spend</v>
      </c>
      <c r="AA248" t="str">
        <f>VLOOKUP(H248, Lookup_table!E:F,2,0)</f>
        <v>Medium</v>
      </c>
    </row>
    <row r="249" spans="1:27" ht="17.5" customHeight="1" x14ac:dyDescent="0.35">
      <c r="A249" s="1" t="s">
        <v>419</v>
      </c>
      <c r="B249" s="2">
        <v>45370</v>
      </c>
      <c r="C249" s="1" t="s">
        <v>152</v>
      </c>
      <c r="D249" s="1">
        <v>57</v>
      </c>
      <c r="E249" s="1" t="s">
        <v>29</v>
      </c>
      <c r="F249" s="1" t="s">
        <v>24</v>
      </c>
      <c r="G249" s="1" t="s">
        <v>25</v>
      </c>
      <c r="H249" s="1" t="s">
        <v>26</v>
      </c>
      <c r="I249" s="1">
        <v>411.03</v>
      </c>
      <c r="J249" s="1">
        <v>5499</v>
      </c>
      <c r="K249" s="1">
        <v>1550</v>
      </c>
      <c r="L249" s="1">
        <v>18</v>
      </c>
      <c r="M249" s="1">
        <v>3</v>
      </c>
      <c r="N249" s="1">
        <v>28.186943079999999</v>
      </c>
      <c r="O249" s="1">
        <v>1.161290323</v>
      </c>
      <c r="P249" s="1">
        <f t="shared" si="0"/>
        <v>3</v>
      </c>
      <c r="V249" t="str">
        <f t="shared" si="11"/>
        <v>Low Performer</v>
      </c>
      <c r="W249" t="e" cm="1">
        <f t="array" aca="1" ref="W249" ca="1">_xlfn.IFS(N249&gt;=20, "High",N249&gt;=10, "Medium", N249&lt;10, "Low")</f>
        <v>#NAME?</v>
      </c>
      <c r="X249" t="str">
        <f t="shared" si="12"/>
        <v>Low Budget</v>
      </c>
      <c r="Y249" s="7">
        <f>VLOOKUP(G249, Lookup_table!B:C,2,0)</f>
        <v>0.5</v>
      </c>
      <c r="Z249" t="str">
        <f t="shared" si="13"/>
        <v>Efficient Spend</v>
      </c>
      <c r="AA249" t="str">
        <f>VLOOKUP(H249, Lookup_table!E:F,2,0)</f>
        <v>High</v>
      </c>
    </row>
    <row r="250" spans="1:27" ht="17.5" customHeight="1" x14ac:dyDescent="0.35">
      <c r="A250" s="1" t="s">
        <v>420</v>
      </c>
      <c r="B250" s="2">
        <v>45656</v>
      </c>
      <c r="C250" s="1" t="s">
        <v>354</v>
      </c>
      <c r="D250" s="1">
        <v>50</v>
      </c>
      <c r="E250" s="1" t="s">
        <v>35</v>
      </c>
      <c r="F250" s="1" t="s">
        <v>24</v>
      </c>
      <c r="G250" s="1" t="s">
        <v>31</v>
      </c>
      <c r="H250" s="1" t="s">
        <v>26</v>
      </c>
      <c r="I250" s="1">
        <v>946.44</v>
      </c>
      <c r="J250" s="1">
        <v>30703</v>
      </c>
      <c r="K250" s="1">
        <v>2607</v>
      </c>
      <c r="L250" s="1">
        <v>289</v>
      </c>
      <c r="M250" s="1">
        <v>4</v>
      </c>
      <c r="N250" s="1">
        <v>8.4910269350000007</v>
      </c>
      <c r="O250" s="1">
        <v>11.08553893</v>
      </c>
      <c r="P250" s="1">
        <f t="shared" si="0"/>
        <v>4</v>
      </c>
      <c r="V250" t="str">
        <f t="shared" si="11"/>
        <v>Average Performer</v>
      </c>
      <c r="W250" t="e" cm="1">
        <f t="array" aca="1" ref="W250" ca="1">_xlfn.IFS(N250&gt;=20, "High",N250&gt;=10, "Medium", N250&lt;10, "Low")</f>
        <v>#NAME?</v>
      </c>
      <c r="X250" t="str">
        <f t="shared" si="12"/>
        <v>Medium Budget</v>
      </c>
      <c r="Y250" s="7">
        <f>VLOOKUP(G250, Lookup_table!B:C,2,0)</f>
        <v>1.2</v>
      </c>
      <c r="Z250" t="str">
        <f t="shared" si="13"/>
        <v>Efficient Spend</v>
      </c>
      <c r="AA250" t="str">
        <f>VLOOKUP(H250, Lookup_table!E:F,2,0)</f>
        <v>High</v>
      </c>
    </row>
    <row r="251" spans="1:27" ht="17.5" customHeight="1" x14ac:dyDescent="0.35">
      <c r="A251" s="1" t="s">
        <v>421</v>
      </c>
      <c r="B251" s="2">
        <v>45368</v>
      </c>
      <c r="C251" s="1" t="s">
        <v>195</v>
      </c>
      <c r="D251" s="1">
        <v>42</v>
      </c>
      <c r="E251" s="1" t="s">
        <v>23</v>
      </c>
      <c r="F251" s="1" t="s">
        <v>57</v>
      </c>
      <c r="G251" s="1" t="s">
        <v>25</v>
      </c>
      <c r="H251" s="1" t="s">
        <v>26</v>
      </c>
      <c r="I251" s="1">
        <v>1811.41</v>
      </c>
      <c r="J251" s="1">
        <v>23980</v>
      </c>
      <c r="K251" s="1">
        <v>1485</v>
      </c>
      <c r="L251" s="1">
        <v>384</v>
      </c>
      <c r="N251" s="1">
        <v>6.1926605500000003</v>
      </c>
      <c r="O251" s="1">
        <v>25.858585860000002</v>
      </c>
      <c r="P251" s="1">
        <f t="shared" si="0"/>
        <v>3</v>
      </c>
      <c r="V251" t="str">
        <f t="shared" si="11"/>
        <v>Average Performer</v>
      </c>
      <c r="W251" t="e" cm="1">
        <f t="array" aca="1" ref="W251" ca="1">_xlfn.IFS(N251&gt;=20, "High",N251&gt;=10, "Medium", N251&lt;10, "Low")</f>
        <v>#NAME?</v>
      </c>
      <c r="X251" t="str">
        <f t="shared" si="12"/>
        <v>High Budget</v>
      </c>
      <c r="Y251" s="7">
        <f>VLOOKUP(G251, Lookup_table!B:C,2,0)</f>
        <v>0.5</v>
      </c>
      <c r="Z251" t="str">
        <f t="shared" si="13"/>
        <v>Inefficient Spend</v>
      </c>
      <c r="AA251" t="str">
        <f>VLOOKUP(H251, Lookup_table!E:F,2,0)</f>
        <v>High</v>
      </c>
    </row>
    <row r="252" spans="1:27" ht="17.5" customHeight="1" x14ac:dyDescent="0.35">
      <c r="A252" s="1" t="s">
        <v>422</v>
      </c>
      <c r="B252" s="2">
        <v>45414</v>
      </c>
      <c r="C252" s="1" t="s">
        <v>423</v>
      </c>
      <c r="D252" s="1">
        <v>28</v>
      </c>
      <c r="E252" s="1" t="s">
        <v>35</v>
      </c>
      <c r="F252" s="1" t="s">
        <v>57</v>
      </c>
      <c r="G252" s="1" t="s">
        <v>42</v>
      </c>
      <c r="H252" s="1" t="s">
        <v>32</v>
      </c>
      <c r="I252" s="1">
        <v>1934.61</v>
      </c>
      <c r="J252" s="1">
        <v>7195</v>
      </c>
      <c r="K252" s="1">
        <v>3150</v>
      </c>
      <c r="L252" s="1">
        <v>324</v>
      </c>
      <c r="N252" s="1">
        <v>43.780403059999998</v>
      </c>
      <c r="O252" s="1">
        <v>10.28571429</v>
      </c>
      <c r="P252" s="1">
        <f t="shared" si="0"/>
        <v>3</v>
      </c>
      <c r="V252" t="str">
        <f t="shared" si="11"/>
        <v>Top Performer</v>
      </c>
      <c r="W252" t="e" cm="1">
        <f t="array" aca="1" ref="W252" ca="1">_xlfn.IFS(N252&gt;=20, "High",N252&gt;=10, "Medium", N252&lt;10, "Low")</f>
        <v>#NAME?</v>
      </c>
      <c r="X252" t="str">
        <f t="shared" si="12"/>
        <v>High Budget</v>
      </c>
      <c r="Y252" s="7">
        <f>VLOOKUP(G252, Lookup_table!B:C,2,0)</f>
        <v>0.3</v>
      </c>
      <c r="Z252" t="str">
        <f t="shared" si="13"/>
        <v>Inefficient Spend</v>
      </c>
      <c r="AA252" t="str">
        <f>VLOOKUP(H252, Lookup_table!E:F,2,0)</f>
        <v>Medium</v>
      </c>
    </row>
    <row r="253" spans="1:27" ht="17.5" customHeight="1" x14ac:dyDescent="0.35">
      <c r="A253" s="1" t="s">
        <v>424</v>
      </c>
      <c r="B253" s="2">
        <v>45645</v>
      </c>
      <c r="C253" s="1" t="s">
        <v>95</v>
      </c>
      <c r="D253" s="1">
        <v>34</v>
      </c>
      <c r="E253" s="1" t="s">
        <v>35</v>
      </c>
      <c r="F253" s="1" t="s">
        <v>50</v>
      </c>
      <c r="G253" s="1" t="s">
        <v>46</v>
      </c>
      <c r="H253" s="1" t="s">
        <v>32</v>
      </c>
      <c r="I253" s="1">
        <v>359.82</v>
      </c>
      <c r="J253" s="1">
        <v>29915</v>
      </c>
      <c r="K253" s="1">
        <v>1376</v>
      </c>
      <c r="L253" s="1">
        <v>360</v>
      </c>
      <c r="M253" s="1">
        <v>3</v>
      </c>
      <c r="N253" s="1">
        <v>4.599699148</v>
      </c>
      <c r="O253" s="1">
        <v>26.162790699999999</v>
      </c>
      <c r="P253" s="1">
        <f t="shared" si="0"/>
        <v>3</v>
      </c>
      <c r="V253" t="str">
        <f t="shared" si="11"/>
        <v>Average Performer</v>
      </c>
      <c r="W253" t="e" cm="1">
        <f t="array" aca="1" ref="W253" ca="1">_xlfn.IFS(N253&gt;=20, "High",N253&gt;=10, "Medium", N253&lt;10, "Low")</f>
        <v>#NAME?</v>
      </c>
      <c r="X253" t="str">
        <f t="shared" si="12"/>
        <v>Low Budget</v>
      </c>
      <c r="Y253" s="7">
        <f>VLOOKUP(G253, Lookup_table!B:C,2,0)</f>
        <v>0.75</v>
      </c>
      <c r="Z253" t="str">
        <f t="shared" si="13"/>
        <v>Efficient Spend</v>
      </c>
      <c r="AA253" t="str">
        <f>VLOOKUP(H253, Lookup_table!E:F,2,0)</f>
        <v>Medium</v>
      </c>
    </row>
    <row r="254" spans="1:27" ht="17.5" customHeight="1" x14ac:dyDescent="0.35">
      <c r="A254" s="1" t="s">
        <v>425</v>
      </c>
      <c r="B254" s="2">
        <v>45300</v>
      </c>
      <c r="C254" s="1" t="s">
        <v>126</v>
      </c>
      <c r="D254" s="1">
        <v>59</v>
      </c>
      <c r="E254" s="1" t="s">
        <v>29</v>
      </c>
      <c r="F254" s="1" t="s">
        <v>30</v>
      </c>
      <c r="G254" s="1" t="s">
        <v>31</v>
      </c>
      <c r="H254" s="1" t="s">
        <v>26</v>
      </c>
      <c r="I254" s="1">
        <v>1861.2</v>
      </c>
      <c r="J254" s="1">
        <v>22153</v>
      </c>
      <c r="K254" s="1">
        <v>1966</v>
      </c>
      <c r="L254" s="1">
        <v>127</v>
      </c>
      <c r="M254" s="1">
        <v>2</v>
      </c>
      <c r="N254" s="1">
        <v>8.8746445180000002</v>
      </c>
      <c r="O254" s="1">
        <v>6.4598168869999997</v>
      </c>
      <c r="P254" s="1">
        <f t="shared" si="0"/>
        <v>2</v>
      </c>
      <c r="V254" t="str">
        <f t="shared" si="11"/>
        <v>Average Performer</v>
      </c>
      <c r="W254" t="e" cm="1">
        <f t="array" aca="1" ref="W254" ca="1">_xlfn.IFS(N254&gt;=20, "High",N254&gt;=10, "Medium", N254&lt;10, "Low")</f>
        <v>#NAME?</v>
      </c>
      <c r="X254" t="str">
        <f t="shared" si="12"/>
        <v>High Budget</v>
      </c>
      <c r="Y254" s="7">
        <f>VLOOKUP(G254, Lookup_table!B:C,2,0)</f>
        <v>1.2</v>
      </c>
      <c r="Z254" t="str">
        <f t="shared" si="13"/>
        <v>Efficient Spend</v>
      </c>
      <c r="AA254" t="str">
        <f>VLOOKUP(H254, Lookup_table!E:F,2,0)</f>
        <v>High</v>
      </c>
    </row>
    <row r="255" spans="1:27" ht="17.5" customHeight="1" x14ac:dyDescent="0.35">
      <c r="A255" s="1" t="s">
        <v>426</v>
      </c>
      <c r="B255" s="2">
        <v>45472</v>
      </c>
      <c r="C255" s="1" t="s">
        <v>59</v>
      </c>
      <c r="D255" s="1">
        <v>50</v>
      </c>
      <c r="E255" s="1" t="s">
        <v>23</v>
      </c>
      <c r="F255" s="1" t="s">
        <v>41</v>
      </c>
      <c r="G255" s="1" t="s">
        <v>46</v>
      </c>
      <c r="H255" s="1" t="s">
        <v>26</v>
      </c>
      <c r="I255" s="1">
        <v>431.94</v>
      </c>
      <c r="J255" s="1">
        <v>13414</v>
      </c>
      <c r="K255" s="1">
        <v>1643</v>
      </c>
      <c r="L255" s="1">
        <v>22</v>
      </c>
      <c r="M255" s="1">
        <v>4</v>
      </c>
      <c r="N255" s="1">
        <v>12.248397199999999</v>
      </c>
      <c r="O255" s="1">
        <v>1.3390139990000001</v>
      </c>
      <c r="P255" s="1">
        <f t="shared" si="0"/>
        <v>4</v>
      </c>
      <c r="V255" t="str">
        <f t="shared" si="11"/>
        <v>Low Performer</v>
      </c>
      <c r="W255" t="e" cm="1">
        <f t="array" aca="1" ref="W255" ca="1">_xlfn.IFS(N255&gt;=20, "High",N255&gt;=10, "Medium", N255&lt;10, "Low")</f>
        <v>#NAME?</v>
      </c>
      <c r="X255" t="str">
        <f t="shared" si="12"/>
        <v>Low Budget</v>
      </c>
      <c r="Y255" s="7">
        <f>VLOOKUP(G255, Lookup_table!B:C,2,0)</f>
        <v>0.75</v>
      </c>
      <c r="Z255" t="str">
        <f t="shared" si="13"/>
        <v>Efficient Spend</v>
      </c>
      <c r="AA255" t="str">
        <f>VLOOKUP(H255, Lookup_table!E:F,2,0)</f>
        <v>High</v>
      </c>
    </row>
    <row r="256" spans="1:27" ht="17.5" customHeight="1" x14ac:dyDescent="0.35">
      <c r="A256" s="1" t="s">
        <v>427</v>
      </c>
      <c r="B256" s="2">
        <v>45386</v>
      </c>
      <c r="C256" s="1" t="s">
        <v>428</v>
      </c>
      <c r="D256" s="1">
        <v>61</v>
      </c>
      <c r="E256" s="1" t="s">
        <v>29</v>
      </c>
      <c r="F256" s="1" t="s">
        <v>24</v>
      </c>
      <c r="G256" s="1" t="s">
        <v>25</v>
      </c>
      <c r="H256" s="1" t="s">
        <v>36</v>
      </c>
      <c r="I256" s="1">
        <v>1762.48</v>
      </c>
      <c r="J256" s="1">
        <v>32047</v>
      </c>
      <c r="K256" s="1">
        <v>3075</v>
      </c>
      <c r="L256" s="1">
        <v>15</v>
      </c>
      <c r="N256" s="1">
        <v>9.5952819300000005</v>
      </c>
      <c r="O256" s="1">
        <v>0.487804878</v>
      </c>
      <c r="P256" s="1">
        <f t="shared" si="0"/>
        <v>3</v>
      </c>
      <c r="V256" t="str">
        <f t="shared" si="11"/>
        <v>Low Performer</v>
      </c>
      <c r="W256" t="e" cm="1">
        <f t="array" aca="1" ref="W256" ca="1">_xlfn.IFS(N256&gt;=20, "High",N256&gt;=10, "Medium", N256&lt;10, "Low")</f>
        <v>#NAME?</v>
      </c>
      <c r="X256" t="str">
        <f t="shared" si="12"/>
        <v>High Budget</v>
      </c>
      <c r="Y256" s="7">
        <f>VLOOKUP(G256, Lookup_table!B:C,2,0)</f>
        <v>0.5</v>
      </c>
      <c r="Z256" t="str">
        <f t="shared" si="13"/>
        <v>Inefficient Spend</v>
      </c>
      <c r="AA256" t="str">
        <f>VLOOKUP(H256, Lookup_table!E:F,2,0)</f>
        <v>High</v>
      </c>
    </row>
    <row r="257" spans="1:27" ht="17.5" customHeight="1" x14ac:dyDescent="0.35">
      <c r="A257" s="1" t="s">
        <v>429</v>
      </c>
      <c r="B257" s="2">
        <v>45645</v>
      </c>
      <c r="C257" s="1" t="s">
        <v>113</v>
      </c>
      <c r="D257" s="1">
        <v>37</v>
      </c>
      <c r="E257" s="1" t="s">
        <v>35</v>
      </c>
      <c r="F257" s="1" t="s">
        <v>30</v>
      </c>
      <c r="G257" s="1" t="s">
        <v>46</v>
      </c>
      <c r="H257" s="1" t="s">
        <v>36</v>
      </c>
      <c r="I257" s="1">
        <v>1601.81</v>
      </c>
      <c r="J257" s="1">
        <v>26123</v>
      </c>
      <c r="K257" s="1">
        <v>4979</v>
      </c>
      <c r="L257" s="1">
        <v>229</v>
      </c>
      <c r="M257" s="1">
        <v>2</v>
      </c>
      <c r="N257" s="1">
        <v>19.059832329999999</v>
      </c>
      <c r="O257" s="1">
        <v>4.5993171320000004</v>
      </c>
      <c r="P257" s="1">
        <f t="shared" ref="P257:P501" si="14">IF(ISBLANK(M257), $S$2, M257)</f>
        <v>2</v>
      </c>
      <c r="V257" t="str">
        <f t="shared" si="11"/>
        <v>Top Performer</v>
      </c>
      <c r="W257" t="e" cm="1">
        <f t="array" aca="1" ref="W257" ca="1">_xlfn.IFS(N257&gt;=20, "High",N257&gt;=10, "Medium", N257&lt;10, "Low")</f>
        <v>#NAME?</v>
      </c>
      <c r="X257" t="str">
        <f t="shared" si="12"/>
        <v>High Budget</v>
      </c>
      <c r="Y257" s="7">
        <f>VLOOKUP(G257, Lookup_table!B:C,2,0)</f>
        <v>0.75</v>
      </c>
      <c r="Z257" t="str">
        <f t="shared" si="13"/>
        <v>Efficient Spend</v>
      </c>
      <c r="AA257" t="str">
        <f>VLOOKUP(H257, Lookup_table!E:F,2,0)</f>
        <v>High</v>
      </c>
    </row>
    <row r="258" spans="1:27" ht="17.5" customHeight="1" x14ac:dyDescent="0.35">
      <c r="A258" s="1" t="s">
        <v>430</v>
      </c>
      <c r="B258" s="2">
        <v>45499</v>
      </c>
      <c r="C258" s="1" t="s">
        <v>212</v>
      </c>
      <c r="D258" s="1">
        <v>36</v>
      </c>
      <c r="E258" s="1" t="s">
        <v>23</v>
      </c>
      <c r="F258" s="1" t="s">
        <v>24</v>
      </c>
      <c r="G258" s="1" t="s">
        <v>31</v>
      </c>
      <c r="H258" s="1" t="s">
        <v>62</v>
      </c>
      <c r="I258" s="1">
        <v>109.48</v>
      </c>
      <c r="J258" s="1">
        <v>27149</v>
      </c>
      <c r="K258" s="1">
        <v>2463</v>
      </c>
      <c r="L258" s="1">
        <v>229</v>
      </c>
      <c r="M258" s="1">
        <v>3</v>
      </c>
      <c r="N258" s="1">
        <v>9.0721573539999998</v>
      </c>
      <c r="O258" s="1">
        <v>9.2976045470000006</v>
      </c>
      <c r="P258" s="1">
        <f t="shared" si="14"/>
        <v>3</v>
      </c>
      <c r="V258" t="str">
        <f t="shared" ref="V258:V321" si="15">IF(AND(L258&gt;200,K258&gt;3000),"Top Performer", IF(AND(L258&gt;=100,K258&gt;=1000),"Average Performer","Low Performer"))</f>
        <v>Average Performer</v>
      </c>
      <c r="W258" t="e" cm="1">
        <f t="array" aca="1" ref="W258" ca="1">_xlfn.IFS(N258&gt;=20, "High",N258&gt;=10, "Medium", N258&lt;10, "Low")</f>
        <v>#NAME?</v>
      </c>
      <c r="X258" t="str">
        <f t="shared" ref="X258:X321" si="16">IF(I258&gt;1000, "High Budget",IF(I258&gt;=500, "Medium Budget", "Low Budget"))</f>
        <v>Low Budget</v>
      </c>
      <c r="Y258" s="7">
        <f>VLOOKUP(G258, Lookup_table!B:C,2,0)</f>
        <v>1.2</v>
      </c>
      <c r="Z258" t="str">
        <f t="shared" ref="Z258:Z321" si="17">IF(I258/K258&lt;Y258, "Efficient Spend", "Inefficient Spend")</f>
        <v>Efficient Spend</v>
      </c>
      <c r="AA258" t="str">
        <f>VLOOKUP(H258, Lookup_table!E:F,2,0)</f>
        <v>Medium</v>
      </c>
    </row>
    <row r="259" spans="1:27" ht="17.5" customHeight="1" x14ac:dyDescent="0.35">
      <c r="A259" s="1" t="s">
        <v>431</v>
      </c>
      <c r="B259" s="2">
        <v>45476</v>
      </c>
      <c r="C259" s="1" t="s">
        <v>155</v>
      </c>
      <c r="D259" s="1">
        <v>62</v>
      </c>
      <c r="E259" s="1" t="s">
        <v>35</v>
      </c>
      <c r="F259" s="1" t="s">
        <v>41</v>
      </c>
      <c r="G259" s="1" t="s">
        <v>31</v>
      </c>
      <c r="H259" s="1" t="s">
        <v>32</v>
      </c>
      <c r="I259" s="1">
        <v>776.48</v>
      </c>
      <c r="J259" s="1">
        <v>34102</v>
      </c>
      <c r="K259" s="1">
        <v>3834</v>
      </c>
      <c r="L259" s="1">
        <v>81</v>
      </c>
      <c r="M259" s="1">
        <v>2</v>
      </c>
      <c r="N259" s="1">
        <v>11.242742359999999</v>
      </c>
      <c r="O259" s="1">
        <v>2.1126760560000002</v>
      </c>
      <c r="P259" s="1">
        <f t="shared" si="14"/>
        <v>2</v>
      </c>
      <c r="V259" t="str">
        <f t="shared" si="15"/>
        <v>Low Performer</v>
      </c>
      <c r="W259" t="e" cm="1">
        <f t="array" aca="1" ref="W259" ca="1">_xlfn.IFS(N259&gt;=20, "High",N259&gt;=10, "Medium", N259&lt;10, "Low")</f>
        <v>#NAME?</v>
      </c>
      <c r="X259" t="str">
        <f t="shared" si="16"/>
        <v>Medium Budget</v>
      </c>
      <c r="Y259" s="7">
        <f>VLOOKUP(G259, Lookup_table!B:C,2,0)</f>
        <v>1.2</v>
      </c>
      <c r="Z259" t="str">
        <f t="shared" si="17"/>
        <v>Efficient Spend</v>
      </c>
      <c r="AA259" t="str">
        <f>VLOOKUP(H259, Lookup_table!E:F,2,0)</f>
        <v>Medium</v>
      </c>
    </row>
    <row r="260" spans="1:27" ht="17.5" customHeight="1" x14ac:dyDescent="0.35">
      <c r="A260" s="1" t="s">
        <v>432</v>
      </c>
      <c r="B260" s="2">
        <v>45473</v>
      </c>
      <c r="C260" s="1" t="s">
        <v>378</v>
      </c>
      <c r="D260" s="1">
        <v>36</v>
      </c>
      <c r="E260" s="1" t="s">
        <v>23</v>
      </c>
      <c r="F260" s="1" t="s">
        <v>57</v>
      </c>
      <c r="G260" s="1" t="s">
        <v>46</v>
      </c>
      <c r="H260" s="1" t="s">
        <v>36</v>
      </c>
      <c r="I260" s="1">
        <v>615.96</v>
      </c>
      <c r="J260" s="1">
        <v>28673</v>
      </c>
      <c r="K260" s="1">
        <v>2909</v>
      </c>
      <c r="L260" s="1">
        <v>5</v>
      </c>
      <c r="N260" s="1">
        <v>10.14543299</v>
      </c>
      <c r="O260" s="1">
        <v>0.171880371</v>
      </c>
      <c r="P260" s="1">
        <f t="shared" si="14"/>
        <v>3</v>
      </c>
      <c r="V260" t="str">
        <f t="shared" si="15"/>
        <v>Low Performer</v>
      </c>
      <c r="W260" t="e" cm="1">
        <f t="array" aca="1" ref="W260" ca="1">_xlfn.IFS(N260&gt;=20, "High",N260&gt;=10, "Medium", N260&lt;10, "Low")</f>
        <v>#NAME?</v>
      </c>
      <c r="X260" t="str">
        <f t="shared" si="16"/>
        <v>Medium Budget</v>
      </c>
      <c r="Y260" s="7">
        <f>VLOOKUP(G260, Lookup_table!B:C,2,0)</f>
        <v>0.75</v>
      </c>
      <c r="Z260" t="str">
        <f t="shared" si="17"/>
        <v>Efficient Spend</v>
      </c>
      <c r="AA260" t="str">
        <f>VLOOKUP(H260, Lookup_table!E:F,2,0)</f>
        <v>High</v>
      </c>
    </row>
    <row r="261" spans="1:27" ht="17.5" customHeight="1" x14ac:dyDescent="0.35">
      <c r="A261" s="1" t="s">
        <v>433</v>
      </c>
      <c r="B261" s="2">
        <v>45326</v>
      </c>
      <c r="C261" s="1" t="s">
        <v>22</v>
      </c>
      <c r="D261" s="1">
        <v>18</v>
      </c>
      <c r="E261" s="1" t="s">
        <v>35</v>
      </c>
      <c r="F261" s="1" t="s">
        <v>45</v>
      </c>
      <c r="G261" s="1" t="s">
        <v>42</v>
      </c>
      <c r="H261" s="1" t="s">
        <v>36</v>
      </c>
      <c r="I261" s="1">
        <v>1706.15</v>
      </c>
      <c r="J261" s="1">
        <v>24320</v>
      </c>
      <c r="K261" s="1">
        <v>19</v>
      </c>
      <c r="L261" s="1">
        <v>332</v>
      </c>
      <c r="N261" s="1">
        <v>7.8125E-2</v>
      </c>
      <c r="O261" s="1">
        <v>1747.3684209999999</v>
      </c>
      <c r="P261" s="1">
        <f t="shared" si="14"/>
        <v>3</v>
      </c>
      <c r="V261" t="str">
        <f t="shared" si="15"/>
        <v>Low Performer</v>
      </c>
      <c r="W261" t="e" cm="1">
        <f t="array" aca="1" ref="W261" ca="1">_xlfn.IFS(N261&gt;=20, "High",N261&gt;=10, "Medium", N261&lt;10, "Low")</f>
        <v>#NAME?</v>
      </c>
      <c r="X261" t="str">
        <f t="shared" si="16"/>
        <v>High Budget</v>
      </c>
      <c r="Y261" s="7">
        <f>VLOOKUP(G261, Lookup_table!B:C,2,0)</f>
        <v>0.3</v>
      </c>
      <c r="Z261" t="str">
        <f t="shared" si="17"/>
        <v>Inefficient Spend</v>
      </c>
      <c r="AA261" t="str">
        <f>VLOOKUP(H261, Lookup_table!E:F,2,0)</f>
        <v>High</v>
      </c>
    </row>
    <row r="262" spans="1:27" ht="17.5" customHeight="1" x14ac:dyDescent="0.35">
      <c r="A262" s="1" t="s">
        <v>434</v>
      </c>
      <c r="B262" s="2">
        <v>45560</v>
      </c>
      <c r="C262" s="1" t="s">
        <v>109</v>
      </c>
      <c r="D262" s="1">
        <v>30</v>
      </c>
      <c r="E262" s="1" t="s">
        <v>35</v>
      </c>
      <c r="F262" s="1" t="s">
        <v>57</v>
      </c>
      <c r="G262" s="1" t="s">
        <v>31</v>
      </c>
      <c r="H262" s="1" t="s">
        <v>26</v>
      </c>
      <c r="I262" s="1">
        <v>517.16</v>
      </c>
      <c r="J262" s="1">
        <v>47225</v>
      </c>
      <c r="K262" s="1">
        <v>983</v>
      </c>
      <c r="L262" s="1">
        <v>254</v>
      </c>
      <c r="M262" s="1">
        <v>2</v>
      </c>
      <c r="N262" s="1">
        <v>2.0815246159999998</v>
      </c>
      <c r="O262" s="1">
        <v>25.839267549999999</v>
      </c>
      <c r="P262" s="1">
        <f t="shared" si="14"/>
        <v>2</v>
      </c>
      <c r="V262" t="str">
        <f t="shared" si="15"/>
        <v>Low Performer</v>
      </c>
      <c r="W262" t="e" cm="1">
        <f t="array" aca="1" ref="W262" ca="1">_xlfn.IFS(N262&gt;=20, "High",N262&gt;=10, "Medium", N262&lt;10, "Low")</f>
        <v>#NAME?</v>
      </c>
      <c r="X262" t="str">
        <f t="shared" si="16"/>
        <v>Medium Budget</v>
      </c>
      <c r="Y262" s="7">
        <f>VLOOKUP(G262, Lookup_table!B:C,2,0)</f>
        <v>1.2</v>
      </c>
      <c r="Z262" t="str">
        <f t="shared" si="17"/>
        <v>Efficient Spend</v>
      </c>
      <c r="AA262" t="str">
        <f>VLOOKUP(H262, Lookup_table!E:F,2,0)</f>
        <v>High</v>
      </c>
    </row>
    <row r="263" spans="1:27" ht="17.5" customHeight="1" x14ac:dyDescent="0.35">
      <c r="A263" s="1" t="s">
        <v>435</v>
      </c>
      <c r="B263" s="2">
        <v>45552</v>
      </c>
      <c r="C263" s="1" t="s">
        <v>279</v>
      </c>
      <c r="D263" s="1">
        <v>63</v>
      </c>
      <c r="E263" s="1" t="s">
        <v>29</v>
      </c>
      <c r="F263" s="1" t="s">
        <v>30</v>
      </c>
      <c r="G263" s="1" t="s">
        <v>61</v>
      </c>
      <c r="H263" s="1" t="s">
        <v>36</v>
      </c>
      <c r="I263" s="1">
        <v>948.55</v>
      </c>
      <c r="J263" s="1">
        <v>41270</v>
      </c>
      <c r="K263" s="1">
        <v>3422</v>
      </c>
      <c r="L263" s="1">
        <v>106</v>
      </c>
      <c r="M263" s="1">
        <v>3</v>
      </c>
      <c r="N263" s="1">
        <v>8.2917373390000009</v>
      </c>
      <c r="O263" s="1">
        <v>3.0976037409999999</v>
      </c>
      <c r="P263" s="1">
        <f t="shared" si="14"/>
        <v>3</v>
      </c>
      <c r="V263" t="str">
        <f t="shared" si="15"/>
        <v>Average Performer</v>
      </c>
      <c r="W263" t="e" cm="1">
        <f t="array" aca="1" ref="W263" ca="1">_xlfn.IFS(N263&gt;=20, "High",N263&gt;=10, "Medium", N263&lt;10, "Low")</f>
        <v>#NAME?</v>
      </c>
      <c r="X263" t="str">
        <f t="shared" si="16"/>
        <v>Medium Budget</v>
      </c>
      <c r="Y263" s="7">
        <f>VLOOKUP(G263, Lookup_table!B:C,2,0)</f>
        <v>0.2</v>
      </c>
      <c r="Z263" t="str">
        <f t="shared" si="17"/>
        <v>Inefficient Spend</v>
      </c>
      <c r="AA263" t="str">
        <f>VLOOKUP(H263, Lookup_table!E:F,2,0)</f>
        <v>High</v>
      </c>
    </row>
    <row r="264" spans="1:27" ht="17.5" customHeight="1" x14ac:dyDescent="0.35">
      <c r="A264" s="1" t="s">
        <v>436</v>
      </c>
      <c r="B264" s="2">
        <v>45336</v>
      </c>
      <c r="C264" s="1" t="s">
        <v>181</v>
      </c>
      <c r="D264" s="1">
        <v>39</v>
      </c>
      <c r="E264" s="1" t="s">
        <v>29</v>
      </c>
      <c r="F264" s="1" t="s">
        <v>24</v>
      </c>
      <c r="G264" s="1" t="s">
        <v>31</v>
      </c>
      <c r="H264" s="1" t="s">
        <v>36</v>
      </c>
      <c r="I264" s="1">
        <v>1451.79</v>
      </c>
      <c r="J264" s="1">
        <v>5135</v>
      </c>
      <c r="K264" s="1">
        <v>275</v>
      </c>
      <c r="L264" s="1">
        <v>340</v>
      </c>
      <c r="M264" s="1">
        <v>2</v>
      </c>
      <c r="N264" s="1">
        <v>5.3554040900000004</v>
      </c>
      <c r="O264" s="1">
        <v>123.6363636</v>
      </c>
      <c r="P264" s="1">
        <f t="shared" si="14"/>
        <v>2</v>
      </c>
      <c r="V264" t="str">
        <f t="shared" si="15"/>
        <v>Low Performer</v>
      </c>
      <c r="W264" t="e" cm="1">
        <f t="array" aca="1" ref="W264" ca="1">_xlfn.IFS(N264&gt;=20, "High",N264&gt;=10, "Medium", N264&lt;10, "Low")</f>
        <v>#NAME?</v>
      </c>
      <c r="X264" t="str">
        <f t="shared" si="16"/>
        <v>High Budget</v>
      </c>
      <c r="Y264" s="7">
        <f>VLOOKUP(G264, Lookup_table!B:C,2,0)</f>
        <v>1.2</v>
      </c>
      <c r="Z264" t="str">
        <f t="shared" si="17"/>
        <v>Inefficient Spend</v>
      </c>
      <c r="AA264" t="str">
        <f>VLOOKUP(H264, Lookup_table!E:F,2,0)</f>
        <v>High</v>
      </c>
    </row>
    <row r="265" spans="1:27" ht="17.5" customHeight="1" x14ac:dyDescent="0.35">
      <c r="A265" s="1" t="s">
        <v>437</v>
      </c>
      <c r="B265" s="2">
        <v>45603</v>
      </c>
      <c r="C265" s="1" t="s">
        <v>238</v>
      </c>
      <c r="D265" s="1">
        <v>34</v>
      </c>
      <c r="E265" s="1" t="s">
        <v>29</v>
      </c>
      <c r="F265" s="1" t="s">
        <v>30</v>
      </c>
      <c r="G265" s="1" t="s">
        <v>25</v>
      </c>
      <c r="H265" s="1" t="s">
        <v>62</v>
      </c>
      <c r="I265" s="1">
        <v>1998.65</v>
      </c>
      <c r="J265" s="1">
        <v>40015</v>
      </c>
      <c r="K265" s="1">
        <v>2666</v>
      </c>
      <c r="L265" s="1">
        <v>160</v>
      </c>
      <c r="N265" s="1">
        <v>6.6625015620000001</v>
      </c>
      <c r="O265" s="1">
        <v>6.001500375</v>
      </c>
      <c r="P265" s="1">
        <f t="shared" si="14"/>
        <v>3</v>
      </c>
      <c r="V265" t="str">
        <f t="shared" si="15"/>
        <v>Average Performer</v>
      </c>
      <c r="W265" t="e" cm="1">
        <f t="array" aca="1" ref="W265" ca="1">_xlfn.IFS(N265&gt;=20, "High",N265&gt;=10, "Medium", N265&lt;10, "Low")</f>
        <v>#NAME?</v>
      </c>
      <c r="X265" t="str">
        <f t="shared" si="16"/>
        <v>High Budget</v>
      </c>
      <c r="Y265" s="7">
        <f>VLOOKUP(G265, Lookup_table!B:C,2,0)</f>
        <v>0.5</v>
      </c>
      <c r="Z265" t="str">
        <f t="shared" si="17"/>
        <v>Inefficient Spend</v>
      </c>
      <c r="AA265" t="str">
        <f>VLOOKUP(H265, Lookup_table!E:F,2,0)</f>
        <v>Medium</v>
      </c>
    </row>
    <row r="266" spans="1:27" ht="17.5" customHeight="1" x14ac:dyDescent="0.35">
      <c r="A266" s="1" t="s">
        <v>438</v>
      </c>
      <c r="B266" s="2">
        <v>45568</v>
      </c>
      <c r="C266" s="1" t="s">
        <v>105</v>
      </c>
      <c r="D266" s="1">
        <v>64</v>
      </c>
      <c r="E266" s="1" t="s">
        <v>29</v>
      </c>
      <c r="F266" s="1" t="s">
        <v>45</v>
      </c>
      <c r="G266" s="1" t="s">
        <v>25</v>
      </c>
      <c r="H266" s="1" t="s">
        <v>36</v>
      </c>
      <c r="I266" s="1">
        <v>758.2</v>
      </c>
      <c r="J266" s="1">
        <v>25415</v>
      </c>
      <c r="K266" s="1">
        <v>457</v>
      </c>
      <c r="L266" s="1">
        <v>357</v>
      </c>
      <c r="M266" s="1">
        <v>5</v>
      </c>
      <c r="N266" s="1">
        <v>1.7981506979999999</v>
      </c>
      <c r="O266" s="1">
        <v>78.118161929999999</v>
      </c>
      <c r="P266" s="1">
        <f t="shared" si="14"/>
        <v>5</v>
      </c>
      <c r="V266" t="str">
        <f t="shared" si="15"/>
        <v>Low Performer</v>
      </c>
      <c r="W266" t="e" cm="1">
        <f t="array" aca="1" ref="W266" ca="1">_xlfn.IFS(N266&gt;=20, "High",N266&gt;=10, "Medium", N266&lt;10, "Low")</f>
        <v>#NAME?</v>
      </c>
      <c r="X266" t="str">
        <f t="shared" si="16"/>
        <v>Medium Budget</v>
      </c>
      <c r="Y266" s="7">
        <f>VLOOKUP(G266, Lookup_table!B:C,2,0)</f>
        <v>0.5</v>
      </c>
      <c r="Z266" t="str">
        <f t="shared" si="17"/>
        <v>Inefficient Spend</v>
      </c>
      <c r="AA266" t="str">
        <f>VLOOKUP(H266, Lookup_table!E:F,2,0)</f>
        <v>High</v>
      </c>
    </row>
    <row r="267" spans="1:27" ht="17.5" customHeight="1" x14ac:dyDescent="0.35">
      <c r="A267" s="1" t="s">
        <v>439</v>
      </c>
      <c r="B267" s="2">
        <v>45591</v>
      </c>
      <c r="C267" s="1" t="s">
        <v>88</v>
      </c>
      <c r="D267" s="1">
        <v>45</v>
      </c>
      <c r="E267" s="1" t="s">
        <v>29</v>
      </c>
      <c r="F267" s="1" t="s">
        <v>30</v>
      </c>
      <c r="G267" s="1" t="s">
        <v>25</v>
      </c>
      <c r="H267" s="1" t="s">
        <v>26</v>
      </c>
      <c r="I267" s="1">
        <v>698.36</v>
      </c>
      <c r="J267" s="1">
        <v>4391</v>
      </c>
      <c r="K267" s="1">
        <v>2248</v>
      </c>
      <c r="L267" s="1">
        <v>40</v>
      </c>
      <c r="M267" s="1">
        <v>2</v>
      </c>
      <c r="N267" s="1">
        <v>51.195627420000001</v>
      </c>
      <c r="O267" s="1">
        <v>1.779359431</v>
      </c>
      <c r="P267" s="1">
        <f t="shared" si="14"/>
        <v>2</v>
      </c>
      <c r="V267" t="str">
        <f t="shared" si="15"/>
        <v>Low Performer</v>
      </c>
      <c r="W267" t="e" cm="1">
        <f t="array" aca="1" ref="W267" ca="1">_xlfn.IFS(N267&gt;=20, "High",N267&gt;=10, "Medium", N267&lt;10, "Low")</f>
        <v>#NAME?</v>
      </c>
      <c r="X267" t="str">
        <f t="shared" si="16"/>
        <v>Medium Budget</v>
      </c>
      <c r="Y267" s="7">
        <f>VLOOKUP(G267, Lookup_table!B:C,2,0)</f>
        <v>0.5</v>
      </c>
      <c r="Z267" t="str">
        <f t="shared" si="17"/>
        <v>Efficient Spend</v>
      </c>
      <c r="AA267" t="str">
        <f>VLOOKUP(H267, Lookup_table!E:F,2,0)</f>
        <v>High</v>
      </c>
    </row>
    <row r="268" spans="1:27" ht="17.5" customHeight="1" x14ac:dyDescent="0.35">
      <c r="A268" s="1" t="s">
        <v>440</v>
      </c>
      <c r="B268" s="2">
        <v>45566</v>
      </c>
      <c r="C268" s="1" t="s">
        <v>88</v>
      </c>
      <c r="D268" s="1">
        <v>36</v>
      </c>
      <c r="E268" s="1" t="s">
        <v>29</v>
      </c>
      <c r="F268" s="1" t="s">
        <v>50</v>
      </c>
      <c r="G268" s="1" t="s">
        <v>46</v>
      </c>
      <c r="H268" s="1" t="s">
        <v>62</v>
      </c>
      <c r="I268" s="1">
        <v>1089.8499999999999</v>
      </c>
      <c r="J268" s="1">
        <v>7470</v>
      </c>
      <c r="K268" s="1">
        <v>4068</v>
      </c>
      <c r="L268" s="1">
        <v>33</v>
      </c>
      <c r="M268" s="1">
        <v>4</v>
      </c>
      <c r="N268" s="1">
        <v>54.457831329999998</v>
      </c>
      <c r="O268" s="1">
        <v>0.81120943999999995</v>
      </c>
      <c r="P268" s="1">
        <f t="shared" si="14"/>
        <v>4</v>
      </c>
      <c r="V268" t="str">
        <f t="shared" si="15"/>
        <v>Low Performer</v>
      </c>
      <c r="W268" t="e" cm="1">
        <f t="array" aca="1" ref="W268" ca="1">_xlfn.IFS(N268&gt;=20, "High",N268&gt;=10, "Medium", N268&lt;10, "Low")</f>
        <v>#NAME?</v>
      </c>
      <c r="X268" t="str">
        <f t="shared" si="16"/>
        <v>High Budget</v>
      </c>
      <c r="Y268" s="7">
        <f>VLOOKUP(G268, Lookup_table!B:C,2,0)</f>
        <v>0.75</v>
      </c>
      <c r="Z268" t="str">
        <f t="shared" si="17"/>
        <v>Efficient Spend</v>
      </c>
      <c r="AA268" t="str">
        <f>VLOOKUP(H268, Lookup_table!E:F,2,0)</f>
        <v>Medium</v>
      </c>
    </row>
    <row r="269" spans="1:27" ht="17.5" customHeight="1" x14ac:dyDescent="0.35">
      <c r="A269" s="1" t="s">
        <v>441</v>
      </c>
      <c r="B269" s="2">
        <v>45476</v>
      </c>
      <c r="C269" s="1" t="s">
        <v>442</v>
      </c>
      <c r="D269" s="1">
        <v>33</v>
      </c>
      <c r="E269" s="1" t="s">
        <v>29</v>
      </c>
      <c r="F269" s="1" t="s">
        <v>24</v>
      </c>
      <c r="G269" s="1" t="s">
        <v>46</v>
      </c>
      <c r="H269" s="1" t="s">
        <v>32</v>
      </c>
      <c r="I269" s="1">
        <v>1846.83</v>
      </c>
      <c r="J269" s="1">
        <v>39373</v>
      </c>
      <c r="K269" s="1">
        <v>2905</v>
      </c>
      <c r="L269" s="1">
        <v>167</v>
      </c>
      <c r="M269" s="1">
        <v>2</v>
      </c>
      <c r="N269" s="1">
        <v>7.3781525410000004</v>
      </c>
      <c r="O269" s="1">
        <v>5.7487091220000002</v>
      </c>
      <c r="P269" s="1">
        <f t="shared" si="14"/>
        <v>2</v>
      </c>
      <c r="V269" t="str">
        <f t="shared" si="15"/>
        <v>Average Performer</v>
      </c>
      <c r="W269" t="e" cm="1">
        <f t="array" aca="1" ref="W269" ca="1">_xlfn.IFS(N269&gt;=20, "High",N269&gt;=10, "Medium", N269&lt;10, "Low")</f>
        <v>#NAME?</v>
      </c>
      <c r="X269" t="str">
        <f t="shared" si="16"/>
        <v>High Budget</v>
      </c>
      <c r="Y269" s="7">
        <f>VLOOKUP(G269, Lookup_table!B:C,2,0)</f>
        <v>0.75</v>
      </c>
      <c r="Z269" t="str">
        <f t="shared" si="17"/>
        <v>Efficient Spend</v>
      </c>
      <c r="AA269" t="str">
        <f>VLOOKUP(H269, Lookup_table!E:F,2,0)</f>
        <v>Medium</v>
      </c>
    </row>
    <row r="270" spans="1:27" ht="17.5" customHeight="1" x14ac:dyDescent="0.35">
      <c r="A270" s="1" t="s">
        <v>443</v>
      </c>
      <c r="B270" s="2">
        <v>45441</v>
      </c>
      <c r="C270" s="1" t="s">
        <v>170</v>
      </c>
      <c r="D270" s="1">
        <v>60</v>
      </c>
      <c r="E270" s="1" t="s">
        <v>35</v>
      </c>
      <c r="F270" s="1" t="s">
        <v>30</v>
      </c>
      <c r="G270" s="1" t="s">
        <v>25</v>
      </c>
      <c r="H270" s="1" t="s">
        <v>62</v>
      </c>
      <c r="I270" s="1">
        <v>1987.42</v>
      </c>
      <c r="J270" s="1">
        <v>41458</v>
      </c>
      <c r="K270" s="1">
        <v>3867</v>
      </c>
      <c r="L270" s="1">
        <v>202</v>
      </c>
      <c r="M270" s="1">
        <v>2</v>
      </c>
      <c r="N270" s="1">
        <v>9.3275121809999995</v>
      </c>
      <c r="O270" s="1">
        <v>5.2236876130000001</v>
      </c>
      <c r="P270" s="1">
        <f t="shared" si="14"/>
        <v>2</v>
      </c>
      <c r="V270" t="str">
        <f t="shared" si="15"/>
        <v>Top Performer</v>
      </c>
      <c r="W270" t="e" cm="1">
        <f t="array" aca="1" ref="W270" ca="1">_xlfn.IFS(N270&gt;=20, "High",N270&gt;=10, "Medium", N270&lt;10, "Low")</f>
        <v>#NAME?</v>
      </c>
      <c r="X270" t="str">
        <f t="shared" si="16"/>
        <v>High Budget</v>
      </c>
      <c r="Y270" s="7">
        <f>VLOOKUP(G270, Lookup_table!B:C,2,0)</f>
        <v>0.5</v>
      </c>
      <c r="Z270" t="str">
        <f t="shared" si="17"/>
        <v>Inefficient Spend</v>
      </c>
      <c r="AA270" t="str">
        <f>VLOOKUP(H270, Lookup_table!E:F,2,0)</f>
        <v>Medium</v>
      </c>
    </row>
    <row r="271" spans="1:27" ht="17.5" customHeight="1" x14ac:dyDescent="0.35">
      <c r="A271" s="1" t="s">
        <v>444</v>
      </c>
      <c r="B271" s="2">
        <v>45413</v>
      </c>
      <c r="C271" s="1" t="s">
        <v>445</v>
      </c>
      <c r="D271" s="1">
        <v>46</v>
      </c>
      <c r="E271" s="1" t="s">
        <v>35</v>
      </c>
      <c r="F271" s="1" t="s">
        <v>30</v>
      </c>
      <c r="G271" s="1" t="s">
        <v>31</v>
      </c>
      <c r="H271" s="1" t="s">
        <v>36</v>
      </c>
      <c r="I271" s="1">
        <v>607.95000000000005</v>
      </c>
      <c r="J271" s="1">
        <v>10972</v>
      </c>
      <c r="K271" s="1">
        <v>2613</v>
      </c>
      <c r="L271" s="1">
        <v>373</v>
      </c>
      <c r="M271" s="1">
        <v>4</v>
      </c>
      <c r="N271" s="1">
        <v>23.815165879999999</v>
      </c>
      <c r="O271" s="1">
        <v>14.274779949999999</v>
      </c>
      <c r="P271" s="1">
        <f t="shared" si="14"/>
        <v>4</v>
      </c>
      <c r="V271" t="str">
        <f t="shared" si="15"/>
        <v>Average Performer</v>
      </c>
      <c r="W271" t="e" cm="1">
        <f t="array" aca="1" ref="W271" ca="1">_xlfn.IFS(N271&gt;=20, "High",N271&gt;=10, "Medium", N271&lt;10, "Low")</f>
        <v>#NAME?</v>
      </c>
      <c r="X271" t="str">
        <f t="shared" si="16"/>
        <v>Medium Budget</v>
      </c>
      <c r="Y271" s="7">
        <f>VLOOKUP(G271, Lookup_table!B:C,2,0)</f>
        <v>1.2</v>
      </c>
      <c r="Z271" t="str">
        <f t="shared" si="17"/>
        <v>Efficient Spend</v>
      </c>
      <c r="AA271" t="str">
        <f>VLOOKUP(H271, Lookup_table!E:F,2,0)</f>
        <v>High</v>
      </c>
    </row>
    <row r="272" spans="1:27" ht="17.5" customHeight="1" x14ac:dyDescent="0.35">
      <c r="A272" s="1" t="s">
        <v>446</v>
      </c>
      <c r="B272" s="2">
        <v>45310</v>
      </c>
      <c r="C272" s="1" t="s">
        <v>378</v>
      </c>
      <c r="D272" s="1">
        <v>37</v>
      </c>
      <c r="E272" s="1" t="s">
        <v>23</v>
      </c>
      <c r="F272" s="1" t="s">
        <v>57</v>
      </c>
      <c r="G272" s="1" t="s">
        <v>61</v>
      </c>
      <c r="H272" s="1" t="s">
        <v>26</v>
      </c>
      <c r="I272" s="1">
        <v>966.22</v>
      </c>
      <c r="J272" s="1">
        <v>3400</v>
      </c>
      <c r="K272" s="1">
        <v>3943</v>
      </c>
      <c r="L272" s="1">
        <v>142</v>
      </c>
      <c r="M272" s="1">
        <v>2</v>
      </c>
      <c r="N272" s="1">
        <v>115.97058819999999</v>
      </c>
      <c r="O272" s="1">
        <v>3.6013187929999999</v>
      </c>
      <c r="P272" s="1">
        <f t="shared" si="14"/>
        <v>2</v>
      </c>
      <c r="U272" s="1">
        <f>COUNTIF(N268:N1000, N272&gt;100)</f>
        <v>0</v>
      </c>
      <c r="V272" t="str">
        <f t="shared" si="15"/>
        <v>Average Performer</v>
      </c>
      <c r="W272" t="e" cm="1">
        <f t="array" aca="1" ref="W272" ca="1">_xlfn.IFS(N272&gt;=20, "High",N272&gt;=10, "Medium", N272&lt;10, "Low")</f>
        <v>#NAME?</v>
      </c>
      <c r="X272" t="str">
        <f t="shared" si="16"/>
        <v>Medium Budget</v>
      </c>
      <c r="Y272" s="7">
        <f>VLOOKUP(G272, Lookup_table!B:C,2,0)</f>
        <v>0.2</v>
      </c>
      <c r="Z272" t="str">
        <f t="shared" si="17"/>
        <v>Inefficient Spend</v>
      </c>
      <c r="AA272" t="str">
        <f>VLOOKUP(H272, Lookup_table!E:F,2,0)</f>
        <v>High</v>
      </c>
    </row>
    <row r="273" spans="1:27" ht="17.5" customHeight="1" x14ac:dyDescent="0.35">
      <c r="A273" s="1" t="s">
        <v>447</v>
      </c>
      <c r="B273" s="2">
        <v>45651</v>
      </c>
      <c r="C273" s="1" t="s">
        <v>256</v>
      </c>
      <c r="D273" s="1">
        <v>28</v>
      </c>
      <c r="E273" s="1" t="s">
        <v>35</v>
      </c>
      <c r="F273" s="1" t="s">
        <v>24</v>
      </c>
      <c r="G273" s="1" t="s">
        <v>31</v>
      </c>
      <c r="H273" s="1" t="s">
        <v>36</v>
      </c>
      <c r="I273" s="1">
        <v>1344.32</v>
      </c>
      <c r="J273" s="1">
        <v>39311</v>
      </c>
      <c r="K273" s="1">
        <v>86</v>
      </c>
      <c r="L273" s="1">
        <v>320</v>
      </c>
      <c r="M273" s="1">
        <v>5</v>
      </c>
      <c r="N273" s="1">
        <v>0.21876828400000001</v>
      </c>
      <c r="O273" s="1">
        <v>372.09302330000003</v>
      </c>
      <c r="P273" s="1">
        <f t="shared" si="14"/>
        <v>5</v>
      </c>
      <c r="V273" t="str">
        <f t="shared" si="15"/>
        <v>Low Performer</v>
      </c>
      <c r="W273" t="e" cm="1">
        <f t="array" aca="1" ref="W273" ca="1">_xlfn.IFS(N273&gt;=20, "High",N273&gt;=10, "Medium", N273&lt;10, "Low")</f>
        <v>#NAME?</v>
      </c>
      <c r="X273" t="str">
        <f t="shared" si="16"/>
        <v>High Budget</v>
      </c>
      <c r="Y273" s="7">
        <f>VLOOKUP(G273, Lookup_table!B:C,2,0)</f>
        <v>1.2</v>
      </c>
      <c r="Z273" t="str">
        <f t="shared" si="17"/>
        <v>Inefficient Spend</v>
      </c>
      <c r="AA273" t="str">
        <f>VLOOKUP(H273, Lookup_table!E:F,2,0)</f>
        <v>High</v>
      </c>
    </row>
    <row r="274" spans="1:27" ht="17.5" customHeight="1" x14ac:dyDescent="0.35">
      <c r="A274" s="1" t="s">
        <v>448</v>
      </c>
      <c r="B274" s="2">
        <v>45539</v>
      </c>
      <c r="C274" s="1" t="s">
        <v>234</v>
      </c>
      <c r="D274" s="1">
        <v>62</v>
      </c>
      <c r="E274" s="1" t="s">
        <v>23</v>
      </c>
      <c r="F274" s="1" t="s">
        <v>30</v>
      </c>
      <c r="G274" s="1" t="s">
        <v>46</v>
      </c>
      <c r="H274" s="1" t="s">
        <v>32</v>
      </c>
      <c r="I274" s="1">
        <v>417.52</v>
      </c>
      <c r="J274" s="1">
        <v>5397</v>
      </c>
      <c r="K274" s="1">
        <v>2231</v>
      </c>
      <c r="L274" s="1">
        <v>380</v>
      </c>
      <c r="M274" s="1">
        <v>4</v>
      </c>
      <c r="N274" s="1">
        <v>41.337780250000002</v>
      </c>
      <c r="O274" s="1">
        <v>17.032720749999999</v>
      </c>
      <c r="P274" s="1">
        <f t="shared" si="14"/>
        <v>4</v>
      </c>
      <c r="V274" t="str">
        <f t="shared" si="15"/>
        <v>Average Performer</v>
      </c>
      <c r="W274" t="e" cm="1">
        <f t="array" aca="1" ref="W274" ca="1">_xlfn.IFS(N274&gt;=20, "High",N274&gt;=10, "Medium", N274&lt;10, "Low")</f>
        <v>#NAME?</v>
      </c>
      <c r="X274" t="str">
        <f t="shared" si="16"/>
        <v>Low Budget</v>
      </c>
      <c r="Y274" s="7">
        <f>VLOOKUP(G274, Lookup_table!B:C,2,0)</f>
        <v>0.75</v>
      </c>
      <c r="Z274" t="str">
        <f t="shared" si="17"/>
        <v>Efficient Spend</v>
      </c>
      <c r="AA274" t="str">
        <f>VLOOKUP(H274, Lookup_table!E:F,2,0)</f>
        <v>Medium</v>
      </c>
    </row>
    <row r="275" spans="1:27" ht="17.5" customHeight="1" x14ac:dyDescent="0.35">
      <c r="A275" s="1" t="s">
        <v>449</v>
      </c>
      <c r="B275" s="2">
        <v>45297</v>
      </c>
      <c r="C275" s="1" t="s">
        <v>79</v>
      </c>
      <c r="D275" s="1">
        <v>61</v>
      </c>
      <c r="E275" s="1" t="s">
        <v>35</v>
      </c>
      <c r="F275" s="1" t="s">
        <v>45</v>
      </c>
      <c r="G275" s="1" t="s">
        <v>61</v>
      </c>
      <c r="H275" s="1" t="s">
        <v>32</v>
      </c>
      <c r="I275" s="1">
        <v>379.51</v>
      </c>
      <c r="J275" s="1">
        <v>47022</v>
      </c>
      <c r="K275" s="1">
        <v>2647</v>
      </c>
      <c r="L275" s="1">
        <v>175</v>
      </c>
      <c r="M275" s="1">
        <v>1</v>
      </c>
      <c r="N275" s="1">
        <v>5.6292799120000003</v>
      </c>
      <c r="O275" s="1">
        <v>6.611258028</v>
      </c>
      <c r="P275" s="1">
        <f t="shared" si="14"/>
        <v>1</v>
      </c>
      <c r="V275" t="str">
        <f t="shared" si="15"/>
        <v>Average Performer</v>
      </c>
      <c r="W275" t="e" cm="1">
        <f t="array" aca="1" ref="W275" ca="1">_xlfn.IFS(N275&gt;=20, "High",N275&gt;=10, "Medium", N275&lt;10, "Low")</f>
        <v>#NAME?</v>
      </c>
      <c r="X275" t="str">
        <f t="shared" si="16"/>
        <v>Low Budget</v>
      </c>
      <c r="Y275" s="7">
        <f>VLOOKUP(G275, Lookup_table!B:C,2,0)</f>
        <v>0.2</v>
      </c>
      <c r="Z275" t="str">
        <f t="shared" si="17"/>
        <v>Efficient Spend</v>
      </c>
      <c r="AA275" t="str">
        <f>VLOOKUP(H275, Lookup_table!E:F,2,0)</f>
        <v>Medium</v>
      </c>
    </row>
    <row r="276" spans="1:27" ht="17.5" customHeight="1" x14ac:dyDescent="0.35">
      <c r="A276" s="1" t="s">
        <v>450</v>
      </c>
      <c r="B276" s="2">
        <v>45425</v>
      </c>
      <c r="C276" s="1" t="s">
        <v>451</v>
      </c>
      <c r="D276" s="1">
        <v>43</v>
      </c>
      <c r="E276" s="1" t="s">
        <v>23</v>
      </c>
      <c r="F276" s="1" t="s">
        <v>45</v>
      </c>
      <c r="G276" s="1" t="s">
        <v>46</v>
      </c>
      <c r="H276" s="1" t="s">
        <v>26</v>
      </c>
      <c r="I276" s="1">
        <v>698.4</v>
      </c>
      <c r="J276" s="1">
        <v>6481</v>
      </c>
      <c r="K276" s="1">
        <v>2419</v>
      </c>
      <c r="L276" s="1">
        <v>111</v>
      </c>
      <c r="M276" s="1">
        <v>2</v>
      </c>
      <c r="N276" s="1">
        <v>37.324486960000002</v>
      </c>
      <c r="O276" s="1">
        <v>4.5886730050000004</v>
      </c>
      <c r="P276" s="1">
        <f t="shared" si="14"/>
        <v>2</v>
      </c>
      <c r="V276" t="str">
        <f t="shared" si="15"/>
        <v>Average Performer</v>
      </c>
      <c r="W276" t="e" cm="1">
        <f t="array" aca="1" ref="W276" ca="1">_xlfn.IFS(N276&gt;=20, "High",N276&gt;=10, "Medium", N276&lt;10, "Low")</f>
        <v>#NAME?</v>
      </c>
      <c r="X276" t="str">
        <f t="shared" si="16"/>
        <v>Medium Budget</v>
      </c>
      <c r="Y276" s="7">
        <f>VLOOKUP(G276, Lookup_table!B:C,2,0)</f>
        <v>0.75</v>
      </c>
      <c r="Z276" t="str">
        <f t="shared" si="17"/>
        <v>Efficient Spend</v>
      </c>
      <c r="AA276" t="str">
        <f>VLOOKUP(H276, Lookup_table!E:F,2,0)</f>
        <v>High</v>
      </c>
    </row>
    <row r="277" spans="1:27" ht="17.5" customHeight="1" x14ac:dyDescent="0.35">
      <c r="A277" s="1" t="s">
        <v>452</v>
      </c>
      <c r="B277" s="2">
        <v>45618</v>
      </c>
      <c r="C277" s="1" t="s">
        <v>366</v>
      </c>
      <c r="D277" s="1">
        <v>18</v>
      </c>
      <c r="E277" s="1" t="s">
        <v>23</v>
      </c>
      <c r="F277" s="1" t="s">
        <v>50</v>
      </c>
      <c r="G277" s="1" t="s">
        <v>61</v>
      </c>
      <c r="H277" s="1" t="s">
        <v>62</v>
      </c>
      <c r="I277" s="1">
        <v>1570.77</v>
      </c>
      <c r="J277" s="1">
        <v>32930</v>
      </c>
      <c r="K277" s="1">
        <v>3206</v>
      </c>
      <c r="L277" s="1">
        <v>252</v>
      </c>
      <c r="N277" s="1">
        <v>9.7358032189999992</v>
      </c>
      <c r="O277" s="1">
        <v>7.8602620090000004</v>
      </c>
      <c r="P277" s="1">
        <f t="shared" si="14"/>
        <v>3</v>
      </c>
      <c r="V277" t="str">
        <f t="shared" si="15"/>
        <v>Top Performer</v>
      </c>
      <c r="W277" t="e" cm="1">
        <f t="array" aca="1" ref="W277" ca="1">_xlfn.IFS(N277&gt;=20, "High",N277&gt;=10, "Medium", N277&lt;10, "Low")</f>
        <v>#NAME?</v>
      </c>
      <c r="X277" t="str">
        <f t="shared" si="16"/>
        <v>High Budget</v>
      </c>
      <c r="Y277" s="7">
        <f>VLOOKUP(G277, Lookup_table!B:C,2,0)</f>
        <v>0.2</v>
      </c>
      <c r="Z277" t="str">
        <f t="shared" si="17"/>
        <v>Inefficient Spend</v>
      </c>
      <c r="AA277" t="str">
        <f>VLOOKUP(H277, Lookup_table!E:F,2,0)</f>
        <v>Medium</v>
      </c>
    </row>
    <row r="278" spans="1:27" ht="17.5" customHeight="1" x14ac:dyDescent="0.35">
      <c r="A278" s="1" t="s">
        <v>453</v>
      </c>
      <c r="B278" s="2">
        <v>45449</v>
      </c>
      <c r="C278" s="1" t="s">
        <v>210</v>
      </c>
      <c r="D278" s="1">
        <v>42</v>
      </c>
      <c r="E278" s="1" t="s">
        <v>23</v>
      </c>
      <c r="F278" s="1" t="s">
        <v>30</v>
      </c>
      <c r="G278" s="1" t="s">
        <v>61</v>
      </c>
      <c r="H278" s="1" t="s">
        <v>36</v>
      </c>
      <c r="I278" s="1">
        <v>101.55</v>
      </c>
      <c r="J278" s="1">
        <v>24515</v>
      </c>
      <c r="K278" s="1">
        <v>3342</v>
      </c>
      <c r="L278" s="1">
        <v>165</v>
      </c>
      <c r="M278" s="1">
        <v>4</v>
      </c>
      <c r="N278" s="1">
        <v>13.63246992</v>
      </c>
      <c r="O278" s="1">
        <v>4.9371633749999999</v>
      </c>
      <c r="P278" s="1">
        <f t="shared" si="14"/>
        <v>4</v>
      </c>
      <c r="V278" t="str">
        <f t="shared" si="15"/>
        <v>Average Performer</v>
      </c>
      <c r="W278" t="e" cm="1">
        <f t="array" aca="1" ref="W278" ca="1">_xlfn.IFS(N278&gt;=20, "High",N278&gt;=10, "Medium", N278&lt;10, "Low")</f>
        <v>#NAME?</v>
      </c>
      <c r="X278" t="str">
        <f t="shared" si="16"/>
        <v>Low Budget</v>
      </c>
      <c r="Y278" s="7">
        <f>VLOOKUP(G278, Lookup_table!B:C,2,0)</f>
        <v>0.2</v>
      </c>
      <c r="Z278" t="str">
        <f t="shared" si="17"/>
        <v>Efficient Spend</v>
      </c>
      <c r="AA278" t="str">
        <f>VLOOKUP(H278, Lookup_table!E:F,2,0)</f>
        <v>High</v>
      </c>
    </row>
    <row r="279" spans="1:27" ht="17.5" customHeight="1" x14ac:dyDescent="0.35">
      <c r="A279" s="1" t="s">
        <v>454</v>
      </c>
      <c r="B279" s="2">
        <v>45538</v>
      </c>
      <c r="C279" s="1" t="s">
        <v>64</v>
      </c>
      <c r="D279" s="1">
        <v>50</v>
      </c>
      <c r="E279" s="1" t="s">
        <v>29</v>
      </c>
      <c r="F279" s="1" t="s">
        <v>57</v>
      </c>
      <c r="G279" s="1" t="s">
        <v>42</v>
      </c>
      <c r="H279" s="1" t="s">
        <v>62</v>
      </c>
      <c r="I279" s="1">
        <v>1911.15</v>
      </c>
      <c r="J279" s="1">
        <v>36008</v>
      </c>
      <c r="K279" s="1">
        <v>2636</v>
      </c>
      <c r="L279" s="1">
        <v>236</v>
      </c>
      <c r="M279" s="1">
        <v>1</v>
      </c>
      <c r="N279" s="1">
        <v>7.3205954230000003</v>
      </c>
      <c r="O279" s="1">
        <v>8.9529590290000005</v>
      </c>
      <c r="P279" s="1">
        <f t="shared" si="14"/>
        <v>1</v>
      </c>
      <c r="V279" t="str">
        <f t="shared" si="15"/>
        <v>Average Performer</v>
      </c>
      <c r="W279" t="e" cm="1">
        <f t="array" aca="1" ref="W279" ca="1">_xlfn.IFS(N279&gt;=20, "High",N279&gt;=10, "Medium", N279&lt;10, "Low")</f>
        <v>#NAME?</v>
      </c>
      <c r="X279" t="str">
        <f t="shared" si="16"/>
        <v>High Budget</v>
      </c>
      <c r="Y279" s="7">
        <f>VLOOKUP(G279, Lookup_table!B:C,2,0)</f>
        <v>0.3</v>
      </c>
      <c r="Z279" t="str">
        <f t="shared" si="17"/>
        <v>Inefficient Spend</v>
      </c>
      <c r="AA279" t="str">
        <f>VLOOKUP(H279, Lookup_table!E:F,2,0)</f>
        <v>Medium</v>
      </c>
    </row>
    <row r="280" spans="1:27" ht="17.5" customHeight="1" x14ac:dyDescent="0.35">
      <c r="A280" s="1" t="s">
        <v>455</v>
      </c>
      <c r="B280" s="2">
        <v>45360</v>
      </c>
      <c r="C280" s="1" t="s">
        <v>456</v>
      </c>
      <c r="D280" s="1">
        <v>57</v>
      </c>
      <c r="E280" s="1" t="s">
        <v>23</v>
      </c>
      <c r="F280" s="1" t="s">
        <v>57</v>
      </c>
      <c r="G280" s="1" t="s">
        <v>42</v>
      </c>
      <c r="H280" s="1" t="s">
        <v>32</v>
      </c>
      <c r="I280" s="1">
        <v>906.53</v>
      </c>
      <c r="J280" s="1">
        <v>11617</v>
      </c>
      <c r="K280" s="1">
        <v>4182</v>
      </c>
      <c r="L280" s="1">
        <v>58</v>
      </c>
      <c r="M280" s="1">
        <v>5</v>
      </c>
      <c r="N280" s="1">
        <v>35.998967030000003</v>
      </c>
      <c r="O280" s="1">
        <v>1.3868962220000001</v>
      </c>
      <c r="P280" s="1">
        <f t="shared" si="14"/>
        <v>5</v>
      </c>
      <c r="V280" t="str">
        <f t="shared" si="15"/>
        <v>Low Performer</v>
      </c>
      <c r="W280" t="e" cm="1">
        <f t="array" aca="1" ref="W280" ca="1">_xlfn.IFS(N280&gt;=20, "High",N280&gt;=10, "Medium", N280&lt;10, "Low")</f>
        <v>#NAME?</v>
      </c>
      <c r="X280" t="str">
        <f t="shared" si="16"/>
        <v>Medium Budget</v>
      </c>
      <c r="Y280" s="7">
        <f>VLOOKUP(G280, Lookup_table!B:C,2,0)</f>
        <v>0.3</v>
      </c>
      <c r="Z280" t="str">
        <f t="shared" si="17"/>
        <v>Efficient Spend</v>
      </c>
      <c r="AA280" t="str">
        <f>VLOOKUP(H280, Lookup_table!E:F,2,0)</f>
        <v>Medium</v>
      </c>
    </row>
    <row r="281" spans="1:27" ht="17.5" customHeight="1" x14ac:dyDescent="0.35">
      <c r="A281" s="1" t="s">
        <v>457</v>
      </c>
      <c r="B281" s="2">
        <v>45530</v>
      </c>
      <c r="C281" s="1" t="s">
        <v>391</v>
      </c>
      <c r="D281" s="1">
        <v>32</v>
      </c>
      <c r="E281" s="1" t="s">
        <v>29</v>
      </c>
      <c r="F281" s="1" t="s">
        <v>30</v>
      </c>
      <c r="G281" s="1" t="s">
        <v>25</v>
      </c>
      <c r="H281" s="1" t="s">
        <v>62</v>
      </c>
      <c r="I281" s="1">
        <v>1288.8900000000001</v>
      </c>
      <c r="J281" s="1">
        <v>20561</v>
      </c>
      <c r="K281" s="1">
        <v>132</v>
      </c>
      <c r="L281" s="1">
        <v>70</v>
      </c>
      <c r="M281" s="1">
        <v>4</v>
      </c>
      <c r="N281" s="1">
        <v>0.64199212100000003</v>
      </c>
      <c r="O281" s="1">
        <v>53.030303029999999</v>
      </c>
      <c r="P281" s="1">
        <f t="shared" si="14"/>
        <v>4</v>
      </c>
      <c r="V281" t="str">
        <f t="shared" si="15"/>
        <v>Low Performer</v>
      </c>
      <c r="W281" t="e" cm="1">
        <f t="array" aca="1" ref="W281" ca="1">_xlfn.IFS(N281&gt;=20, "High",N281&gt;=10, "Medium", N281&lt;10, "Low")</f>
        <v>#NAME?</v>
      </c>
      <c r="X281" t="str">
        <f t="shared" si="16"/>
        <v>High Budget</v>
      </c>
      <c r="Y281" s="7">
        <f>VLOOKUP(G281, Lookup_table!B:C,2,0)</f>
        <v>0.5</v>
      </c>
      <c r="Z281" t="str">
        <f t="shared" si="17"/>
        <v>Inefficient Spend</v>
      </c>
      <c r="AA281" t="str">
        <f>VLOOKUP(H281, Lookup_table!E:F,2,0)</f>
        <v>Medium</v>
      </c>
    </row>
    <row r="282" spans="1:27" ht="17.5" customHeight="1" x14ac:dyDescent="0.35">
      <c r="A282" s="1" t="s">
        <v>458</v>
      </c>
      <c r="B282" s="2">
        <v>45394</v>
      </c>
      <c r="C282" s="1" t="s">
        <v>186</v>
      </c>
      <c r="D282" s="1">
        <v>55</v>
      </c>
      <c r="E282" s="1" t="s">
        <v>23</v>
      </c>
      <c r="F282" s="1" t="s">
        <v>57</v>
      </c>
      <c r="G282" s="1" t="s">
        <v>46</v>
      </c>
      <c r="H282" s="1" t="s">
        <v>36</v>
      </c>
      <c r="I282" s="1">
        <v>893.86</v>
      </c>
      <c r="J282" s="1">
        <v>41057</v>
      </c>
      <c r="K282" s="1">
        <v>80</v>
      </c>
      <c r="L282" s="1">
        <v>303</v>
      </c>
      <c r="M282" s="1">
        <v>4</v>
      </c>
      <c r="N282" s="1">
        <v>0.19485106099999999</v>
      </c>
      <c r="O282" s="1">
        <v>378.75</v>
      </c>
      <c r="P282" s="1">
        <f t="shared" si="14"/>
        <v>4</v>
      </c>
      <c r="V282" t="str">
        <f t="shared" si="15"/>
        <v>Low Performer</v>
      </c>
      <c r="W282" t="e" cm="1">
        <f t="array" aca="1" ref="W282" ca="1">_xlfn.IFS(N282&gt;=20, "High",N282&gt;=10, "Medium", N282&lt;10, "Low")</f>
        <v>#NAME?</v>
      </c>
      <c r="X282" t="str">
        <f t="shared" si="16"/>
        <v>Medium Budget</v>
      </c>
      <c r="Y282" s="7">
        <f>VLOOKUP(G282, Lookup_table!B:C,2,0)</f>
        <v>0.75</v>
      </c>
      <c r="Z282" t="str">
        <f t="shared" si="17"/>
        <v>Inefficient Spend</v>
      </c>
      <c r="AA282" t="str">
        <f>VLOOKUP(H282, Lookup_table!E:F,2,0)</f>
        <v>High</v>
      </c>
    </row>
    <row r="283" spans="1:27" ht="17.5" customHeight="1" x14ac:dyDescent="0.35">
      <c r="A283" s="1" t="s">
        <v>459</v>
      </c>
      <c r="B283" s="2">
        <v>45497</v>
      </c>
      <c r="C283" s="1" t="s">
        <v>111</v>
      </c>
      <c r="D283" s="1">
        <v>57</v>
      </c>
      <c r="E283" s="1" t="s">
        <v>23</v>
      </c>
      <c r="F283" s="1" t="s">
        <v>45</v>
      </c>
      <c r="G283" s="1" t="s">
        <v>31</v>
      </c>
      <c r="H283" s="1" t="s">
        <v>26</v>
      </c>
      <c r="I283" s="1">
        <v>793.31</v>
      </c>
      <c r="J283" s="1">
        <v>49542</v>
      </c>
      <c r="K283" s="1">
        <v>2177</v>
      </c>
      <c r="L283" s="1">
        <v>60</v>
      </c>
      <c r="M283" s="1">
        <v>3</v>
      </c>
      <c r="N283" s="1">
        <v>4.3942513419999996</v>
      </c>
      <c r="O283" s="1">
        <v>2.756086357</v>
      </c>
      <c r="P283" s="1">
        <f t="shared" si="14"/>
        <v>3</v>
      </c>
      <c r="V283" t="str">
        <f t="shared" si="15"/>
        <v>Low Performer</v>
      </c>
      <c r="W283" t="e" cm="1">
        <f t="array" aca="1" ref="W283" ca="1">_xlfn.IFS(N283&gt;=20, "High",N283&gt;=10, "Medium", N283&lt;10, "Low")</f>
        <v>#NAME?</v>
      </c>
      <c r="X283" t="str">
        <f t="shared" si="16"/>
        <v>Medium Budget</v>
      </c>
      <c r="Y283" s="7">
        <f>VLOOKUP(G283, Lookup_table!B:C,2,0)</f>
        <v>1.2</v>
      </c>
      <c r="Z283" t="str">
        <f t="shared" si="17"/>
        <v>Efficient Spend</v>
      </c>
      <c r="AA283" t="str">
        <f>VLOOKUP(H283, Lookup_table!E:F,2,0)</f>
        <v>High</v>
      </c>
    </row>
    <row r="284" spans="1:27" ht="17.5" customHeight="1" x14ac:dyDescent="0.35">
      <c r="A284" s="1" t="s">
        <v>460</v>
      </c>
      <c r="B284" s="2">
        <v>45602</v>
      </c>
      <c r="C284" s="1" t="s">
        <v>461</v>
      </c>
      <c r="D284" s="1">
        <v>32</v>
      </c>
      <c r="E284" s="1" t="s">
        <v>29</v>
      </c>
      <c r="F284" s="1" t="s">
        <v>24</v>
      </c>
      <c r="G284" s="1" t="s">
        <v>31</v>
      </c>
      <c r="H284" s="1" t="s">
        <v>26</v>
      </c>
      <c r="I284" s="1">
        <v>353.31</v>
      </c>
      <c r="J284" s="1">
        <v>25212</v>
      </c>
      <c r="K284" s="1">
        <v>2092</v>
      </c>
      <c r="L284" s="1">
        <v>185</v>
      </c>
      <c r="M284" s="1">
        <v>3</v>
      </c>
      <c r="N284" s="1">
        <v>8.2976360459999992</v>
      </c>
      <c r="O284" s="1">
        <v>8.8432122369999995</v>
      </c>
      <c r="P284" s="1">
        <f t="shared" si="14"/>
        <v>3</v>
      </c>
      <c r="V284" t="str">
        <f t="shared" si="15"/>
        <v>Average Performer</v>
      </c>
      <c r="W284" t="e" cm="1">
        <f t="array" aca="1" ref="W284" ca="1">_xlfn.IFS(N284&gt;=20, "High",N284&gt;=10, "Medium", N284&lt;10, "Low")</f>
        <v>#NAME?</v>
      </c>
      <c r="X284" t="str">
        <f t="shared" si="16"/>
        <v>Low Budget</v>
      </c>
      <c r="Y284" s="7">
        <f>VLOOKUP(G284, Lookup_table!B:C,2,0)</f>
        <v>1.2</v>
      </c>
      <c r="Z284" t="str">
        <f t="shared" si="17"/>
        <v>Efficient Spend</v>
      </c>
      <c r="AA284" t="str">
        <f>VLOOKUP(H284, Lookup_table!E:F,2,0)</f>
        <v>High</v>
      </c>
    </row>
    <row r="285" spans="1:27" ht="17.5" customHeight="1" x14ac:dyDescent="0.35">
      <c r="A285" s="1" t="s">
        <v>462</v>
      </c>
      <c r="B285" s="2">
        <v>45380</v>
      </c>
      <c r="C285" s="1" t="s">
        <v>97</v>
      </c>
      <c r="D285" s="1">
        <v>45</v>
      </c>
      <c r="E285" s="1" t="s">
        <v>35</v>
      </c>
      <c r="F285" s="1" t="s">
        <v>57</v>
      </c>
      <c r="G285" s="1" t="s">
        <v>46</v>
      </c>
      <c r="H285" s="1" t="s">
        <v>36</v>
      </c>
      <c r="I285" s="1">
        <v>1594</v>
      </c>
      <c r="J285" s="1">
        <v>39454</v>
      </c>
      <c r="K285" s="1">
        <v>4754</v>
      </c>
      <c r="L285" s="1">
        <v>29</v>
      </c>
      <c r="M285" s="1">
        <v>2</v>
      </c>
      <c r="N285" s="1">
        <v>12.049475340000001</v>
      </c>
      <c r="O285" s="1">
        <v>0.61001262099999998</v>
      </c>
      <c r="P285" s="1">
        <f t="shared" si="14"/>
        <v>2</v>
      </c>
      <c r="V285" t="str">
        <f t="shared" si="15"/>
        <v>Low Performer</v>
      </c>
      <c r="W285" t="e" cm="1">
        <f t="array" aca="1" ref="W285" ca="1">_xlfn.IFS(N285&gt;=20, "High",N285&gt;=10, "Medium", N285&lt;10, "Low")</f>
        <v>#NAME?</v>
      </c>
      <c r="X285" t="str">
        <f t="shared" si="16"/>
        <v>High Budget</v>
      </c>
      <c r="Y285" s="7">
        <f>VLOOKUP(G285, Lookup_table!B:C,2,0)</f>
        <v>0.75</v>
      </c>
      <c r="Z285" t="str">
        <f t="shared" si="17"/>
        <v>Efficient Spend</v>
      </c>
      <c r="AA285" t="str">
        <f>VLOOKUP(H285, Lookup_table!E:F,2,0)</f>
        <v>High</v>
      </c>
    </row>
    <row r="286" spans="1:27" ht="17.5" customHeight="1" x14ac:dyDescent="0.35">
      <c r="A286" s="1" t="s">
        <v>463</v>
      </c>
      <c r="B286" s="2">
        <v>45383</v>
      </c>
      <c r="C286" s="1" t="s">
        <v>152</v>
      </c>
      <c r="D286" s="1">
        <v>20</v>
      </c>
      <c r="E286" s="1" t="s">
        <v>35</v>
      </c>
      <c r="F286" s="1" t="s">
        <v>57</v>
      </c>
      <c r="G286" s="1" t="s">
        <v>31</v>
      </c>
      <c r="H286" s="1" t="s">
        <v>36</v>
      </c>
      <c r="I286" s="1">
        <v>1752.29</v>
      </c>
      <c r="J286" s="1">
        <v>31606</v>
      </c>
      <c r="K286" s="1">
        <v>672</v>
      </c>
      <c r="L286" s="1">
        <v>183</v>
      </c>
      <c r="N286" s="1">
        <v>2.1261785739999999</v>
      </c>
      <c r="O286" s="1">
        <v>27.23214286</v>
      </c>
      <c r="P286" s="1">
        <f t="shared" si="14"/>
        <v>3</v>
      </c>
      <c r="V286" t="str">
        <f t="shared" si="15"/>
        <v>Low Performer</v>
      </c>
      <c r="W286" t="e" cm="1">
        <f t="array" aca="1" ref="W286" ca="1">_xlfn.IFS(N286&gt;=20, "High",N286&gt;=10, "Medium", N286&lt;10, "Low")</f>
        <v>#NAME?</v>
      </c>
      <c r="X286" t="str">
        <f t="shared" si="16"/>
        <v>High Budget</v>
      </c>
      <c r="Y286" s="7">
        <f>VLOOKUP(G286, Lookup_table!B:C,2,0)</f>
        <v>1.2</v>
      </c>
      <c r="Z286" t="str">
        <f t="shared" si="17"/>
        <v>Inefficient Spend</v>
      </c>
      <c r="AA286" t="str">
        <f>VLOOKUP(H286, Lookup_table!E:F,2,0)</f>
        <v>High</v>
      </c>
    </row>
    <row r="287" spans="1:27" ht="17.5" customHeight="1" x14ac:dyDescent="0.35">
      <c r="A287" s="1" t="s">
        <v>464</v>
      </c>
      <c r="B287" s="2">
        <v>45308</v>
      </c>
      <c r="C287" s="1" t="s">
        <v>224</v>
      </c>
      <c r="D287" s="1">
        <v>35</v>
      </c>
      <c r="E287" s="1" t="s">
        <v>29</v>
      </c>
      <c r="F287" s="1" t="s">
        <v>50</v>
      </c>
      <c r="G287" s="1" t="s">
        <v>46</v>
      </c>
      <c r="H287" s="1" t="s">
        <v>62</v>
      </c>
      <c r="I287" s="1">
        <v>193.59</v>
      </c>
      <c r="J287" s="1">
        <v>22693</v>
      </c>
      <c r="K287" s="1">
        <v>1026</v>
      </c>
      <c r="L287" s="1">
        <v>373</v>
      </c>
      <c r="M287" s="1">
        <v>5</v>
      </c>
      <c r="N287" s="1">
        <v>4.5212179969999999</v>
      </c>
      <c r="O287" s="1">
        <v>36.354775830000001</v>
      </c>
      <c r="P287" s="1">
        <f t="shared" si="14"/>
        <v>5</v>
      </c>
      <c r="V287" t="str">
        <f t="shared" si="15"/>
        <v>Average Performer</v>
      </c>
      <c r="W287" t="e" cm="1">
        <f t="array" aca="1" ref="W287" ca="1">_xlfn.IFS(N287&gt;=20, "High",N287&gt;=10, "Medium", N287&lt;10, "Low")</f>
        <v>#NAME?</v>
      </c>
      <c r="X287" t="str">
        <f t="shared" si="16"/>
        <v>Low Budget</v>
      </c>
      <c r="Y287" s="7">
        <f>VLOOKUP(G287, Lookup_table!B:C,2,0)</f>
        <v>0.75</v>
      </c>
      <c r="Z287" t="str">
        <f t="shared" si="17"/>
        <v>Efficient Spend</v>
      </c>
      <c r="AA287" t="str">
        <f>VLOOKUP(H287, Lookup_table!E:F,2,0)</f>
        <v>Medium</v>
      </c>
    </row>
    <row r="288" spans="1:27" ht="17.5" customHeight="1" x14ac:dyDescent="0.35">
      <c r="A288" s="1" t="s">
        <v>465</v>
      </c>
      <c r="B288" s="2">
        <v>45425</v>
      </c>
      <c r="C288" s="1" t="s">
        <v>136</v>
      </c>
      <c r="D288" s="1">
        <v>19</v>
      </c>
      <c r="E288" s="1" t="s">
        <v>23</v>
      </c>
      <c r="F288" s="1" t="s">
        <v>50</v>
      </c>
      <c r="G288" s="1" t="s">
        <v>25</v>
      </c>
      <c r="H288" s="1" t="s">
        <v>36</v>
      </c>
      <c r="I288" s="1">
        <v>1588.33</v>
      </c>
      <c r="J288" s="1">
        <v>7116</v>
      </c>
      <c r="K288" s="1">
        <v>3602</v>
      </c>
      <c r="L288" s="1">
        <v>117</v>
      </c>
      <c r="M288" s="1">
        <v>4</v>
      </c>
      <c r="N288" s="1">
        <v>50.618324899999998</v>
      </c>
      <c r="O288" s="1">
        <v>3.2481954470000001</v>
      </c>
      <c r="P288" s="1">
        <f t="shared" si="14"/>
        <v>4</v>
      </c>
      <c r="V288" t="str">
        <f t="shared" si="15"/>
        <v>Average Performer</v>
      </c>
      <c r="W288" t="e" cm="1">
        <f t="array" aca="1" ref="W288" ca="1">_xlfn.IFS(N288&gt;=20, "High",N288&gt;=10, "Medium", N288&lt;10, "Low")</f>
        <v>#NAME?</v>
      </c>
      <c r="X288" t="str">
        <f t="shared" si="16"/>
        <v>High Budget</v>
      </c>
      <c r="Y288" s="7">
        <f>VLOOKUP(G288, Lookup_table!B:C,2,0)</f>
        <v>0.5</v>
      </c>
      <c r="Z288" t="str">
        <f t="shared" si="17"/>
        <v>Efficient Spend</v>
      </c>
      <c r="AA288" t="str">
        <f>VLOOKUP(H288, Lookup_table!E:F,2,0)</f>
        <v>High</v>
      </c>
    </row>
    <row r="289" spans="1:27" ht="17.5" customHeight="1" x14ac:dyDescent="0.35">
      <c r="A289" s="1" t="s">
        <v>466</v>
      </c>
      <c r="B289" s="2">
        <v>45396</v>
      </c>
      <c r="C289" s="1" t="s">
        <v>467</v>
      </c>
      <c r="D289" s="1">
        <v>64</v>
      </c>
      <c r="E289" s="1" t="s">
        <v>35</v>
      </c>
      <c r="F289" s="1" t="s">
        <v>41</v>
      </c>
      <c r="G289" s="1" t="s">
        <v>31</v>
      </c>
      <c r="H289" s="1" t="s">
        <v>62</v>
      </c>
      <c r="I289" s="1">
        <v>182.5</v>
      </c>
      <c r="J289" s="1">
        <v>7864</v>
      </c>
      <c r="K289" s="1">
        <v>4423</v>
      </c>
      <c r="L289" s="1">
        <v>371</v>
      </c>
      <c r="M289" s="1">
        <v>5</v>
      </c>
      <c r="N289" s="1">
        <v>56.243641910000001</v>
      </c>
      <c r="O289" s="1">
        <v>8.3879719650000002</v>
      </c>
      <c r="P289" s="1">
        <f t="shared" si="14"/>
        <v>5</v>
      </c>
      <c r="V289" t="str">
        <f t="shared" si="15"/>
        <v>Top Performer</v>
      </c>
      <c r="W289" t="e" cm="1">
        <f t="array" aca="1" ref="W289" ca="1">_xlfn.IFS(N289&gt;=20, "High",N289&gt;=10, "Medium", N289&lt;10, "Low")</f>
        <v>#NAME?</v>
      </c>
      <c r="X289" t="str">
        <f t="shared" si="16"/>
        <v>Low Budget</v>
      </c>
      <c r="Y289" s="7">
        <f>VLOOKUP(G289, Lookup_table!B:C,2,0)</f>
        <v>1.2</v>
      </c>
      <c r="Z289" t="str">
        <f t="shared" si="17"/>
        <v>Efficient Spend</v>
      </c>
      <c r="AA289" t="str">
        <f>VLOOKUP(H289, Lookup_table!E:F,2,0)</f>
        <v>Medium</v>
      </c>
    </row>
    <row r="290" spans="1:27" ht="17.5" customHeight="1" x14ac:dyDescent="0.35">
      <c r="A290" s="1" t="s">
        <v>468</v>
      </c>
      <c r="B290" s="2">
        <v>45385</v>
      </c>
      <c r="C290" s="1" t="s">
        <v>469</v>
      </c>
      <c r="D290" s="1">
        <v>20</v>
      </c>
      <c r="E290" s="1" t="s">
        <v>29</v>
      </c>
      <c r="F290" s="1" t="s">
        <v>45</v>
      </c>
      <c r="G290" s="1" t="s">
        <v>46</v>
      </c>
      <c r="H290" s="1" t="s">
        <v>32</v>
      </c>
      <c r="I290" s="1">
        <v>950.76</v>
      </c>
      <c r="J290" s="1">
        <v>25485</v>
      </c>
      <c r="K290" s="1">
        <v>3308</v>
      </c>
      <c r="L290" s="1">
        <v>50</v>
      </c>
      <c r="M290" s="1">
        <v>2</v>
      </c>
      <c r="N290" s="1">
        <v>12.980184420000001</v>
      </c>
      <c r="O290" s="1">
        <v>1.5114873040000001</v>
      </c>
      <c r="P290" s="1">
        <f t="shared" si="14"/>
        <v>2</v>
      </c>
      <c r="V290" t="str">
        <f t="shared" si="15"/>
        <v>Low Performer</v>
      </c>
      <c r="W290" t="e" cm="1">
        <f t="array" aca="1" ref="W290" ca="1">_xlfn.IFS(N290&gt;=20, "High",N290&gt;=10, "Medium", N290&lt;10, "Low")</f>
        <v>#NAME?</v>
      </c>
      <c r="X290" t="str">
        <f t="shared" si="16"/>
        <v>Medium Budget</v>
      </c>
      <c r="Y290" s="7">
        <f>VLOOKUP(G290, Lookup_table!B:C,2,0)</f>
        <v>0.75</v>
      </c>
      <c r="Z290" t="str">
        <f t="shared" si="17"/>
        <v>Efficient Spend</v>
      </c>
      <c r="AA290" t="str">
        <f>VLOOKUP(H290, Lookup_table!E:F,2,0)</f>
        <v>Medium</v>
      </c>
    </row>
    <row r="291" spans="1:27" ht="17.5" customHeight="1" x14ac:dyDescent="0.35">
      <c r="A291" s="1" t="s">
        <v>470</v>
      </c>
      <c r="B291" s="2">
        <v>45365</v>
      </c>
      <c r="C291" s="1" t="s">
        <v>471</v>
      </c>
      <c r="D291" s="1">
        <v>48</v>
      </c>
      <c r="E291" s="1" t="s">
        <v>35</v>
      </c>
      <c r="F291" s="1" t="s">
        <v>45</v>
      </c>
      <c r="G291" s="1" t="s">
        <v>42</v>
      </c>
      <c r="H291" s="1" t="s">
        <v>62</v>
      </c>
      <c r="I291" s="1">
        <v>679.15</v>
      </c>
      <c r="J291" s="1">
        <v>14524</v>
      </c>
      <c r="K291" s="1">
        <v>653</v>
      </c>
      <c r="L291" s="1">
        <v>48</v>
      </c>
      <c r="M291" s="1">
        <v>4</v>
      </c>
      <c r="N291" s="1">
        <v>4.4960066100000002</v>
      </c>
      <c r="O291" s="1">
        <v>7.3506891269999999</v>
      </c>
      <c r="P291" s="1">
        <f t="shared" si="14"/>
        <v>4</v>
      </c>
      <c r="V291" t="str">
        <f t="shared" si="15"/>
        <v>Low Performer</v>
      </c>
      <c r="W291" t="e" cm="1">
        <f t="array" aca="1" ref="W291" ca="1">_xlfn.IFS(N291&gt;=20, "High",N291&gt;=10, "Medium", N291&lt;10, "Low")</f>
        <v>#NAME?</v>
      </c>
      <c r="X291" t="str">
        <f t="shared" si="16"/>
        <v>Medium Budget</v>
      </c>
      <c r="Y291" s="7">
        <f>VLOOKUP(G291, Lookup_table!B:C,2,0)</f>
        <v>0.3</v>
      </c>
      <c r="Z291" t="str">
        <f t="shared" si="17"/>
        <v>Inefficient Spend</v>
      </c>
      <c r="AA291" t="str">
        <f>VLOOKUP(H291, Lookup_table!E:F,2,0)</f>
        <v>Medium</v>
      </c>
    </row>
    <row r="292" spans="1:27" ht="17.5" customHeight="1" x14ac:dyDescent="0.35">
      <c r="A292" s="1" t="s">
        <v>472</v>
      </c>
      <c r="B292" s="2">
        <v>45475</v>
      </c>
      <c r="C292" s="1" t="s">
        <v>473</v>
      </c>
      <c r="D292" s="1">
        <v>27</v>
      </c>
      <c r="E292" s="1" t="s">
        <v>29</v>
      </c>
      <c r="F292" s="1" t="s">
        <v>24</v>
      </c>
      <c r="G292" s="1" t="s">
        <v>61</v>
      </c>
      <c r="H292" s="1" t="s">
        <v>32</v>
      </c>
      <c r="I292" s="1">
        <v>233.28</v>
      </c>
      <c r="J292" s="1">
        <v>22861</v>
      </c>
      <c r="K292" s="1">
        <v>2657</v>
      </c>
      <c r="L292" s="1">
        <v>298</v>
      </c>
      <c r="N292" s="1">
        <v>11.622413720000001</v>
      </c>
      <c r="O292" s="1">
        <v>11.21565676</v>
      </c>
      <c r="P292" s="1">
        <f t="shared" si="14"/>
        <v>3</v>
      </c>
      <c r="V292" t="str">
        <f t="shared" si="15"/>
        <v>Average Performer</v>
      </c>
      <c r="W292" t="e" cm="1">
        <f t="array" aca="1" ref="W292" ca="1">_xlfn.IFS(N292&gt;=20, "High",N292&gt;=10, "Medium", N292&lt;10, "Low")</f>
        <v>#NAME?</v>
      </c>
      <c r="X292" t="str">
        <f t="shared" si="16"/>
        <v>Low Budget</v>
      </c>
      <c r="Y292" s="7">
        <f>VLOOKUP(G292, Lookup_table!B:C,2,0)</f>
        <v>0.2</v>
      </c>
      <c r="Z292" t="str">
        <f t="shared" si="17"/>
        <v>Efficient Spend</v>
      </c>
      <c r="AA292" t="str">
        <f>VLOOKUP(H292, Lookup_table!E:F,2,0)</f>
        <v>Medium</v>
      </c>
    </row>
    <row r="293" spans="1:27" ht="17.5" customHeight="1" x14ac:dyDescent="0.35">
      <c r="A293" s="1" t="s">
        <v>474</v>
      </c>
      <c r="B293" s="2">
        <v>45587</v>
      </c>
      <c r="C293" s="1" t="s">
        <v>212</v>
      </c>
      <c r="E293" s="1" t="s">
        <v>23</v>
      </c>
      <c r="G293" s="1" t="s">
        <v>25</v>
      </c>
      <c r="H293" s="1" t="s">
        <v>36</v>
      </c>
      <c r="I293" s="1">
        <v>1175.3499999999999</v>
      </c>
      <c r="J293" s="1">
        <v>18946</v>
      </c>
      <c r="K293" s="1">
        <v>838</v>
      </c>
      <c r="L293" s="1">
        <v>10</v>
      </c>
      <c r="N293" s="1">
        <v>4.4230972240000002</v>
      </c>
      <c r="O293" s="1">
        <v>1.193317422</v>
      </c>
      <c r="P293" s="1">
        <f t="shared" si="14"/>
        <v>3</v>
      </c>
      <c r="V293" t="str">
        <f t="shared" si="15"/>
        <v>Low Performer</v>
      </c>
      <c r="W293" t="e" cm="1">
        <f t="array" aca="1" ref="W293" ca="1">_xlfn.IFS(N293&gt;=20, "High",N293&gt;=10, "Medium", N293&lt;10, "Low")</f>
        <v>#NAME?</v>
      </c>
      <c r="X293" t="str">
        <f t="shared" si="16"/>
        <v>High Budget</v>
      </c>
      <c r="Y293" s="7">
        <f>VLOOKUP(G293, Lookup_table!B:C,2,0)</f>
        <v>0.5</v>
      </c>
      <c r="Z293" t="str">
        <f t="shared" si="17"/>
        <v>Inefficient Spend</v>
      </c>
      <c r="AA293" t="str">
        <f>VLOOKUP(H293, Lookup_table!E:F,2,0)</f>
        <v>High</v>
      </c>
    </row>
    <row r="294" spans="1:27" ht="17.5" customHeight="1" x14ac:dyDescent="0.35">
      <c r="A294" s="1" t="s">
        <v>475</v>
      </c>
      <c r="B294" s="2">
        <v>45498</v>
      </c>
      <c r="C294" s="1" t="s">
        <v>336</v>
      </c>
      <c r="D294" s="1">
        <v>22</v>
      </c>
      <c r="E294" s="1" t="s">
        <v>35</v>
      </c>
      <c r="F294" s="1" t="s">
        <v>24</v>
      </c>
      <c r="G294" s="1" t="s">
        <v>42</v>
      </c>
      <c r="H294" s="1" t="s">
        <v>32</v>
      </c>
      <c r="I294" s="1">
        <v>1163.9000000000001</v>
      </c>
      <c r="J294" s="1">
        <v>29133</v>
      </c>
      <c r="K294" s="1">
        <v>559</v>
      </c>
      <c r="L294" s="1">
        <v>327</v>
      </c>
      <c r="M294" s="1">
        <v>3</v>
      </c>
      <c r="N294" s="1">
        <v>1.918786256</v>
      </c>
      <c r="O294" s="1">
        <v>58.497316640000001</v>
      </c>
      <c r="P294" s="1">
        <f t="shared" si="14"/>
        <v>3</v>
      </c>
      <c r="V294" t="str">
        <f t="shared" si="15"/>
        <v>Low Performer</v>
      </c>
      <c r="W294" t="e" cm="1">
        <f t="array" aca="1" ref="W294" ca="1">_xlfn.IFS(N294&gt;=20, "High",N294&gt;=10, "Medium", N294&lt;10, "Low")</f>
        <v>#NAME?</v>
      </c>
      <c r="X294" t="str">
        <f t="shared" si="16"/>
        <v>High Budget</v>
      </c>
      <c r="Y294" s="7">
        <f>VLOOKUP(G294, Lookup_table!B:C,2,0)</f>
        <v>0.3</v>
      </c>
      <c r="Z294" t="str">
        <f t="shared" si="17"/>
        <v>Inefficient Spend</v>
      </c>
      <c r="AA294" t="str">
        <f>VLOOKUP(H294, Lookup_table!E:F,2,0)</f>
        <v>Medium</v>
      </c>
    </row>
    <row r="295" spans="1:27" ht="17.5" customHeight="1" x14ac:dyDescent="0.35">
      <c r="A295" s="1" t="s">
        <v>476</v>
      </c>
      <c r="B295" s="2">
        <v>45482</v>
      </c>
      <c r="C295" s="1" t="s">
        <v>477</v>
      </c>
      <c r="D295" s="1">
        <v>63</v>
      </c>
      <c r="E295" s="1" t="s">
        <v>35</v>
      </c>
      <c r="F295" s="1" t="s">
        <v>45</v>
      </c>
      <c r="G295" s="1" t="s">
        <v>61</v>
      </c>
      <c r="H295" s="1" t="s">
        <v>62</v>
      </c>
      <c r="I295" s="1">
        <v>1193.5999999999999</v>
      </c>
      <c r="J295" s="1">
        <v>34719</v>
      </c>
      <c r="K295" s="1">
        <v>2037</v>
      </c>
      <c r="L295" s="1">
        <v>287</v>
      </c>
      <c r="M295" s="1">
        <v>4</v>
      </c>
      <c r="N295" s="1">
        <v>5.8671044669999999</v>
      </c>
      <c r="O295" s="1">
        <v>14.08934708</v>
      </c>
      <c r="P295" s="1">
        <f t="shared" si="14"/>
        <v>4</v>
      </c>
      <c r="V295" t="str">
        <f t="shared" si="15"/>
        <v>Average Performer</v>
      </c>
      <c r="W295" t="e" cm="1">
        <f t="array" aca="1" ref="W295" ca="1">_xlfn.IFS(N295&gt;=20, "High",N295&gt;=10, "Medium", N295&lt;10, "Low")</f>
        <v>#NAME?</v>
      </c>
      <c r="X295" t="str">
        <f t="shared" si="16"/>
        <v>High Budget</v>
      </c>
      <c r="Y295" s="7">
        <f>VLOOKUP(G295, Lookup_table!B:C,2,0)</f>
        <v>0.2</v>
      </c>
      <c r="Z295" t="str">
        <f t="shared" si="17"/>
        <v>Inefficient Spend</v>
      </c>
      <c r="AA295" t="str">
        <f>VLOOKUP(H295, Lookup_table!E:F,2,0)</f>
        <v>Medium</v>
      </c>
    </row>
    <row r="296" spans="1:27" ht="17.5" customHeight="1" x14ac:dyDescent="0.35">
      <c r="A296" s="1" t="s">
        <v>478</v>
      </c>
      <c r="B296" s="2">
        <v>45329</v>
      </c>
      <c r="C296" s="1" t="s">
        <v>477</v>
      </c>
      <c r="D296" s="1">
        <v>62</v>
      </c>
      <c r="E296" s="1" t="s">
        <v>23</v>
      </c>
      <c r="F296" s="1" t="s">
        <v>45</v>
      </c>
      <c r="G296" s="1" t="s">
        <v>42</v>
      </c>
      <c r="H296" s="1" t="s">
        <v>36</v>
      </c>
      <c r="I296" s="1">
        <v>941.1</v>
      </c>
      <c r="J296" s="1">
        <v>33872</v>
      </c>
      <c r="K296" s="1">
        <v>372</v>
      </c>
      <c r="L296" s="1">
        <v>191</v>
      </c>
      <c r="M296" s="1">
        <v>2</v>
      </c>
      <c r="N296" s="1">
        <v>1.098252244</v>
      </c>
      <c r="O296" s="1">
        <v>51.344086019999999</v>
      </c>
      <c r="P296" s="1">
        <f t="shared" si="14"/>
        <v>2</v>
      </c>
      <c r="V296" t="str">
        <f t="shared" si="15"/>
        <v>Low Performer</v>
      </c>
      <c r="W296" t="e" cm="1">
        <f t="array" aca="1" ref="W296" ca="1">_xlfn.IFS(N296&gt;=20, "High",N296&gt;=10, "Medium", N296&lt;10, "Low")</f>
        <v>#NAME?</v>
      </c>
      <c r="X296" t="str">
        <f t="shared" si="16"/>
        <v>Medium Budget</v>
      </c>
      <c r="Y296" s="7">
        <f>VLOOKUP(G296, Lookup_table!B:C,2,0)</f>
        <v>0.3</v>
      </c>
      <c r="Z296" t="str">
        <f t="shared" si="17"/>
        <v>Inefficient Spend</v>
      </c>
      <c r="AA296" t="str">
        <f>VLOOKUP(H296, Lookup_table!E:F,2,0)</f>
        <v>High</v>
      </c>
    </row>
    <row r="297" spans="1:27" ht="17.5" customHeight="1" x14ac:dyDescent="0.35">
      <c r="A297" s="1" t="s">
        <v>479</v>
      </c>
      <c r="B297" s="2">
        <v>45634</v>
      </c>
      <c r="C297" s="1" t="s">
        <v>88</v>
      </c>
      <c r="D297" s="1">
        <v>54</v>
      </c>
      <c r="E297" s="1" t="s">
        <v>29</v>
      </c>
      <c r="F297" s="1" t="s">
        <v>24</v>
      </c>
      <c r="G297" s="1" t="s">
        <v>46</v>
      </c>
      <c r="H297" s="1" t="s">
        <v>32</v>
      </c>
      <c r="I297" s="1">
        <v>1971.95</v>
      </c>
      <c r="J297" s="1">
        <v>11792</v>
      </c>
      <c r="K297" s="1">
        <v>4428</v>
      </c>
      <c r="L297" s="1">
        <v>60</v>
      </c>
      <c r="M297" s="1">
        <v>5</v>
      </c>
      <c r="N297" s="1">
        <v>37.550881949999997</v>
      </c>
      <c r="O297" s="1">
        <v>1.35501355</v>
      </c>
      <c r="P297" s="1">
        <f t="shared" si="14"/>
        <v>5</v>
      </c>
      <c r="V297" t="str">
        <f t="shared" si="15"/>
        <v>Low Performer</v>
      </c>
      <c r="W297" t="e" cm="1">
        <f t="array" aca="1" ref="W297" ca="1">_xlfn.IFS(N297&gt;=20, "High",N297&gt;=10, "Medium", N297&lt;10, "Low")</f>
        <v>#NAME?</v>
      </c>
      <c r="X297" t="str">
        <f t="shared" si="16"/>
        <v>High Budget</v>
      </c>
      <c r="Y297" s="7">
        <f>VLOOKUP(G297, Lookup_table!B:C,2,0)</f>
        <v>0.75</v>
      </c>
      <c r="Z297" t="str">
        <f t="shared" si="17"/>
        <v>Efficient Spend</v>
      </c>
      <c r="AA297" t="str">
        <f>VLOOKUP(H297, Lookup_table!E:F,2,0)</f>
        <v>Medium</v>
      </c>
    </row>
    <row r="298" spans="1:27" ht="17.5" customHeight="1" x14ac:dyDescent="0.35">
      <c r="A298" s="1" t="s">
        <v>480</v>
      </c>
      <c r="B298" s="2">
        <v>45533</v>
      </c>
      <c r="C298" s="1" t="s">
        <v>186</v>
      </c>
      <c r="D298" s="1">
        <v>48</v>
      </c>
      <c r="E298" s="1" t="s">
        <v>35</v>
      </c>
      <c r="F298" s="1" t="s">
        <v>24</v>
      </c>
      <c r="G298" s="1" t="s">
        <v>42</v>
      </c>
      <c r="H298" s="1" t="s">
        <v>36</v>
      </c>
      <c r="I298" s="1">
        <v>640.09</v>
      </c>
      <c r="J298" s="1">
        <v>28230</v>
      </c>
      <c r="K298" s="1">
        <v>3058</v>
      </c>
      <c r="L298" s="1">
        <v>324</v>
      </c>
      <c r="M298" s="1">
        <v>5</v>
      </c>
      <c r="N298" s="1">
        <v>10.83244775</v>
      </c>
      <c r="O298" s="1">
        <v>10.59516024</v>
      </c>
      <c r="P298" s="1">
        <f t="shared" si="14"/>
        <v>5</v>
      </c>
      <c r="V298" t="str">
        <f t="shared" si="15"/>
        <v>Top Performer</v>
      </c>
      <c r="W298" t="e" cm="1">
        <f t="array" aca="1" ref="W298" ca="1">_xlfn.IFS(N298&gt;=20, "High",N298&gt;=10, "Medium", N298&lt;10, "Low")</f>
        <v>#NAME?</v>
      </c>
      <c r="X298" t="str">
        <f t="shared" si="16"/>
        <v>Medium Budget</v>
      </c>
      <c r="Y298" s="7">
        <f>VLOOKUP(G298, Lookup_table!B:C,2,0)</f>
        <v>0.3</v>
      </c>
      <c r="Z298" t="str">
        <f t="shared" si="17"/>
        <v>Efficient Spend</v>
      </c>
      <c r="AA298" t="str">
        <f>VLOOKUP(H298, Lookup_table!E:F,2,0)</f>
        <v>High</v>
      </c>
    </row>
    <row r="299" spans="1:27" ht="17.5" customHeight="1" x14ac:dyDescent="0.35">
      <c r="A299" s="1" t="s">
        <v>481</v>
      </c>
      <c r="B299" s="2">
        <v>45594</v>
      </c>
      <c r="C299" s="1" t="s">
        <v>75</v>
      </c>
      <c r="D299" s="1">
        <v>34</v>
      </c>
      <c r="E299" s="1" t="s">
        <v>29</v>
      </c>
      <c r="F299" s="1" t="s">
        <v>57</v>
      </c>
      <c r="G299" s="1" t="s">
        <v>42</v>
      </c>
      <c r="H299" s="1" t="s">
        <v>26</v>
      </c>
      <c r="I299" s="1">
        <v>1245.4100000000001</v>
      </c>
      <c r="J299" s="1">
        <v>14446</v>
      </c>
      <c r="K299" s="1">
        <v>4601</v>
      </c>
      <c r="L299" s="1">
        <v>315</v>
      </c>
      <c r="M299" s="1">
        <v>3</v>
      </c>
      <c r="N299" s="1">
        <v>31.849646960000001</v>
      </c>
      <c r="O299" s="1">
        <v>6.8463377530000002</v>
      </c>
      <c r="P299" s="1">
        <f t="shared" si="14"/>
        <v>3</v>
      </c>
      <c r="V299" t="str">
        <f t="shared" si="15"/>
        <v>Top Performer</v>
      </c>
      <c r="W299" t="e" cm="1">
        <f t="array" aca="1" ref="W299" ca="1">_xlfn.IFS(N299&gt;=20, "High",N299&gt;=10, "Medium", N299&lt;10, "Low")</f>
        <v>#NAME?</v>
      </c>
      <c r="X299" t="str">
        <f t="shared" si="16"/>
        <v>High Budget</v>
      </c>
      <c r="Y299" s="7">
        <f>VLOOKUP(G299, Lookup_table!B:C,2,0)</f>
        <v>0.3</v>
      </c>
      <c r="Z299" t="str">
        <f t="shared" si="17"/>
        <v>Efficient Spend</v>
      </c>
      <c r="AA299" t="str">
        <f>VLOOKUP(H299, Lookup_table!E:F,2,0)</f>
        <v>High</v>
      </c>
    </row>
    <row r="300" spans="1:27" ht="17.5" customHeight="1" x14ac:dyDescent="0.35">
      <c r="A300" s="1" t="s">
        <v>482</v>
      </c>
      <c r="B300" s="2">
        <v>45557</v>
      </c>
      <c r="C300" s="1" t="s">
        <v>483</v>
      </c>
      <c r="D300" s="1">
        <v>23</v>
      </c>
      <c r="E300" s="1" t="s">
        <v>23</v>
      </c>
      <c r="F300" s="1" t="s">
        <v>24</v>
      </c>
      <c r="G300" s="1" t="s">
        <v>61</v>
      </c>
      <c r="H300" s="1" t="s">
        <v>26</v>
      </c>
      <c r="I300" s="1">
        <v>199.16</v>
      </c>
      <c r="J300" s="1">
        <v>33698</v>
      </c>
      <c r="K300" s="1">
        <v>4008</v>
      </c>
      <c r="L300" s="1">
        <v>344</v>
      </c>
      <c r="M300" s="1">
        <v>4</v>
      </c>
      <c r="N300" s="1">
        <v>11.893880940000001</v>
      </c>
      <c r="O300" s="1">
        <v>8.5828343310000008</v>
      </c>
      <c r="P300" s="1">
        <f t="shared" si="14"/>
        <v>4</v>
      </c>
      <c r="V300" t="str">
        <f t="shared" si="15"/>
        <v>Top Performer</v>
      </c>
      <c r="W300" t="e" cm="1">
        <f t="array" aca="1" ref="W300" ca="1">_xlfn.IFS(N300&gt;=20, "High",N300&gt;=10, "Medium", N300&lt;10, "Low")</f>
        <v>#NAME?</v>
      </c>
      <c r="X300" t="str">
        <f t="shared" si="16"/>
        <v>Low Budget</v>
      </c>
      <c r="Y300" s="7">
        <f>VLOOKUP(G300, Lookup_table!B:C,2,0)</f>
        <v>0.2</v>
      </c>
      <c r="Z300" t="str">
        <f t="shared" si="17"/>
        <v>Efficient Spend</v>
      </c>
      <c r="AA300" t="str">
        <f>VLOOKUP(H300, Lookup_table!E:F,2,0)</f>
        <v>High</v>
      </c>
    </row>
    <row r="301" spans="1:27" ht="17.5" customHeight="1" x14ac:dyDescent="0.35">
      <c r="A301" s="1" t="s">
        <v>484</v>
      </c>
      <c r="B301" s="2">
        <v>45455</v>
      </c>
      <c r="C301" s="1" t="s">
        <v>386</v>
      </c>
      <c r="D301" s="1">
        <v>57</v>
      </c>
      <c r="E301" s="1" t="s">
        <v>35</v>
      </c>
      <c r="F301" s="1" t="s">
        <v>41</v>
      </c>
      <c r="G301" s="1" t="s">
        <v>25</v>
      </c>
      <c r="H301" s="1" t="s">
        <v>62</v>
      </c>
      <c r="I301" s="1">
        <v>145.68</v>
      </c>
      <c r="J301" s="1">
        <v>19221</v>
      </c>
      <c r="K301" s="1">
        <v>404</v>
      </c>
      <c r="L301" s="1">
        <v>22</v>
      </c>
      <c r="M301" s="1">
        <v>5</v>
      </c>
      <c r="N301" s="1">
        <v>2.1018677490000002</v>
      </c>
      <c r="O301" s="1">
        <v>5.4455445539999996</v>
      </c>
      <c r="P301" s="1">
        <f t="shared" si="14"/>
        <v>5</v>
      </c>
      <c r="V301" t="str">
        <f t="shared" si="15"/>
        <v>Low Performer</v>
      </c>
      <c r="W301" t="e" cm="1">
        <f t="array" aca="1" ref="W301" ca="1">_xlfn.IFS(N301&gt;=20, "High",N301&gt;=10, "Medium", N301&lt;10, "Low")</f>
        <v>#NAME?</v>
      </c>
      <c r="X301" t="str">
        <f t="shared" si="16"/>
        <v>Low Budget</v>
      </c>
      <c r="Y301" s="7">
        <f>VLOOKUP(G301, Lookup_table!B:C,2,0)</f>
        <v>0.5</v>
      </c>
      <c r="Z301" t="str">
        <f t="shared" si="17"/>
        <v>Efficient Spend</v>
      </c>
      <c r="AA301" t="str">
        <f>VLOOKUP(H301, Lookup_table!E:F,2,0)</f>
        <v>Medium</v>
      </c>
    </row>
    <row r="302" spans="1:27" ht="17.5" customHeight="1" x14ac:dyDescent="0.35">
      <c r="A302" s="1" t="s">
        <v>485</v>
      </c>
      <c r="B302" s="2">
        <v>45307</v>
      </c>
      <c r="C302" s="1" t="s">
        <v>391</v>
      </c>
      <c r="D302" s="1">
        <v>63</v>
      </c>
      <c r="E302" s="1" t="s">
        <v>23</v>
      </c>
      <c r="F302" s="1" t="s">
        <v>24</v>
      </c>
      <c r="G302" s="1" t="s">
        <v>31</v>
      </c>
      <c r="H302" s="1" t="s">
        <v>62</v>
      </c>
      <c r="I302" s="1">
        <v>1982.36</v>
      </c>
      <c r="J302" s="1">
        <v>47781</v>
      </c>
      <c r="K302" s="1">
        <v>4092</v>
      </c>
      <c r="L302" s="1">
        <v>25</v>
      </c>
      <c r="M302" s="1">
        <v>4</v>
      </c>
      <c r="N302" s="1">
        <v>8.5640735859999992</v>
      </c>
      <c r="O302" s="1">
        <v>0.61094819199999995</v>
      </c>
      <c r="P302" s="1">
        <f t="shared" si="14"/>
        <v>4</v>
      </c>
      <c r="V302" t="str">
        <f t="shared" si="15"/>
        <v>Low Performer</v>
      </c>
      <c r="W302" t="e" cm="1">
        <f t="array" aca="1" ref="W302" ca="1">_xlfn.IFS(N302&gt;=20, "High",N302&gt;=10, "Medium", N302&lt;10, "Low")</f>
        <v>#NAME?</v>
      </c>
      <c r="X302" t="str">
        <f t="shared" si="16"/>
        <v>High Budget</v>
      </c>
      <c r="Y302" s="7">
        <f>VLOOKUP(G302, Lookup_table!B:C,2,0)</f>
        <v>1.2</v>
      </c>
      <c r="Z302" t="str">
        <f t="shared" si="17"/>
        <v>Efficient Spend</v>
      </c>
      <c r="AA302" t="str">
        <f>VLOOKUP(H302, Lookup_table!E:F,2,0)</f>
        <v>Medium</v>
      </c>
    </row>
    <row r="303" spans="1:27" ht="17.5" customHeight="1" x14ac:dyDescent="0.35">
      <c r="A303" s="1" t="s">
        <v>486</v>
      </c>
      <c r="B303" s="2">
        <v>45452</v>
      </c>
      <c r="C303" s="1" t="s">
        <v>203</v>
      </c>
      <c r="D303" s="1">
        <v>19</v>
      </c>
      <c r="E303" s="1" t="s">
        <v>29</v>
      </c>
      <c r="F303" s="1" t="s">
        <v>57</v>
      </c>
      <c r="G303" s="1" t="s">
        <v>31</v>
      </c>
      <c r="H303" s="1" t="s">
        <v>32</v>
      </c>
      <c r="I303" s="1">
        <v>1223.1400000000001</v>
      </c>
      <c r="J303" s="1">
        <v>1853</v>
      </c>
      <c r="K303" s="1">
        <v>3700</v>
      </c>
      <c r="L303" s="1">
        <v>150</v>
      </c>
      <c r="M303" s="1">
        <v>3</v>
      </c>
      <c r="N303" s="1">
        <v>199.6762008</v>
      </c>
      <c r="O303" s="1">
        <v>4.0540540539999999</v>
      </c>
      <c r="P303" s="1">
        <f t="shared" si="14"/>
        <v>3</v>
      </c>
      <c r="U303" s="1">
        <f>COUNTIF(N299:N1000, N303&gt;100)</f>
        <v>0</v>
      </c>
      <c r="V303" t="str">
        <f t="shared" si="15"/>
        <v>Average Performer</v>
      </c>
      <c r="W303" t="e" cm="1">
        <f t="array" aca="1" ref="W303" ca="1">_xlfn.IFS(N303&gt;=20, "High",N303&gt;=10, "Medium", N303&lt;10, "Low")</f>
        <v>#NAME?</v>
      </c>
      <c r="X303" t="str">
        <f t="shared" si="16"/>
        <v>High Budget</v>
      </c>
      <c r="Y303" s="7">
        <f>VLOOKUP(G303, Lookup_table!B:C,2,0)</f>
        <v>1.2</v>
      </c>
      <c r="Z303" t="str">
        <f t="shared" si="17"/>
        <v>Efficient Spend</v>
      </c>
      <c r="AA303" t="str">
        <f>VLOOKUP(H303, Lookup_table!E:F,2,0)</f>
        <v>Medium</v>
      </c>
    </row>
    <row r="304" spans="1:27" ht="17.5" customHeight="1" x14ac:dyDescent="0.35">
      <c r="A304" s="1" t="s">
        <v>487</v>
      </c>
      <c r="B304" s="2">
        <v>45647</v>
      </c>
      <c r="C304" s="1" t="s">
        <v>166</v>
      </c>
      <c r="D304" s="1">
        <v>44</v>
      </c>
      <c r="E304" s="1" t="s">
        <v>35</v>
      </c>
      <c r="F304" s="1" t="s">
        <v>50</v>
      </c>
      <c r="G304" s="1" t="s">
        <v>46</v>
      </c>
      <c r="H304" s="1" t="s">
        <v>32</v>
      </c>
      <c r="I304" s="1">
        <v>362.4</v>
      </c>
      <c r="J304" s="1">
        <v>7548</v>
      </c>
      <c r="K304" s="1">
        <v>896</v>
      </c>
      <c r="L304" s="1">
        <v>352</v>
      </c>
      <c r="M304" s="1">
        <v>4</v>
      </c>
      <c r="N304" s="1">
        <v>11.870694220000001</v>
      </c>
      <c r="O304" s="1">
        <v>39.285714290000001</v>
      </c>
      <c r="P304" s="1">
        <f t="shared" si="14"/>
        <v>4</v>
      </c>
      <c r="V304" t="str">
        <f t="shared" si="15"/>
        <v>Low Performer</v>
      </c>
      <c r="W304" t="e" cm="1">
        <f t="array" aca="1" ref="W304" ca="1">_xlfn.IFS(N304&gt;=20, "High",N304&gt;=10, "Medium", N304&lt;10, "Low")</f>
        <v>#NAME?</v>
      </c>
      <c r="X304" t="str">
        <f t="shared" si="16"/>
        <v>Low Budget</v>
      </c>
      <c r="Y304" s="7">
        <f>VLOOKUP(G304, Lookup_table!B:C,2,0)</f>
        <v>0.75</v>
      </c>
      <c r="Z304" t="str">
        <f t="shared" si="17"/>
        <v>Efficient Spend</v>
      </c>
      <c r="AA304" t="str">
        <f>VLOOKUP(H304, Lookup_table!E:F,2,0)</f>
        <v>Medium</v>
      </c>
    </row>
    <row r="305" spans="1:27" ht="17.5" customHeight="1" x14ac:dyDescent="0.35">
      <c r="A305" s="1" t="s">
        <v>488</v>
      </c>
      <c r="B305" s="2">
        <v>45490</v>
      </c>
      <c r="C305" s="1" t="s">
        <v>295</v>
      </c>
      <c r="D305" s="1">
        <v>50</v>
      </c>
      <c r="E305" s="1" t="s">
        <v>23</v>
      </c>
      <c r="F305" s="1" t="s">
        <v>24</v>
      </c>
      <c r="G305" s="1" t="s">
        <v>42</v>
      </c>
      <c r="H305" s="1" t="s">
        <v>62</v>
      </c>
      <c r="I305" s="1">
        <v>682.86</v>
      </c>
      <c r="J305" s="1">
        <v>21436</v>
      </c>
      <c r="K305" s="1">
        <v>3402</v>
      </c>
      <c r="L305" s="1">
        <v>55</v>
      </c>
      <c r="M305" s="1">
        <v>1</v>
      </c>
      <c r="N305" s="1">
        <v>15.870498230000001</v>
      </c>
      <c r="O305" s="1">
        <v>1.6166960610000001</v>
      </c>
      <c r="P305" s="1">
        <f t="shared" si="14"/>
        <v>1</v>
      </c>
      <c r="V305" t="str">
        <f t="shared" si="15"/>
        <v>Low Performer</v>
      </c>
      <c r="W305" t="e" cm="1">
        <f t="array" aca="1" ref="W305" ca="1">_xlfn.IFS(N305&gt;=20, "High",N305&gt;=10, "Medium", N305&lt;10, "Low")</f>
        <v>#NAME?</v>
      </c>
      <c r="X305" t="str">
        <f t="shared" si="16"/>
        <v>Medium Budget</v>
      </c>
      <c r="Y305" s="7">
        <f>VLOOKUP(G305, Lookup_table!B:C,2,0)</f>
        <v>0.3</v>
      </c>
      <c r="Z305" t="str">
        <f t="shared" si="17"/>
        <v>Efficient Spend</v>
      </c>
      <c r="AA305" t="str">
        <f>VLOOKUP(H305, Lookup_table!E:F,2,0)</f>
        <v>Medium</v>
      </c>
    </row>
    <row r="306" spans="1:27" ht="17.5" customHeight="1" x14ac:dyDescent="0.35">
      <c r="A306" s="1" t="s">
        <v>489</v>
      </c>
      <c r="B306" s="2">
        <v>45504</v>
      </c>
      <c r="C306" s="1" t="s">
        <v>195</v>
      </c>
      <c r="D306" s="1">
        <v>31</v>
      </c>
      <c r="E306" s="1" t="s">
        <v>29</v>
      </c>
      <c r="F306" s="1" t="s">
        <v>50</v>
      </c>
      <c r="G306" s="1" t="s">
        <v>25</v>
      </c>
      <c r="H306" s="1" t="s">
        <v>26</v>
      </c>
      <c r="I306" s="1">
        <v>1844.59</v>
      </c>
      <c r="J306" s="1">
        <v>5522</v>
      </c>
      <c r="K306" s="1">
        <v>1730</v>
      </c>
      <c r="L306" s="1">
        <v>326</v>
      </c>
      <c r="M306" s="1">
        <v>1</v>
      </c>
      <c r="N306" s="1">
        <v>31.329228539999999</v>
      </c>
      <c r="O306" s="1">
        <v>18.84393064</v>
      </c>
      <c r="P306" s="1">
        <f t="shared" si="14"/>
        <v>1</v>
      </c>
      <c r="V306" t="str">
        <f t="shared" si="15"/>
        <v>Average Performer</v>
      </c>
      <c r="W306" t="e" cm="1">
        <f t="array" aca="1" ref="W306" ca="1">_xlfn.IFS(N306&gt;=20, "High",N306&gt;=10, "Medium", N306&lt;10, "Low")</f>
        <v>#NAME?</v>
      </c>
      <c r="X306" t="str">
        <f t="shared" si="16"/>
        <v>High Budget</v>
      </c>
      <c r="Y306" s="7">
        <f>VLOOKUP(G306, Lookup_table!B:C,2,0)</f>
        <v>0.5</v>
      </c>
      <c r="Z306" t="str">
        <f t="shared" si="17"/>
        <v>Inefficient Spend</v>
      </c>
      <c r="AA306" t="str">
        <f>VLOOKUP(H306, Lookup_table!E:F,2,0)</f>
        <v>High</v>
      </c>
    </row>
    <row r="307" spans="1:27" ht="17.5" customHeight="1" x14ac:dyDescent="0.35">
      <c r="A307" s="1" t="s">
        <v>490</v>
      </c>
      <c r="B307" s="2">
        <v>45325</v>
      </c>
      <c r="C307" s="1" t="s">
        <v>404</v>
      </c>
      <c r="D307" s="1">
        <v>29</v>
      </c>
      <c r="E307" s="1" t="s">
        <v>35</v>
      </c>
      <c r="F307" s="1" t="s">
        <v>24</v>
      </c>
      <c r="G307" s="1" t="s">
        <v>46</v>
      </c>
      <c r="H307" s="1" t="s">
        <v>36</v>
      </c>
      <c r="I307" s="1">
        <v>550.41</v>
      </c>
      <c r="J307" s="1">
        <v>4042</v>
      </c>
      <c r="K307" s="1">
        <v>600</v>
      </c>
      <c r="L307" s="1">
        <v>370</v>
      </c>
      <c r="M307" s="1">
        <v>1</v>
      </c>
      <c r="N307" s="1">
        <v>14.84413657</v>
      </c>
      <c r="O307" s="1">
        <v>61.666666669999998</v>
      </c>
      <c r="P307" s="1">
        <f t="shared" si="14"/>
        <v>1</v>
      </c>
      <c r="V307" t="str">
        <f t="shared" si="15"/>
        <v>Low Performer</v>
      </c>
      <c r="W307" t="e" cm="1">
        <f t="array" aca="1" ref="W307" ca="1">_xlfn.IFS(N307&gt;=20, "High",N307&gt;=10, "Medium", N307&lt;10, "Low")</f>
        <v>#NAME?</v>
      </c>
      <c r="X307" t="str">
        <f t="shared" si="16"/>
        <v>Medium Budget</v>
      </c>
      <c r="Y307" s="7">
        <f>VLOOKUP(G307, Lookup_table!B:C,2,0)</f>
        <v>0.75</v>
      </c>
      <c r="Z307" t="str">
        <f t="shared" si="17"/>
        <v>Inefficient Spend</v>
      </c>
      <c r="AA307" t="str">
        <f>VLOOKUP(H307, Lookup_table!E:F,2,0)</f>
        <v>High</v>
      </c>
    </row>
    <row r="308" spans="1:27" ht="17.5" customHeight="1" x14ac:dyDescent="0.35">
      <c r="A308" s="1" t="s">
        <v>491</v>
      </c>
      <c r="B308" s="2">
        <v>45313</v>
      </c>
      <c r="C308" s="1" t="s">
        <v>492</v>
      </c>
      <c r="D308" s="1">
        <v>57</v>
      </c>
      <c r="E308" s="1" t="s">
        <v>35</v>
      </c>
      <c r="F308" s="1" t="s">
        <v>57</v>
      </c>
      <c r="G308" s="1" t="s">
        <v>25</v>
      </c>
      <c r="H308" s="1" t="s">
        <v>26</v>
      </c>
      <c r="I308" s="1">
        <v>1590.02</v>
      </c>
      <c r="J308" s="1">
        <v>19755</v>
      </c>
      <c r="K308" s="1">
        <v>2156</v>
      </c>
      <c r="L308" s="1">
        <v>305</v>
      </c>
      <c r="M308" s="1">
        <v>3</v>
      </c>
      <c r="N308" s="1">
        <v>10.91369274</v>
      </c>
      <c r="O308" s="1">
        <v>14.14656772</v>
      </c>
      <c r="P308" s="1">
        <f t="shared" si="14"/>
        <v>3</v>
      </c>
      <c r="V308" t="str">
        <f t="shared" si="15"/>
        <v>Average Performer</v>
      </c>
      <c r="W308" t="e" cm="1">
        <f t="array" aca="1" ref="W308" ca="1">_xlfn.IFS(N308&gt;=20, "High",N308&gt;=10, "Medium", N308&lt;10, "Low")</f>
        <v>#NAME?</v>
      </c>
      <c r="X308" t="str">
        <f t="shared" si="16"/>
        <v>High Budget</v>
      </c>
      <c r="Y308" s="7">
        <f>VLOOKUP(G308, Lookup_table!B:C,2,0)</f>
        <v>0.5</v>
      </c>
      <c r="Z308" t="str">
        <f t="shared" si="17"/>
        <v>Inefficient Spend</v>
      </c>
      <c r="AA308" t="str">
        <f>VLOOKUP(H308, Lookup_table!E:F,2,0)</f>
        <v>High</v>
      </c>
    </row>
    <row r="309" spans="1:27" ht="17.5" customHeight="1" x14ac:dyDescent="0.35">
      <c r="A309" s="1" t="s">
        <v>493</v>
      </c>
      <c r="B309" s="2">
        <v>45614</v>
      </c>
      <c r="C309" s="1" t="s">
        <v>494</v>
      </c>
      <c r="D309" s="1">
        <v>29</v>
      </c>
      <c r="E309" s="1" t="s">
        <v>23</v>
      </c>
      <c r="F309" s="1" t="s">
        <v>24</v>
      </c>
      <c r="G309" s="1" t="s">
        <v>25</v>
      </c>
      <c r="H309" s="1" t="s">
        <v>36</v>
      </c>
      <c r="I309" s="1">
        <v>1362.88</v>
      </c>
      <c r="J309" s="1">
        <v>41551</v>
      </c>
      <c r="K309" s="1">
        <v>3514</v>
      </c>
      <c r="L309" s="1">
        <v>271</v>
      </c>
      <c r="M309" s="1">
        <v>1</v>
      </c>
      <c r="N309" s="1">
        <v>8.4570768449999996</v>
      </c>
      <c r="O309" s="1">
        <v>7.712009106</v>
      </c>
      <c r="P309" s="1">
        <f t="shared" si="14"/>
        <v>1</v>
      </c>
      <c r="V309" t="str">
        <f t="shared" si="15"/>
        <v>Top Performer</v>
      </c>
      <c r="W309" t="e" cm="1">
        <f t="array" aca="1" ref="W309" ca="1">_xlfn.IFS(N309&gt;=20, "High",N309&gt;=10, "Medium", N309&lt;10, "Low")</f>
        <v>#NAME?</v>
      </c>
      <c r="X309" t="str">
        <f t="shared" si="16"/>
        <v>High Budget</v>
      </c>
      <c r="Y309" s="7">
        <f>VLOOKUP(G309, Lookup_table!B:C,2,0)</f>
        <v>0.5</v>
      </c>
      <c r="Z309" t="str">
        <f t="shared" si="17"/>
        <v>Efficient Spend</v>
      </c>
      <c r="AA309" t="str">
        <f>VLOOKUP(H309, Lookup_table!E:F,2,0)</f>
        <v>High</v>
      </c>
    </row>
    <row r="310" spans="1:27" ht="17.5" customHeight="1" x14ac:dyDescent="0.35">
      <c r="A310" s="1" t="s">
        <v>495</v>
      </c>
      <c r="B310" s="2">
        <v>45559</v>
      </c>
      <c r="C310" s="1" t="s">
        <v>138</v>
      </c>
      <c r="D310" s="1">
        <v>51</v>
      </c>
      <c r="E310" s="1" t="s">
        <v>35</v>
      </c>
      <c r="F310" s="1" t="s">
        <v>30</v>
      </c>
      <c r="G310" s="1" t="s">
        <v>42</v>
      </c>
      <c r="H310" s="1" t="s">
        <v>32</v>
      </c>
      <c r="I310" s="1">
        <v>263.88</v>
      </c>
      <c r="J310" s="1">
        <v>25024</v>
      </c>
      <c r="K310" s="1">
        <v>2978</v>
      </c>
      <c r="L310" s="1">
        <v>382</v>
      </c>
      <c r="M310" s="1">
        <v>4</v>
      </c>
      <c r="N310" s="1">
        <v>11.90057545</v>
      </c>
      <c r="O310" s="1">
        <v>12.82740094</v>
      </c>
      <c r="P310" s="1">
        <f t="shared" si="14"/>
        <v>4</v>
      </c>
      <c r="V310" t="str">
        <f t="shared" si="15"/>
        <v>Average Performer</v>
      </c>
      <c r="W310" t="e" cm="1">
        <f t="array" aca="1" ref="W310" ca="1">_xlfn.IFS(N310&gt;=20, "High",N310&gt;=10, "Medium", N310&lt;10, "Low")</f>
        <v>#NAME?</v>
      </c>
      <c r="X310" t="str">
        <f t="shared" si="16"/>
        <v>Low Budget</v>
      </c>
      <c r="Y310" s="7">
        <f>VLOOKUP(G310, Lookup_table!B:C,2,0)</f>
        <v>0.3</v>
      </c>
      <c r="Z310" t="str">
        <f t="shared" si="17"/>
        <v>Efficient Spend</v>
      </c>
      <c r="AA310" t="str">
        <f>VLOOKUP(H310, Lookup_table!E:F,2,0)</f>
        <v>Medium</v>
      </c>
    </row>
    <row r="311" spans="1:27" ht="17.5" customHeight="1" x14ac:dyDescent="0.35">
      <c r="A311" s="1" t="s">
        <v>496</v>
      </c>
      <c r="B311" s="2">
        <v>45595</v>
      </c>
      <c r="C311" s="1" t="s">
        <v>175</v>
      </c>
      <c r="D311" s="1">
        <v>55</v>
      </c>
      <c r="E311" s="1" t="s">
        <v>35</v>
      </c>
      <c r="F311" s="1" t="s">
        <v>30</v>
      </c>
      <c r="G311" s="1" t="s">
        <v>46</v>
      </c>
      <c r="H311" s="1" t="s">
        <v>32</v>
      </c>
      <c r="I311" s="1">
        <v>55</v>
      </c>
      <c r="J311" s="1">
        <v>6377</v>
      </c>
      <c r="K311" s="1">
        <v>4662</v>
      </c>
      <c r="L311" s="1">
        <v>221</v>
      </c>
      <c r="M311" s="1">
        <v>4</v>
      </c>
      <c r="N311" s="1">
        <v>73.106476400000005</v>
      </c>
      <c r="O311" s="1">
        <v>4.7404547399999997</v>
      </c>
      <c r="P311" s="1">
        <f t="shared" si="14"/>
        <v>4</v>
      </c>
      <c r="V311" t="str">
        <f t="shared" si="15"/>
        <v>Top Performer</v>
      </c>
      <c r="W311" t="e" cm="1">
        <f t="array" aca="1" ref="W311" ca="1">_xlfn.IFS(N311&gt;=20, "High",N311&gt;=10, "Medium", N311&lt;10, "Low")</f>
        <v>#NAME?</v>
      </c>
      <c r="X311" t="str">
        <f t="shared" si="16"/>
        <v>Low Budget</v>
      </c>
      <c r="Y311" s="7">
        <f>VLOOKUP(G311, Lookup_table!B:C,2,0)</f>
        <v>0.75</v>
      </c>
      <c r="Z311" t="str">
        <f t="shared" si="17"/>
        <v>Efficient Spend</v>
      </c>
      <c r="AA311" t="str">
        <f>VLOOKUP(H311, Lookup_table!E:F,2,0)</f>
        <v>Medium</v>
      </c>
    </row>
    <row r="312" spans="1:27" ht="17.5" customHeight="1" x14ac:dyDescent="0.35">
      <c r="A312" s="1" t="s">
        <v>497</v>
      </c>
      <c r="B312" s="2">
        <v>45431</v>
      </c>
      <c r="C312" s="1" t="s">
        <v>395</v>
      </c>
      <c r="D312" s="1">
        <v>42</v>
      </c>
      <c r="E312" s="1" t="s">
        <v>29</v>
      </c>
      <c r="F312" s="1" t="s">
        <v>50</v>
      </c>
      <c r="G312" s="1" t="s">
        <v>31</v>
      </c>
      <c r="H312" s="1" t="s">
        <v>32</v>
      </c>
      <c r="I312" s="1">
        <v>1944.39</v>
      </c>
      <c r="J312" s="1">
        <v>10605</v>
      </c>
      <c r="K312" s="1">
        <v>643</v>
      </c>
      <c r="L312" s="1">
        <v>200</v>
      </c>
      <c r="M312" s="1">
        <v>4</v>
      </c>
      <c r="N312" s="1">
        <v>6.063177746</v>
      </c>
      <c r="O312" s="1">
        <v>31.10419907</v>
      </c>
      <c r="P312" s="1">
        <f t="shared" si="14"/>
        <v>4</v>
      </c>
      <c r="V312" t="str">
        <f t="shared" si="15"/>
        <v>Low Performer</v>
      </c>
      <c r="W312" t="e" cm="1">
        <f t="array" aca="1" ref="W312" ca="1">_xlfn.IFS(N312&gt;=20, "High",N312&gt;=10, "Medium", N312&lt;10, "Low")</f>
        <v>#NAME?</v>
      </c>
      <c r="X312" t="str">
        <f t="shared" si="16"/>
        <v>High Budget</v>
      </c>
      <c r="Y312" s="7">
        <f>VLOOKUP(G312, Lookup_table!B:C,2,0)</f>
        <v>1.2</v>
      </c>
      <c r="Z312" t="str">
        <f t="shared" si="17"/>
        <v>Inefficient Spend</v>
      </c>
      <c r="AA312" t="str">
        <f>VLOOKUP(H312, Lookup_table!E:F,2,0)</f>
        <v>Medium</v>
      </c>
    </row>
    <row r="313" spans="1:27" ht="17.5" customHeight="1" x14ac:dyDescent="0.35">
      <c r="A313" s="1" t="s">
        <v>498</v>
      </c>
      <c r="B313" s="2">
        <v>45328</v>
      </c>
      <c r="C313" s="1" t="s">
        <v>79</v>
      </c>
      <c r="D313" s="1">
        <v>44</v>
      </c>
      <c r="E313" s="1" t="s">
        <v>35</v>
      </c>
      <c r="F313" s="1" t="s">
        <v>41</v>
      </c>
      <c r="G313" s="1" t="s">
        <v>31</v>
      </c>
      <c r="H313" s="1" t="s">
        <v>26</v>
      </c>
      <c r="I313" s="1">
        <v>849.28</v>
      </c>
      <c r="J313" s="1">
        <v>3413</v>
      </c>
      <c r="K313" s="1">
        <v>2626</v>
      </c>
      <c r="L313" s="1">
        <v>347</v>
      </c>
      <c r="M313" s="1">
        <v>1</v>
      </c>
      <c r="N313" s="1">
        <v>76.941107529999996</v>
      </c>
      <c r="O313" s="1">
        <v>13.21401371</v>
      </c>
      <c r="P313" s="1">
        <f t="shared" si="14"/>
        <v>1</v>
      </c>
      <c r="V313" t="str">
        <f t="shared" si="15"/>
        <v>Average Performer</v>
      </c>
      <c r="W313" t="e" cm="1">
        <f t="array" aca="1" ref="W313" ca="1">_xlfn.IFS(N313&gt;=20, "High",N313&gt;=10, "Medium", N313&lt;10, "Low")</f>
        <v>#NAME?</v>
      </c>
      <c r="X313" t="str">
        <f t="shared" si="16"/>
        <v>Medium Budget</v>
      </c>
      <c r="Y313" s="7">
        <f>VLOOKUP(G313, Lookup_table!B:C,2,0)</f>
        <v>1.2</v>
      </c>
      <c r="Z313" t="str">
        <f t="shared" si="17"/>
        <v>Efficient Spend</v>
      </c>
      <c r="AA313" t="str">
        <f>VLOOKUP(H313, Lookup_table!E:F,2,0)</f>
        <v>High</v>
      </c>
    </row>
    <row r="314" spans="1:27" ht="17.5" customHeight="1" x14ac:dyDescent="0.35">
      <c r="A314" s="1" t="s">
        <v>499</v>
      </c>
      <c r="B314" s="2">
        <v>45529</v>
      </c>
      <c r="C314" s="1" t="s">
        <v>492</v>
      </c>
      <c r="D314" s="1">
        <v>38</v>
      </c>
      <c r="E314" s="1" t="s">
        <v>35</v>
      </c>
      <c r="F314" s="1" t="s">
        <v>41</v>
      </c>
      <c r="G314" s="1" t="s">
        <v>46</v>
      </c>
      <c r="H314" s="1" t="s">
        <v>36</v>
      </c>
      <c r="I314" s="1">
        <v>1117.8699999999999</v>
      </c>
      <c r="J314" s="1">
        <v>23129</v>
      </c>
      <c r="K314" s="1">
        <v>3979</v>
      </c>
      <c r="L314" s="1">
        <v>19</v>
      </c>
      <c r="M314" s="1">
        <v>5</v>
      </c>
      <c r="N314" s="1">
        <v>17.203510739999999</v>
      </c>
      <c r="O314" s="1">
        <v>0.47750691099999998</v>
      </c>
      <c r="P314" s="1">
        <f t="shared" si="14"/>
        <v>5</v>
      </c>
      <c r="V314" t="str">
        <f t="shared" si="15"/>
        <v>Low Performer</v>
      </c>
      <c r="W314" t="e" cm="1">
        <f t="array" aca="1" ref="W314" ca="1">_xlfn.IFS(N314&gt;=20, "High",N314&gt;=10, "Medium", N314&lt;10, "Low")</f>
        <v>#NAME?</v>
      </c>
      <c r="X314" t="str">
        <f t="shared" si="16"/>
        <v>High Budget</v>
      </c>
      <c r="Y314" s="7">
        <f>VLOOKUP(G314, Lookup_table!B:C,2,0)</f>
        <v>0.75</v>
      </c>
      <c r="Z314" t="str">
        <f t="shared" si="17"/>
        <v>Efficient Spend</v>
      </c>
      <c r="AA314" t="str">
        <f>VLOOKUP(H314, Lookup_table!E:F,2,0)</f>
        <v>High</v>
      </c>
    </row>
    <row r="315" spans="1:27" ht="17.5" customHeight="1" x14ac:dyDescent="0.35">
      <c r="A315" s="1" t="s">
        <v>500</v>
      </c>
      <c r="B315" s="2">
        <v>45463</v>
      </c>
      <c r="C315" s="1" t="s">
        <v>292</v>
      </c>
      <c r="D315" s="1">
        <v>50</v>
      </c>
      <c r="E315" s="1" t="s">
        <v>29</v>
      </c>
      <c r="F315" s="1" t="s">
        <v>24</v>
      </c>
      <c r="G315" s="1" t="s">
        <v>46</v>
      </c>
      <c r="H315" s="1" t="s">
        <v>26</v>
      </c>
      <c r="I315" s="1">
        <v>193.19</v>
      </c>
      <c r="J315" s="1">
        <v>25526</v>
      </c>
      <c r="K315" s="1">
        <v>4639</v>
      </c>
      <c r="L315" s="1">
        <v>187</v>
      </c>
      <c r="M315" s="1">
        <v>4</v>
      </c>
      <c r="N315" s="1">
        <v>18.173626890000001</v>
      </c>
      <c r="O315" s="1">
        <v>4.0310411730000002</v>
      </c>
      <c r="P315" s="1">
        <f t="shared" si="14"/>
        <v>4</v>
      </c>
      <c r="V315" t="str">
        <f t="shared" si="15"/>
        <v>Average Performer</v>
      </c>
      <c r="W315" t="e" cm="1">
        <f t="array" aca="1" ref="W315" ca="1">_xlfn.IFS(N315&gt;=20, "High",N315&gt;=10, "Medium", N315&lt;10, "Low")</f>
        <v>#NAME?</v>
      </c>
      <c r="X315" t="str">
        <f t="shared" si="16"/>
        <v>Low Budget</v>
      </c>
      <c r="Y315" s="7">
        <f>VLOOKUP(G315, Lookup_table!B:C,2,0)</f>
        <v>0.75</v>
      </c>
      <c r="Z315" t="str">
        <f t="shared" si="17"/>
        <v>Efficient Spend</v>
      </c>
      <c r="AA315" t="str">
        <f>VLOOKUP(H315, Lookup_table!E:F,2,0)</f>
        <v>High</v>
      </c>
    </row>
    <row r="316" spans="1:27" ht="17.5" customHeight="1" x14ac:dyDescent="0.35">
      <c r="A316" s="1" t="s">
        <v>501</v>
      </c>
      <c r="B316" s="2">
        <v>45545</v>
      </c>
      <c r="C316" s="1" t="s">
        <v>329</v>
      </c>
      <c r="D316" s="1">
        <v>56</v>
      </c>
      <c r="E316" s="1" t="s">
        <v>29</v>
      </c>
      <c r="F316" s="1" t="s">
        <v>45</v>
      </c>
      <c r="G316" s="1" t="s">
        <v>31</v>
      </c>
      <c r="H316" s="1" t="s">
        <v>26</v>
      </c>
      <c r="I316" s="1">
        <v>1845.57</v>
      </c>
      <c r="J316" s="1">
        <v>10640</v>
      </c>
      <c r="K316" s="1">
        <v>2599</v>
      </c>
      <c r="L316" s="1">
        <v>313</v>
      </c>
      <c r="M316" s="1">
        <v>1</v>
      </c>
      <c r="N316" s="1">
        <v>24.426691730000002</v>
      </c>
      <c r="O316" s="1">
        <v>12.043093499999999</v>
      </c>
      <c r="P316" s="1">
        <f t="shared" si="14"/>
        <v>1</v>
      </c>
      <c r="V316" t="str">
        <f t="shared" si="15"/>
        <v>Average Performer</v>
      </c>
      <c r="W316" t="e" cm="1">
        <f t="array" aca="1" ref="W316" ca="1">_xlfn.IFS(N316&gt;=20, "High",N316&gt;=10, "Medium", N316&lt;10, "Low")</f>
        <v>#NAME?</v>
      </c>
      <c r="X316" t="str">
        <f t="shared" si="16"/>
        <v>High Budget</v>
      </c>
      <c r="Y316" s="7">
        <f>VLOOKUP(G316, Lookup_table!B:C,2,0)</f>
        <v>1.2</v>
      </c>
      <c r="Z316" t="str">
        <f t="shared" si="17"/>
        <v>Efficient Spend</v>
      </c>
      <c r="AA316" t="str">
        <f>VLOOKUP(H316, Lookup_table!E:F,2,0)</f>
        <v>High</v>
      </c>
    </row>
    <row r="317" spans="1:27" ht="17.5" customHeight="1" x14ac:dyDescent="0.35">
      <c r="A317" s="1" t="s">
        <v>502</v>
      </c>
      <c r="B317" s="2">
        <v>45491</v>
      </c>
      <c r="C317" s="1" t="s">
        <v>503</v>
      </c>
      <c r="D317" s="1">
        <v>46</v>
      </c>
      <c r="E317" s="1" t="s">
        <v>29</v>
      </c>
      <c r="F317" s="1" t="s">
        <v>30</v>
      </c>
      <c r="G317" s="1" t="s">
        <v>31</v>
      </c>
      <c r="H317" s="1" t="s">
        <v>36</v>
      </c>
      <c r="I317" s="1">
        <v>54.73</v>
      </c>
      <c r="J317" s="1">
        <v>1362</v>
      </c>
      <c r="K317" s="1">
        <v>4365</v>
      </c>
      <c r="L317" s="1">
        <v>240</v>
      </c>
      <c r="M317" s="1">
        <v>4</v>
      </c>
      <c r="N317" s="1">
        <v>320.48458149999999</v>
      </c>
      <c r="O317" s="1">
        <v>5.4982817869999998</v>
      </c>
      <c r="P317" s="1">
        <f t="shared" si="14"/>
        <v>4</v>
      </c>
      <c r="U317" s="1">
        <f>COUNTIF(N313:N1000, N317&gt;100)</f>
        <v>0</v>
      </c>
      <c r="V317" t="str">
        <f t="shared" si="15"/>
        <v>Top Performer</v>
      </c>
      <c r="W317" t="e" cm="1">
        <f t="array" aca="1" ref="W317" ca="1">_xlfn.IFS(N317&gt;=20, "High",N317&gt;=10, "Medium", N317&lt;10, "Low")</f>
        <v>#NAME?</v>
      </c>
      <c r="X317" t="str">
        <f t="shared" si="16"/>
        <v>Low Budget</v>
      </c>
      <c r="Y317" s="7">
        <f>VLOOKUP(G317, Lookup_table!B:C,2,0)</f>
        <v>1.2</v>
      </c>
      <c r="Z317" t="str">
        <f t="shared" si="17"/>
        <v>Efficient Spend</v>
      </c>
      <c r="AA317" t="str">
        <f>VLOOKUP(H317, Lookup_table!E:F,2,0)</f>
        <v>High</v>
      </c>
    </row>
    <row r="318" spans="1:27" ht="17.5" customHeight="1" x14ac:dyDescent="0.35">
      <c r="A318" s="1" t="s">
        <v>504</v>
      </c>
      <c r="B318" s="2">
        <v>45601</v>
      </c>
      <c r="C318" s="1" t="s">
        <v>505</v>
      </c>
      <c r="D318" s="1">
        <v>36</v>
      </c>
      <c r="E318" s="1" t="s">
        <v>29</v>
      </c>
      <c r="F318" s="1" t="s">
        <v>30</v>
      </c>
      <c r="G318" s="1" t="s">
        <v>25</v>
      </c>
      <c r="H318" s="1" t="s">
        <v>36</v>
      </c>
      <c r="I318" s="1">
        <v>656.01</v>
      </c>
      <c r="J318" s="1">
        <v>40602</v>
      </c>
      <c r="K318" s="1">
        <v>3417</v>
      </c>
      <c r="L318" s="1">
        <v>74</v>
      </c>
      <c r="M318" s="1">
        <v>2</v>
      </c>
      <c r="N318" s="1">
        <v>8.4158415840000007</v>
      </c>
      <c r="O318" s="1">
        <v>2.1656423760000001</v>
      </c>
      <c r="P318" s="1">
        <f t="shared" si="14"/>
        <v>2</v>
      </c>
      <c r="V318" t="str">
        <f t="shared" si="15"/>
        <v>Low Performer</v>
      </c>
      <c r="W318" t="e" cm="1">
        <f t="array" aca="1" ref="W318" ca="1">_xlfn.IFS(N318&gt;=20, "High",N318&gt;=10, "Medium", N318&lt;10, "Low")</f>
        <v>#NAME?</v>
      </c>
      <c r="X318" t="str">
        <f t="shared" si="16"/>
        <v>Medium Budget</v>
      </c>
      <c r="Y318" s="7">
        <f>VLOOKUP(G318, Lookup_table!B:C,2,0)</f>
        <v>0.5</v>
      </c>
      <c r="Z318" t="str">
        <f t="shared" si="17"/>
        <v>Efficient Spend</v>
      </c>
      <c r="AA318" t="str">
        <f>VLOOKUP(H318, Lookup_table!E:F,2,0)</f>
        <v>High</v>
      </c>
    </row>
    <row r="319" spans="1:27" ht="17.5" customHeight="1" x14ac:dyDescent="0.35">
      <c r="A319" s="1" t="s">
        <v>506</v>
      </c>
      <c r="B319" s="2">
        <v>45555</v>
      </c>
      <c r="C319" s="1" t="s">
        <v>492</v>
      </c>
      <c r="D319" s="1">
        <v>19</v>
      </c>
      <c r="E319" s="1" t="s">
        <v>23</v>
      </c>
      <c r="F319" s="1" t="s">
        <v>57</v>
      </c>
      <c r="G319" s="1" t="s">
        <v>25</v>
      </c>
      <c r="H319" s="1" t="s">
        <v>32</v>
      </c>
      <c r="I319" s="1">
        <v>771.12</v>
      </c>
      <c r="J319" s="1">
        <v>35950</v>
      </c>
      <c r="K319" s="1">
        <v>754</v>
      </c>
      <c r="L319" s="1">
        <v>298</v>
      </c>
      <c r="N319" s="1">
        <v>2.0973574410000002</v>
      </c>
      <c r="O319" s="1">
        <v>39.522546419999998</v>
      </c>
      <c r="P319" s="1">
        <f t="shared" si="14"/>
        <v>3</v>
      </c>
      <c r="V319" t="str">
        <f t="shared" si="15"/>
        <v>Low Performer</v>
      </c>
      <c r="W319" t="e" cm="1">
        <f t="array" aca="1" ref="W319" ca="1">_xlfn.IFS(N319&gt;=20, "High",N319&gt;=10, "Medium", N319&lt;10, "Low")</f>
        <v>#NAME?</v>
      </c>
      <c r="X319" t="str">
        <f t="shared" si="16"/>
        <v>Medium Budget</v>
      </c>
      <c r="Y319" s="7">
        <f>VLOOKUP(G319, Lookup_table!B:C,2,0)</f>
        <v>0.5</v>
      </c>
      <c r="Z319" t="str">
        <f t="shared" si="17"/>
        <v>Inefficient Spend</v>
      </c>
      <c r="AA319" t="str">
        <f>VLOOKUP(H319, Lookup_table!E:F,2,0)</f>
        <v>Medium</v>
      </c>
    </row>
    <row r="320" spans="1:27" ht="17.5" customHeight="1" x14ac:dyDescent="0.35">
      <c r="A320" s="1" t="s">
        <v>507</v>
      </c>
      <c r="B320" s="2">
        <v>45418</v>
      </c>
      <c r="C320" s="1" t="s">
        <v>366</v>
      </c>
      <c r="D320" s="1">
        <v>62</v>
      </c>
      <c r="E320" s="1" t="s">
        <v>29</v>
      </c>
      <c r="F320" s="1" t="s">
        <v>30</v>
      </c>
      <c r="G320" s="1" t="s">
        <v>42</v>
      </c>
      <c r="H320" s="1" t="s">
        <v>32</v>
      </c>
      <c r="I320" s="1">
        <v>1621.86</v>
      </c>
      <c r="J320" s="1">
        <v>18370</v>
      </c>
      <c r="K320" s="1">
        <v>2095</v>
      </c>
      <c r="L320" s="1">
        <v>374</v>
      </c>
      <c r="M320" s="1">
        <v>5</v>
      </c>
      <c r="N320" s="1">
        <v>11.4044638</v>
      </c>
      <c r="O320" s="1">
        <v>17.85202864</v>
      </c>
      <c r="P320" s="1">
        <f t="shared" si="14"/>
        <v>5</v>
      </c>
      <c r="V320" t="str">
        <f t="shared" si="15"/>
        <v>Average Performer</v>
      </c>
      <c r="W320" t="e" cm="1">
        <f t="array" aca="1" ref="W320" ca="1">_xlfn.IFS(N320&gt;=20, "High",N320&gt;=10, "Medium", N320&lt;10, "Low")</f>
        <v>#NAME?</v>
      </c>
      <c r="X320" t="str">
        <f t="shared" si="16"/>
        <v>High Budget</v>
      </c>
      <c r="Y320" s="7">
        <f>VLOOKUP(G320, Lookup_table!B:C,2,0)</f>
        <v>0.3</v>
      </c>
      <c r="Z320" t="str">
        <f t="shared" si="17"/>
        <v>Inefficient Spend</v>
      </c>
      <c r="AA320" t="str">
        <f>VLOOKUP(H320, Lookup_table!E:F,2,0)</f>
        <v>Medium</v>
      </c>
    </row>
    <row r="321" spans="1:27" ht="17.5" customHeight="1" x14ac:dyDescent="0.35">
      <c r="A321" s="1" t="s">
        <v>508</v>
      </c>
      <c r="B321" s="2">
        <v>45567</v>
      </c>
      <c r="C321" s="1" t="s">
        <v>414</v>
      </c>
      <c r="D321" s="1">
        <v>28</v>
      </c>
      <c r="E321" s="1" t="s">
        <v>35</v>
      </c>
      <c r="F321" s="1" t="s">
        <v>45</v>
      </c>
      <c r="G321" s="1" t="s">
        <v>42</v>
      </c>
      <c r="H321" s="1" t="s">
        <v>32</v>
      </c>
      <c r="I321" s="1">
        <v>1657.74</v>
      </c>
      <c r="J321" s="1">
        <v>45259</v>
      </c>
      <c r="K321" s="1">
        <v>3473</v>
      </c>
      <c r="L321" s="1">
        <v>14</v>
      </c>
      <c r="M321" s="1">
        <v>4</v>
      </c>
      <c r="N321" s="1">
        <v>7.673611878</v>
      </c>
      <c r="O321" s="1">
        <v>0.40310970299999999</v>
      </c>
      <c r="P321" s="1">
        <f t="shared" si="14"/>
        <v>4</v>
      </c>
      <c r="V321" t="str">
        <f t="shared" si="15"/>
        <v>Low Performer</v>
      </c>
      <c r="W321" t="e" cm="1">
        <f t="array" aca="1" ref="W321" ca="1">_xlfn.IFS(N321&gt;=20, "High",N321&gt;=10, "Medium", N321&lt;10, "Low")</f>
        <v>#NAME?</v>
      </c>
      <c r="X321" t="str">
        <f t="shared" si="16"/>
        <v>High Budget</v>
      </c>
      <c r="Y321" s="7">
        <f>VLOOKUP(G321, Lookup_table!B:C,2,0)</f>
        <v>0.3</v>
      </c>
      <c r="Z321" t="str">
        <f t="shared" si="17"/>
        <v>Inefficient Spend</v>
      </c>
      <c r="AA321" t="str">
        <f>VLOOKUP(H321, Lookup_table!E:F,2,0)</f>
        <v>Medium</v>
      </c>
    </row>
    <row r="322" spans="1:27" ht="17.5" customHeight="1" x14ac:dyDescent="0.35">
      <c r="A322" s="1" t="s">
        <v>509</v>
      </c>
      <c r="B322" s="2">
        <v>45634</v>
      </c>
      <c r="C322" s="1" t="s">
        <v>510</v>
      </c>
      <c r="D322" s="1">
        <v>28</v>
      </c>
      <c r="E322" s="1" t="s">
        <v>29</v>
      </c>
      <c r="F322" s="1" t="s">
        <v>30</v>
      </c>
      <c r="G322" s="1" t="s">
        <v>46</v>
      </c>
      <c r="H322" s="1" t="s">
        <v>26</v>
      </c>
      <c r="I322" s="1">
        <v>1996.02</v>
      </c>
      <c r="J322" s="1">
        <v>28638</v>
      </c>
      <c r="K322" s="1">
        <v>3786</v>
      </c>
      <c r="L322" s="1">
        <v>14</v>
      </c>
      <c r="M322" s="1">
        <v>3</v>
      </c>
      <c r="N322" s="1">
        <v>13.220196939999999</v>
      </c>
      <c r="O322" s="1">
        <v>0.36978341300000001</v>
      </c>
      <c r="P322" s="1">
        <f t="shared" si="14"/>
        <v>3</v>
      </c>
      <c r="V322" t="str">
        <f t="shared" ref="V322:V385" si="18">IF(AND(L322&gt;200,K322&gt;3000),"Top Performer", IF(AND(L322&gt;=100,K322&gt;=1000),"Average Performer","Low Performer"))</f>
        <v>Low Performer</v>
      </c>
      <c r="W322" t="e" cm="1">
        <f t="array" aca="1" ref="W322" ca="1">_xlfn.IFS(N322&gt;=20, "High",N322&gt;=10, "Medium", N322&lt;10, "Low")</f>
        <v>#NAME?</v>
      </c>
      <c r="X322" t="str">
        <f t="shared" ref="X322:X385" si="19">IF(I322&gt;1000, "High Budget",IF(I322&gt;=500, "Medium Budget", "Low Budget"))</f>
        <v>High Budget</v>
      </c>
      <c r="Y322" s="7">
        <f>VLOOKUP(G322, Lookup_table!B:C,2,0)</f>
        <v>0.75</v>
      </c>
      <c r="Z322" t="str">
        <f t="shared" ref="Z322:Z385" si="20">IF(I322/K322&lt;Y322, "Efficient Spend", "Inefficient Spend")</f>
        <v>Efficient Spend</v>
      </c>
      <c r="AA322" t="str">
        <f>VLOOKUP(H322, Lookup_table!E:F,2,0)</f>
        <v>High</v>
      </c>
    </row>
    <row r="323" spans="1:27" ht="17.5" customHeight="1" x14ac:dyDescent="0.35">
      <c r="A323" s="1" t="s">
        <v>511</v>
      </c>
      <c r="B323" s="2">
        <v>45593</v>
      </c>
      <c r="C323" s="1" t="s">
        <v>230</v>
      </c>
      <c r="E323" s="1" t="s">
        <v>23</v>
      </c>
      <c r="G323" s="1" t="s">
        <v>31</v>
      </c>
      <c r="H323" s="1" t="s">
        <v>62</v>
      </c>
      <c r="I323" s="1">
        <v>367.06</v>
      </c>
      <c r="J323" s="1">
        <v>30017</v>
      </c>
      <c r="K323" s="1">
        <v>2843</v>
      </c>
      <c r="L323" s="1">
        <v>32</v>
      </c>
      <c r="N323" s="1">
        <v>9.4712995969999998</v>
      </c>
      <c r="O323" s="1">
        <v>1.125571579</v>
      </c>
      <c r="P323" s="1">
        <f t="shared" si="14"/>
        <v>3</v>
      </c>
      <c r="V323" t="str">
        <f t="shared" si="18"/>
        <v>Low Performer</v>
      </c>
      <c r="W323" t="e" cm="1">
        <f t="array" aca="1" ref="W323" ca="1">_xlfn.IFS(N323&gt;=20, "High",N323&gt;=10, "Medium", N323&lt;10, "Low")</f>
        <v>#NAME?</v>
      </c>
      <c r="X323" t="str">
        <f t="shared" si="19"/>
        <v>Low Budget</v>
      </c>
      <c r="Y323" s="7">
        <f>VLOOKUP(G323, Lookup_table!B:C,2,0)</f>
        <v>1.2</v>
      </c>
      <c r="Z323" t="str">
        <f t="shared" si="20"/>
        <v>Efficient Spend</v>
      </c>
      <c r="AA323" t="str">
        <f>VLOOKUP(H323, Lookup_table!E:F,2,0)</f>
        <v>Medium</v>
      </c>
    </row>
    <row r="324" spans="1:27" ht="17.5" customHeight="1" x14ac:dyDescent="0.35">
      <c r="A324" s="1" t="s">
        <v>512</v>
      </c>
      <c r="B324" s="2">
        <v>45519</v>
      </c>
      <c r="C324" s="1" t="s">
        <v>95</v>
      </c>
      <c r="D324" s="1">
        <v>20</v>
      </c>
      <c r="E324" s="1" t="s">
        <v>35</v>
      </c>
      <c r="F324" s="1" t="s">
        <v>24</v>
      </c>
      <c r="G324" s="1" t="s">
        <v>31</v>
      </c>
      <c r="H324" s="1" t="s">
        <v>32</v>
      </c>
      <c r="I324" s="1">
        <v>253.87</v>
      </c>
      <c r="J324" s="1">
        <v>42686</v>
      </c>
      <c r="K324" s="1">
        <v>4661</v>
      </c>
      <c r="L324" s="1">
        <v>139</v>
      </c>
      <c r="M324" s="1">
        <v>3</v>
      </c>
      <c r="N324" s="1">
        <v>10.91927096</v>
      </c>
      <c r="O324" s="1">
        <v>2.9821926630000002</v>
      </c>
      <c r="P324" s="1">
        <f t="shared" si="14"/>
        <v>3</v>
      </c>
      <c r="V324" t="str">
        <f t="shared" si="18"/>
        <v>Average Performer</v>
      </c>
      <c r="W324" t="e" cm="1">
        <f t="array" aca="1" ref="W324" ca="1">_xlfn.IFS(N324&gt;=20, "High",N324&gt;=10, "Medium", N324&lt;10, "Low")</f>
        <v>#NAME?</v>
      </c>
      <c r="X324" t="str">
        <f t="shared" si="19"/>
        <v>Low Budget</v>
      </c>
      <c r="Y324" s="7">
        <f>VLOOKUP(G324, Lookup_table!B:C,2,0)</f>
        <v>1.2</v>
      </c>
      <c r="Z324" t="str">
        <f t="shared" si="20"/>
        <v>Efficient Spend</v>
      </c>
      <c r="AA324" t="str">
        <f>VLOOKUP(H324, Lookup_table!E:F,2,0)</f>
        <v>Medium</v>
      </c>
    </row>
    <row r="325" spans="1:27" ht="17.5" customHeight="1" x14ac:dyDescent="0.35">
      <c r="A325" s="1" t="s">
        <v>513</v>
      </c>
      <c r="B325" s="2">
        <v>45629</v>
      </c>
      <c r="C325" s="1" t="s">
        <v>40</v>
      </c>
      <c r="E325" s="1" t="s">
        <v>35</v>
      </c>
      <c r="G325" s="1" t="s">
        <v>61</v>
      </c>
      <c r="H325" s="1" t="s">
        <v>36</v>
      </c>
      <c r="I325" s="1">
        <v>1347.23</v>
      </c>
      <c r="J325" s="1">
        <v>6445</v>
      </c>
      <c r="K325" s="1">
        <v>663</v>
      </c>
      <c r="L325" s="1">
        <v>259</v>
      </c>
      <c r="N325" s="1">
        <v>10.28704422</v>
      </c>
      <c r="O325" s="1">
        <v>39.064856710000001</v>
      </c>
      <c r="P325" s="1">
        <f t="shared" si="14"/>
        <v>3</v>
      </c>
      <c r="V325" t="str">
        <f t="shared" si="18"/>
        <v>Low Performer</v>
      </c>
      <c r="W325" t="e" cm="1">
        <f t="array" aca="1" ref="W325" ca="1">_xlfn.IFS(N325&gt;=20, "High",N325&gt;=10, "Medium", N325&lt;10, "Low")</f>
        <v>#NAME?</v>
      </c>
      <c r="X325" t="str">
        <f t="shared" si="19"/>
        <v>High Budget</v>
      </c>
      <c r="Y325" s="7">
        <f>VLOOKUP(G325, Lookup_table!B:C,2,0)</f>
        <v>0.2</v>
      </c>
      <c r="Z325" t="str">
        <f t="shared" si="20"/>
        <v>Inefficient Spend</v>
      </c>
      <c r="AA325" t="str">
        <f>VLOOKUP(H325, Lookup_table!E:F,2,0)</f>
        <v>High</v>
      </c>
    </row>
    <row r="326" spans="1:27" ht="17.5" customHeight="1" x14ac:dyDescent="0.35">
      <c r="A326" s="1" t="s">
        <v>514</v>
      </c>
      <c r="B326" s="2">
        <v>45325</v>
      </c>
      <c r="C326" s="1" t="s">
        <v>52</v>
      </c>
      <c r="D326" s="1">
        <v>57</v>
      </c>
      <c r="E326" s="1" t="s">
        <v>29</v>
      </c>
      <c r="F326" s="1" t="s">
        <v>41</v>
      </c>
      <c r="G326" s="1" t="s">
        <v>25</v>
      </c>
      <c r="H326" s="1" t="s">
        <v>26</v>
      </c>
      <c r="I326" s="1">
        <v>562.35</v>
      </c>
      <c r="J326" s="1">
        <v>20092</v>
      </c>
      <c r="K326" s="1">
        <v>4423</v>
      </c>
      <c r="L326" s="1">
        <v>269</v>
      </c>
      <c r="N326" s="1">
        <v>22.013736810000001</v>
      </c>
      <c r="O326" s="1">
        <v>6.0818449020000003</v>
      </c>
      <c r="P326" s="1">
        <f t="shared" si="14"/>
        <v>3</v>
      </c>
      <c r="V326" t="str">
        <f t="shared" si="18"/>
        <v>Top Performer</v>
      </c>
      <c r="W326" t="e" cm="1">
        <f t="array" aca="1" ref="W326" ca="1">_xlfn.IFS(N326&gt;=20, "High",N326&gt;=10, "Medium", N326&lt;10, "Low")</f>
        <v>#NAME?</v>
      </c>
      <c r="X326" t="str">
        <f t="shared" si="19"/>
        <v>Medium Budget</v>
      </c>
      <c r="Y326" s="7">
        <f>VLOOKUP(G326, Lookup_table!B:C,2,0)</f>
        <v>0.5</v>
      </c>
      <c r="Z326" t="str">
        <f t="shared" si="20"/>
        <v>Efficient Spend</v>
      </c>
      <c r="AA326" t="str">
        <f>VLOOKUP(H326, Lookup_table!E:F,2,0)</f>
        <v>High</v>
      </c>
    </row>
    <row r="327" spans="1:27" ht="17.5" customHeight="1" x14ac:dyDescent="0.35">
      <c r="A327" s="1" t="s">
        <v>515</v>
      </c>
      <c r="B327" s="2">
        <v>45556</v>
      </c>
      <c r="C327" s="1" t="s">
        <v>155</v>
      </c>
      <c r="D327" s="1">
        <v>49</v>
      </c>
      <c r="E327" s="1" t="s">
        <v>29</v>
      </c>
      <c r="F327" s="1" t="s">
        <v>50</v>
      </c>
      <c r="G327" s="1" t="s">
        <v>46</v>
      </c>
      <c r="H327" s="1" t="s">
        <v>26</v>
      </c>
      <c r="I327" s="1">
        <v>1617.05</v>
      </c>
      <c r="J327" s="1">
        <v>37943</v>
      </c>
      <c r="K327" s="1">
        <v>2543</v>
      </c>
      <c r="L327" s="1">
        <v>237</v>
      </c>
      <c r="M327" s="1">
        <v>3</v>
      </c>
      <c r="N327" s="1">
        <v>6.7021585010000004</v>
      </c>
      <c r="O327" s="1">
        <v>9.3197011399999994</v>
      </c>
      <c r="P327" s="1">
        <f t="shared" si="14"/>
        <v>3</v>
      </c>
      <c r="V327" t="str">
        <f t="shared" si="18"/>
        <v>Average Performer</v>
      </c>
      <c r="W327" t="e" cm="1">
        <f t="array" aca="1" ref="W327" ca="1">_xlfn.IFS(N327&gt;=20, "High",N327&gt;=10, "Medium", N327&lt;10, "Low")</f>
        <v>#NAME?</v>
      </c>
      <c r="X327" t="str">
        <f t="shared" si="19"/>
        <v>High Budget</v>
      </c>
      <c r="Y327" s="7">
        <f>VLOOKUP(G327, Lookup_table!B:C,2,0)</f>
        <v>0.75</v>
      </c>
      <c r="Z327" t="str">
        <f t="shared" si="20"/>
        <v>Efficient Spend</v>
      </c>
      <c r="AA327" t="str">
        <f>VLOOKUP(H327, Lookup_table!E:F,2,0)</f>
        <v>High</v>
      </c>
    </row>
    <row r="328" spans="1:27" ht="17.5" customHeight="1" x14ac:dyDescent="0.35">
      <c r="A328" s="1" t="s">
        <v>516</v>
      </c>
      <c r="B328" s="2">
        <v>45499</v>
      </c>
      <c r="C328" s="1" t="s">
        <v>224</v>
      </c>
      <c r="D328" s="1">
        <v>33</v>
      </c>
      <c r="E328" s="1" t="s">
        <v>29</v>
      </c>
      <c r="F328" s="1" t="s">
        <v>50</v>
      </c>
      <c r="G328" s="1" t="s">
        <v>25</v>
      </c>
      <c r="H328" s="1" t="s">
        <v>26</v>
      </c>
      <c r="I328" s="1">
        <v>1601.65</v>
      </c>
      <c r="J328" s="1">
        <v>7582</v>
      </c>
      <c r="K328" s="1">
        <v>1960</v>
      </c>
      <c r="L328" s="1">
        <v>133</v>
      </c>
      <c r="N328" s="1">
        <v>25.85069902</v>
      </c>
      <c r="O328" s="1">
        <v>6.7857142860000002</v>
      </c>
      <c r="P328" s="1">
        <f t="shared" si="14"/>
        <v>3</v>
      </c>
      <c r="V328" t="str">
        <f t="shared" si="18"/>
        <v>Average Performer</v>
      </c>
      <c r="W328" t="e" cm="1">
        <f t="array" aca="1" ref="W328" ca="1">_xlfn.IFS(N328&gt;=20, "High",N328&gt;=10, "Medium", N328&lt;10, "Low")</f>
        <v>#NAME?</v>
      </c>
      <c r="X328" t="str">
        <f t="shared" si="19"/>
        <v>High Budget</v>
      </c>
      <c r="Y328" s="7">
        <f>VLOOKUP(G328, Lookup_table!B:C,2,0)</f>
        <v>0.5</v>
      </c>
      <c r="Z328" t="str">
        <f t="shared" si="20"/>
        <v>Inefficient Spend</v>
      </c>
      <c r="AA328" t="str">
        <f>VLOOKUP(H328, Lookup_table!E:F,2,0)</f>
        <v>High</v>
      </c>
    </row>
    <row r="329" spans="1:27" ht="17.5" customHeight="1" x14ac:dyDescent="0.35">
      <c r="A329" s="1" t="s">
        <v>517</v>
      </c>
      <c r="B329" s="2">
        <v>45566</v>
      </c>
      <c r="C329" s="1" t="s">
        <v>205</v>
      </c>
      <c r="D329" s="1">
        <v>63</v>
      </c>
      <c r="E329" s="1" t="s">
        <v>35</v>
      </c>
      <c r="F329" s="1" t="s">
        <v>41</v>
      </c>
      <c r="G329" s="1" t="s">
        <v>61</v>
      </c>
      <c r="H329" s="1" t="s">
        <v>36</v>
      </c>
      <c r="I329" s="1">
        <v>1623.58</v>
      </c>
      <c r="J329" s="1">
        <v>44860</v>
      </c>
      <c r="K329" s="1">
        <v>3405</v>
      </c>
      <c r="L329" s="1">
        <v>66</v>
      </c>
      <c r="M329" s="1">
        <v>2</v>
      </c>
      <c r="N329" s="1">
        <v>7.5902808740000003</v>
      </c>
      <c r="O329" s="1">
        <v>1.9383259909999999</v>
      </c>
      <c r="P329" s="1">
        <f t="shared" si="14"/>
        <v>2</v>
      </c>
      <c r="V329" t="str">
        <f t="shared" si="18"/>
        <v>Low Performer</v>
      </c>
      <c r="W329" t="e" cm="1">
        <f t="array" aca="1" ref="W329" ca="1">_xlfn.IFS(N329&gt;=20, "High",N329&gt;=10, "Medium", N329&lt;10, "Low")</f>
        <v>#NAME?</v>
      </c>
      <c r="X329" t="str">
        <f t="shared" si="19"/>
        <v>High Budget</v>
      </c>
      <c r="Y329" s="7">
        <f>VLOOKUP(G329, Lookup_table!B:C,2,0)</f>
        <v>0.2</v>
      </c>
      <c r="Z329" t="str">
        <f t="shared" si="20"/>
        <v>Inefficient Spend</v>
      </c>
      <c r="AA329" t="str">
        <f>VLOOKUP(H329, Lookup_table!E:F,2,0)</f>
        <v>High</v>
      </c>
    </row>
    <row r="330" spans="1:27" ht="17.5" customHeight="1" x14ac:dyDescent="0.35">
      <c r="A330" s="1" t="s">
        <v>518</v>
      </c>
      <c r="B330" s="2">
        <v>45373</v>
      </c>
      <c r="C330" s="1" t="s">
        <v>191</v>
      </c>
      <c r="D330" s="1">
        <v>24</v>
      </c>
      <c r="E330" s="1" t="s">
        <v>23</v>
      </c>
      <c r="F330" s="1" t="s">
        <v>45</v>
      </c>
      <c r="G330" s="1" t="s">
        <v>25</v>
      </c>
      <c r="H330" s="1" t="s">
        <v>36</v>
      </c>
      <c r="I330" s="1">
        <v>1136.05</v>
      </c>
      <c r="J330" s="1">
        <v>48928</v>
      </c>
      <c r="K330" s="1">
        <v>3395</v>
      </c>
      <c r="L330" s="1">
        <v>284</v>
      </c>
      <c r="M330" s="1">
        <v>4</v>
      </c>
      <c r="N330" s="1">
        <v>6.938767168</v>
      </c>
      <c r="O330" s="1">
        <v>8.3652430039999999</v>
      </c>
      <c r="P330" s="1">
        <f t="shared" si="14"/>
        <v>4</v>
      </c>
      <c r="V330" t="str">
        <f t="shared" si="18"/>
        <v>Top Performer</v>
      </c>
      <c r="W330" t="e" cm="1">
        <f t="array" aca="1" ref="W330" ca="1">_xlfn.IFS(N330&gt;=20, "High",N330&gt;=10, "Medium", N330&lt;10, "Low")</f>
        <v>#NAME?</v>
      </c>
      <c r="X330" t="str">
        <f t="shared" si="19"/>
        <v>High Budget</v>
      </c>
      <c r="Y330" s="7">
        <f>VLOOKUP(G330, Lookup_table!B:C,2,0)</f>
        <v>0.5</v>
      </c>
      <c r="Z330" t="str">
        <f t="shared" si="20"/>
        <v>Efficient Spend</v>
      </c>
      <c r="AA330" t="str">
        <f>VLOOKUP(H330, Lookup_table!E:F,2,0)</f>
        <v>High</v>
      </c>
    </row>
    <row r="331" spans="1:27" ht="17.5" customHeight="1" x14ac:dyDescent="0.35">
      <c r="A331" s="1" t="s">
        <v>519</v>
      </c>
      <c r="B331" s="2">
        <v>45395</v>
      </c>
      <c r="C331" s="1" t="s">
        <v>66</v>
      </c>
      <c r="D331" s="1">
        <v>38</v>
      </c>
      <c r="E331" s="1" t="s">
        <v>35</v>
      </c>
      <c r="F331" s="1" t="s">
        <v>30</v>
      </c>
      <c r="G331" s="1" t="s">
        <v>31</v>
      </c>
      <c r="H331" s="1" t="s">
        <v>62</v>
      </c>
      <c r="I331" s="1">
        <v>637.69000000000005</v>
      </c>
      <c r="J331" s="1">
        <v>37281</v>
      </c>
      <c r="K331" s="1">
        <v>12</v>
      </c>
      <c r="L331" s="1">
        <v>36</v>
      </c>
      <c r="M331" s="1">
        <v>2</v>
      </c>
      <c r="N331" s="1">
        <v>3.2187977999999999E-2</v>
      </c>
      <c r="O331" s="1">
        <v>300</v>
      </c>
      <c r="P331" s="1">
        <f t="shared" si="14"/>
        <v>2</v>
      </c>
      <c r="V331" t="str">
        <f t="shared" si="18"/>
        <v>Low Performer</v>
      </c>
      <c r="W331" t="e" cm="1">
        <f t="array" aca="1" ref="W331" ca="1">_xlfn.IFS(N331&gt;=20, "High",N331&gt;=10, "Medium", N331&lt;10, "Low")</f>
        <v>#NAME?</v>
      </c>
      <c r="X331" t="str">
        <f t="shared" si="19"/>
        <v>Medium Budget</v>
      </c>
      <c r="Y331" s="7">
        <f>VLOOKUP(G331, Lookup_table!B:C,2,0)</f>
        <v>1.2</v>
      </c>
      <c r="Z331" t="str">
        <f t="shared" si="20"/>
        <v>Inefficient Spend</v>
      </c>
      <c r="AA331" t="str">
        <f>VLOOKUP(H331, Lookup_table!E:F,2,0)</f>
        <v>Medium</v>
      </c>
    </row>
    <row r="332" spans="1:27" ht="17.5" customHeight="1" x14ac:dyDescent="0.35">
      <c r="A332" s="1" t="s">
        <v>520</v>
      </c>
      <c r="B332" s="2">
        <v>45364</v>
      </c>
      <c r="C332" s="1" t="s">
        <v>327</v>
      </c>
      <c r="D332" s="1">
        <v>40</v>
      </c>
      <c r="E332" s="1" t="s">
        <v>35</v>
      </c>
      <c r="F332" s="1" t="s">
        <v>50</v>
      </c>
      <c r="G332" s="1" t="s">
        <v>61</v>
      </c>
      <c r="H332" s="1" t="s">
        <v>32</v>
      </c>
      <c r="I332" s="1">
        <v>1389.83</v>
      </c>
      <c r="J332" s="1">
        <v>18352</v>
      </c>
      <c r="K332" s="1">
        <v>2262</v>
      </c>
      <c r="L332" s="1">
        <v>193</v>
      </c>
      <c r="M332" s="1">
        <v>3</v>
      </c>
      <c r="N332" s="1">
        <v>12.32563208</v>
      </c>
      <c r="O332" s="1">
        <v>8.5322723249999992</v>
      </c>
      <c r="P332" s="1">
        <f t="shared" si="14"/>
        <v>3</v>
      </c>
      <c r="V332" t="str">
        <f t="shared" si="18"/>
        <v>Average Performer</v>
      </c>
      <c r="W332" t="e" cm="1">
        <f t="array" aca="1" ref="W332" ca="1">_xlfn.IFS(N332&gt;=20, "High",N332&gt;=10, "Medium", N332&lt;10, "Low")</f>
        <v>#NAME?</v>
      </c>
      <c r="X332" t="str">
        <f t="shared" si="19"/>
        <v>High Budget</v>
      </c>
      <c r="Y332" s="7">
        <f>VLOOKUP(G332, Lookup_table!B:C,2,0)</f>
        <v>0.2</v>
      </c>
      <c r="Z332" t="str">
        <f t="shared" si="20"/>
        <v>Inefficient Spend</v>
      </c>
      <c r="AA332" t="str">
        <f>VLOOKUP(H332, Lookup_table!E:F,2,0)</f>
        <v>Medium</v>
      </c>
    </row>
    <row r="333" spans="1:27" ht="17.5" customHeight="1" x14ac:dyDescent="0.35">
      <c r="A333" s="1" t="s">
        <v>521</v>
      </c>
      <c r="B333" s="2">
        <v>45444</v>
      </c>
      <c r="C333" s="1" t="s">
        <v>270</v>
      </c>
      <c r="D333" s="1">
        <v>26</v>
      </c>
      <c r="E333" s="1" t="s">
        <v>29</v>
      </c>
      <c r="F333" s="1" t="s">
        <v>57</v>
      </c>
      <c r="G333" s="1" t="s">
        <v>61</v>
      </c>
      <c r="H333" s="1" t="s">
        <v>62</v>
      </c>
      <c r="I333" s="1">
        <v>127.84</v>
      </c>
      <c r="J333" s="1">
        <v>25106</v>
      </c>
      <c r="K333" s="1">
        <v>1866</v>
      </c>
      <c r="L333" s="1">
        <v>128</v>
      </c>
      <c r="M333" s="1">
        <v>5</v>
      </c>
      <c r="N333" s="1">
        <v>7.432486258</v>
      </c>
      <c r="O333" s="1">
        <v>6.8595927120000004</v>
      </c>
      <c r="P333" s="1">
        <f t="shared" si="14"/>
        <v>5</v>
      </c>
      <c r="V333" t="str">
        <f t="shared" si="18"/>
        <v>Average Performer</v>
      </c>
      <c r="W333" t="e" cm="1">
        <f t="array" aca="1" ref="W333" ca="1">_xlfn.IFS(N333&gt;=20, "High",N333&gt;=10, "Medium", N333&lt;10, "Low")</f>
        <v>#NAME?</v>
      </c>
      <c r="X333" t="str">
        <f t="shared" si="19"/>
        <v>Low Budget</v>
      </c>
      <c r="Y333" s="7">
        <f>VLOOKUP(G333, Lookup_table!B:C,2,0)</f>
        <v>0.2</v>
      </c>
      <c r="Z333" t="str">
        <f t="shared" si="20"/>
        <v>Efficient Spend</v>
      </c>
      <c r="AA333" t="str">
        <f>VLOOKUP(H333, Lookup_table!E:F,2,0)</f>
        <v>Medium</v>
      </c>
    </row>
    <row r="334" spans="1:27" ht="17.5" customHeight="1" x14ac:dyDescent="0.35">
      <c r="A334" s="1" t="s">
        <v>522</v>
      </c>
      <c r="B334" s="2">
        <v>45560</v>
      </c>
      <c r="C334" s="1" t="s">
        <v>503</v>
      </c>
      <c r="D334" s="1">
        <v>35</v>
      </c>
      <c r="E334" s="1" t="s">
        <v>29</v>
      </c>
      <c r="F334" s="1" t="s">
        <v>50</v>
      </c>
      <c r="G334" s="1" t="s">
        <v>31</v>
      </c>
      <c r="H334" s="1" t="s">
        <v>62</v>
      </c>
      <c r="I334" s="1">
        <v>218.24</v>
      </c>
      <c r="J334" s="1">
        <v>15144</v>
      </c>
      <c r="K334" s="1">
        <v>1155</v>
      </c>
      <c r="L334" s="1">
        <v>199</v>
      </c>
      <c r="M334" s="1">
        <v>1</v>
      </c>
      <c r="N334" s="1">
        <v>7.6267828839999998</v>
      </c>
      <c r="O334" s="1">
        <v>17.229437229999998</v>
      </c>
      <c r="P334" s="1">
        <f t="shared" si="14"/>
        <v>1</v>
      </c>
      <c r="V334" t="str">
        <f t="shared" si="18"/>
        <v>Average Performer</v>
      </c>
      <c r="W334" t="e" cm="1">
        <f t="array" aca="1" ref="W334" ca="1">_xlfn.IFS(N334&gt;=20, "High",N334&gt;=10, "Medium", N334&lt;10, "Low")</f>
        <v>#NAME?</v>
      </c>
      <c r="X334" t="str">
        <f t="shared" si="19"/>
        <v>Low Budget</v>
      </c>
      <c r="Y334" s="7">
        <f>VLOOKUP(G334, Lookup_table!B:C,2,0)</f>
        <v>1.2</v>
      </c>
      <c r="Z334" t="str">
        <f t="shared" si="20"/>
        <v>Efficient Spend</v>
      </c>
      <c r="AA334" t="str">
        <f>VLOOKUP(H334, Lookup_table!E:F,2,0)</f>
        <v>Medium</v>
      </c>
    </row>
    <row r="335" spans="1:27" ht="17.5" customHeight="1" x14ac:dyDescent="0.35">
      <c r="A335" s="1" t="s">
        <v>523</v>
      </c>
      <c r="B335" s="2">
        <v>45469</v>
      </c>
      <c r="C335" s="1" t="s">
        <v>524</v>
      </c>
      <c r="D335" s="1">
        <v>49</v>
      </c>
      <c r="E335" s="1" t="s">
        <v>23</v>
      </c>
      <c r="F335" s="1" t="s">
        <v>30</v>
      </c>
      <c r="G335" s="1" t="s">
        <v>25</v>
      </c>
      <c r="H335" s="1" t="s">
        <v>32</v>
      </c>
      <c r="I335" s="1">
        <v>956.32</v>
      </c>
      <c r="J335" s="1">
        <v>16230</v>
      </c>
      <c r="K335" s="1">
        <v>4973</v>
      </c>
      <c r="L335" s="1">
        <v>134</v>
      </c>
      <c r="M335" s="1">
        <v>1</v>
      </c>
      <c r="N335" s="1">
        <v>30.640788659999998</v>
      </c>
      <c r="O335" s="1">
        <v>2.6945505729999999</v>
      </c>
      <c r="P335" s="1">
        <f t="shared" si="14"/>
        <v>1</v>
      </c>
      <c r="V335" t="str">
        <f t="shared" si="18"/>
        <v>Average Performer</v>
      </c>
      <c r="W335" t="e" cm="1">
        <f t="array" aca="1" ref="W335" ca="1">_xlfn.IFS(N335&gt;=20, "High",N335&gt;=10, "Medium", N335&lt;10, "Low")</f>
        <v>#NAME?</v>
      </c>
      <c r="X335" t="str">
        <f t="shared" si="19"/>
        <v>Medium Budget</v>
      </c>
      <c r="Y335" s="7">
        <f>VLOOKUP(G335, Lookup_table!B:C,2,0)</f>
        <v>0.5</v>
      </c>
      <c r="Z335" t="str">
        <f t="shared" si="20"/>
        <v>Efficient Spend</v>
      </c>
      <c r="AA335" t="str">
        <f>VLOOKUP(H335, Lookup_table!E:F,2,0)</f>
        <v>Medium</v>
      </c>
    </row>
    <row r="336" spans="1:27" ht="17.5" customHeight="1" x14ac:dyDescent="0.35">
      <c r="A336" s="1" t="s">
        <v>525</v>
      </c>
      <c r="B336" s="2">
        <v>45518</v>
      </c>
      <c r="C336" s="1" t="s">
        <v>245</v>
      </c>
      <c r="D336" s="1">
        <v>25</v>
      </c>
      <c r="E336" s="1" t="s">
        <v>29</v>
      </c>
      <c r="F336" s="1" t="s">
        <v>30</v>
      </c>
      <c r="G336" s="1" t="s">
        <v>61</v>
      </c>
      <c r="H336" s="1" t="s">
        <v>36</v>
      </c>
      <c r="I336" s="1">
        <v>371.32</v>
      </c>
      <c r="J336" s="1">
        <v>41033</v>
      </c>
      <c r="K336" s="1">
        <v>2412</v>
      </c>
      <c r="L336" s="1">
        <v>208</v>
      </c>
      <c r="M336" s="1">
        <v>5</v>
      </c>
      <c r="N336" s="1">
        <v>5.8781955989999997</v>
      </c>
      <c r="O336" s="1">
        <v>8.6235489219999995</v>
      </c>
      <c r="P336" s="1">
        <f t="shared" si="14"/>
        <v>5</v>
      </c>
      <c r="V336" t="str">
        <f t="shared" si="18"/>
        <v>Average Performer</v>
      </c>
      <c r="W336" t="e" cm="1">
        <f t="array" aca="1" ref="W336" ca="1">_xlfn.IFS(N336&gt;=20, "High",N336&gt;=10, "Medium", N336&lt;10, "Low")</f>
        <v>#NAME?</v>
      </c>
      <c r="X336" t="str">
        <f t="shared" si="19"/>
        <v>Low Budget</v>
      </c>
      <c r="Y336" s="7">
        <f>VLOOKUP(G336, Lookup_table!B:C,2,0)</f>
        <v>0.2</v>
      </c>
      <c r="Z336" t="str">
        <f t="shared" si="20"/>
        <v>Efficient Spend</v>
      </c>
      <c r="AA336" t="str">
        <f>VLOOKUP(H336, Lookup_table!E:F,2,0)</f>
        <v>High</v>
      </c>
    </row>
    <row r="337" spans="1:27" ht="17.5" customHeight="1" x14ac:dyDescent="0.35">
      <c r="A337" s="1" t="s">
        <v>526</v>
      </c>
      <c r="B337" s="2">
        <v>45487</v>
      </c>
      <c r="C337" s="1" t="s">
        <v>527</v>
      </c>
      <c r="D337" s="1">
        <v>60</v>
      </c>
      <c r="E337" s="1" t="s">
        <v>23</v>
      </c>
      <c r="F337" s="1" t="s">
        <v>57</v>
      </c>
      <c r="G337" s="1" t="s">
        <v>25</v>
      </c>
      <c r="H337" s="1" t="s">
        <v>62</v>
      </c>
      <c r="I337" s="1">
        <v>64.86</v>
      </c>
      <c r="J337" s="1">
        <v>37695</v>
      </c>
      <c r="K337" s="1">
        <v>3584</v>
      </c>
      <c r="L337" s="1">
        <v>15</v>
      </c>
      <c r="N337" s="1">
        <v>9.5078922929999994</v>
      </c>
      <c r="O337" s="1">
        <v>0.41852678599999998</v>
      </c>
      <c r="P337" s="1">
        <f t="shared" si="14"/>
        <v>3</v>
      </c>
      <c r="V337" t="str">
        <f t="shared" si="18"/>
        <v>Low Performer</v>
      </c>
      <c r="W337" t="e" cm="1">
        <f t="array" aca="1" ref="W337" ca="1">_xlfn.IFS(N337&gt;=20, "High",N337&gt;=10, "Medium", N337&lt;10, "Low")</f>
        <v>#NAME?</v>
      </c>
      <c r="X337" t="str">
        <f t="shared" si="19"/>
        <v>Low Budget</v>
      </c>
      <c r="Y337" s="7">
        <f>VLOOKUP(G337, Lookup_table!B:C,2,0)</f>
        <v>0.5</v>
      </c>
      <c r="Z337" t="str">
        <f t="shared" si="20"/>
        <v>Efficient Spend</v>
      </c>
      <c r="AA337" t="str">
        <f>VLOOKUP(H337, Lookup_table!E:F,2,0)</f>
        <v>Medium</v>
      </c>
    </row>
    <row r="338" spans="1:27" ht="17.5" customHeight="1" x14ac:dyDescent="0.35">
      <c r="A338" s="1" t="s">
        <v>528</v>
      </c>
      <c r="B338" s="2">
        <v>45416</v>
      </c>
      <c r="C338" s="1" t="s">
        <v>217</v>
      </c>
      <c r="D338" s="1">
        <v>27</v>
      </c>
      <c r="E338" s="1" t="s">
        <v>35</v>
      </c>
      <c r="F338" s="1" t="s">
        <v>41</v>
      </c>
      <c r="G338" s="1" t="s">
        <v>31</v>
      </c>
      <c r="H338" s="1" t="s">
        <v>62</v>
      </c>
      <c r="I338" s="1">
        <v>663.09</v>
      </c>
      <c r="J338" s="1">
        <v>30158</v>
      </c>
      <c r="K338" s="1">
        <v>954</v>
      </c>
      <c r="L338" s="1">
        <v>95</v>
      </c>
      <c r="M338" s="1">
        <v>1</v>
      </c>
      <c r="N338" s="1">
        <v>3.163339744</v>
      </c>
      <c r="O338" s="1">
        <v>9.9580712790000003</v>
      </c>
      <c r="P338" s="1">
        <f t="shared" si="14"/>
        <v>1</v>
      </c>
      <c r="V338" t="str">
        <f t="shared" si="18"/>
        <v>Low Performer</v>
      </c>
      <c r="W338" t="e" cm="1">
        <f t="array" aca="1" ref="W338" ca="1">_xlfn.IFS(N338&gt;=20, "High",N338&gt;=10, "Medium", N338&lt;10, "Low")</f>
        <v>#NAME?</v>
      </c>
      <c r="X338" t="str">
        <f t="shared" si="19"/>
        <v>Medium Budget</v>
      </c>
      <c r="Y338" s="7">
        <f>VLOOKUP(G338, Lookup_table!B:C,2,0)</f>
        <v>1.2</v>
      </c>
      <c r="Z338" t="str">
        <f t="shared" si="20"/>
        <v>Efficient Spend</v>
      </c>
      <c r="AA338" t="str">
        <f>VLOOKUP(H338, Lookup_table!E:F,2,0)</f>
        <v>Medium</v>
      </c>
    </row>
    <row r="339" spans="1:27" ht="17.5" customHeight="1" x14ac:dyDescent="0.35">
      <c r="A339" s="1" t="s">
        <v>529</v>
      </c>
      <c r="B339" s="2">
        <v>45388</v>
      </c>
      <c r="C339" s="1" t="s">
        <v>88</v>
      </c>
      <c r="D339" s="1">
        <v>45</v>
      </c>
      <c r="E339" s="1" t="s">
        <v>23</v>
      </c>
      <c r="F339" s="1" t="s">
        <v>45</v>
      </c>
      <c r="G339" s="1" t="s">
        <v>25</v>
      </c>
      <c r="H339" s="1" t="s">
        <v>26</v>
      </c>
      <c r="I339" s="1">
        <v>544.66999999999996</v>
      </c>
      <c r="J339" s="1">
        <v>44378</v>
      </c>
      <c r="K339" s="1">
        <v>3838</v>
      </c>
      <c r="L339" s="1">
        <v>338</v>
      </c>
      <c r="M339" s="1">
        <v>5</v>
      </c>
      <c r="N339" s="1">
        <v>8.6484294019999997</v>
      </c>
      <c r="O339" s="1">
        <v>8.8066701409999997</v>
      </c>
      <c r="P339" s="1">
        <f t="shared" si="14"/>
        <v>5</v>
      </c>
      <c r="V339" t="str">
        <f t="shared" si="18"/>
        <v>Top Performer</v>
      </c>
      <c r="W339" t="e" cm="1">
        <f t="array" aca="1" ref="W339" ca="1">_xlfn.IFS(N339&gt;=20, "High",N339&gt;=10, "Medium", N339&lt;10, "Low")</f>
        <v>#NAME?</v>
      </c>
      <c r="X339" t="str">
        <f t="shared" si="19"/>
        <v>Medium Budget</v>
      </c>
      <c r="Y339" s="7">
        <f>VLOOKUP(G339, Lookup_table!B:C,2,0)</f>
        <v>0.5</v>
      </c>
      <c r="Z339" t="str">
        <f t="shared" si="20"/>
        <v>Efficient Spend</v>
      </c>
      <c r="AA339" t="str">
        <f>VLOOKUP(H339, Lookup_table!E:F,2,0)</f>
        <v>High</v>
      </c>
    </row>
    <row r="340" spans="1:27" ht="17.5" customHeight="1" x14ac:dyDescent="0.35">
      <c r="A340" s="1" t="s">
        <v>530</v>
      </c>
      <c r="B340" s="2">
        <v>45510</v>
      </c>
      <c r="C340" s="1" t="s">
        <v>107</v>
      </c>
      <c r="D340" s="1">
        <v>55</v>
      </c>
      <c r="E340" s="1" t="s">
        <v>35</v>
      </c>
      <c r="F340" s="1" t="s">
        <v>57</v>
      </c>
      <c r="G340" s="1" t="s">
        <v>31</v>
      </c>
      <c r="H340" s="1" t="s">
        <v>36</v>
      </c>
      <c r="I340" s="1">
        <v>85.51</v>
      </c>
      <c r="J340" s="1">
        <v>20486</v>
      </c>
      <c r="K340" s="1">
        <v>3094</v>
      </c>
      <c r="L340" s="1">
        <v>292</v>
      </c>
      <c r="M340" s="1">
        <v>4</v>
      </c>
      <c r="N340" s="1">
        <v>15.10299717</v>
      </c>
      <c r="O340" s="1">
        <v>9.4376212020000008</v>
      </c>
      <c r="P340" s="1">
        <f t="shared" si="14"/>
        <v>4</v>
      </c>
      <c r="V340" t="str">
        <f t="shared" si="18"/>
        <v>Top Performer</v>
      </c>
      <c r="W340" t="e" cm="1">
        <f t="array" aca="1" ref="W340" ca="1">_xlfn.IFS(N340&gt;=20, "High",N340&gt;=10, "Medium", N340&lt;10, "Low")</f>
        <v>#NAME?</v>
      </c>
      <c r="X340" t="str">
        <f t="shared" si="19"/>
        <v>Low Budget</v>
      </c>
      <c r="Y340" s="7">
        <f>VLOOKUP(G340, Lookup_table!B:C,2,0)</f>
        <v>1.2</v>
      </c>
      <c r="Z340" t="str">
        <f t="shared" si="20"/>
        <v>Efficient Spend</v>
      </c>
      <c r="AA340" t="str">
        <f>VLOOKUP(H340, Lookup_table!E:F,2,0)</f>
        <v>High</v>
      </c>
    </row>
    <row r="341" spans="1:27" ht="17.5" customHeight="1" x14ac:dyDescent="0.35">
      <c r="A341" s="1" t="s">
        <v>531</v>
      </c>
      <c r="B341" s="2">
        <v>45629</v>
      </c>
      <c r="C341" s="1" t="s">
        <v>312</v>
      </c>
      <c r="D341" s="1">
        <v>49</v>
      </c>
      <c r="E341" s="1" t="s">
        <v>23</v>
      </c>
      <c r="F341" s="1" t="s">
        <v>57</v>
      </c>
      <c r="G341" s="1" t="s">
        <v>31</v>
      </c>
      <c r="H341" s="1" t="s">
        <v>32</v>
      </c>
      <c r="I341" s="1">
        <v>1042.51</v>
      </c>
      <c r="J341" s="1">
        <v>24360</v>
      </c>
      <c r="K341" s="1">
        <v>3461</v>
      </c>
      <c r="L341" s="1">
        <v>369</v>
      </c>
      <c r="M341" s="1">
        <v>4</v>
      </c>
      <c r="N341" s="1">
        <v>14.20771757</v>
      </c>
      <c r="O341" s="1">
        <v>10.66165848</v>
      </c>
      <c r="P341" s="1">
        <f t="shared" si="14"/>
        <v>4</v>
      </c>
      <c r="V341" t="str">
        <f t="shared" si="18"/>
        <v>Top Performer</v>
      </c>
      <c r="W341" t="e" cm="1">
        <f t="array" aca="1" ref="W341" ca="1">_xlfn.IFS(N341&gt;=20, "High",N341&gt;=10, "Medium", N341&lt;10, "Low")</f>
        <v>#NAME?</v>
      </c>
      <c r="X341" t="str">
        <f t="shared" si="19"/>
        <v>High Budget</v>
      </c>
      <c r="Y341" s="7">
        <f>VLOOKUP(G341, Lookup_table!B:C,2,0)</f>
        <v>1.2</v>
      </c>
      <c r="Z341" t="str">
        <f t="shared" si="20"/>
        <v>Efficient Spend</v>
      </c>
      <c r="AA341" t="str">
        <f>VLOOKUP(H341, Lookup_table!E:F,2,0)</f>
        <v>Medium</v>
      </c>
    </row>
    <row r="342" spans="1:27" ht="17.5" customHeight="1" x14ac:dyDescent="0.35">
      <c r="A342" s="1" t="s">
        <v>532</v>
      </c>
      <c r="B342" s="2">
        <v>45495</v>
      </c>
      <c r="C342" s="1" t="s">
        <v>77</v>
      </c>
      <c r="D342" s="1">
        <v>26</v>
      </c>
      <c r="E342" s="1" t="s">
        <v>35</v>
      </c>
      <c r="F342" s="1" t="s">
        <v>45</v>
      </c>
      <c r="G342" s="1" t="s">
        <v>61</v>
      </c>
      <c r="H342" s="1" t="s">
        <v>62</v>
      </c>
      <c r="I342" s="1">
        <v>52.05</v>
      </c>
      <c r="J342" s="1">
        <v>31734</v>
      </c>
      <c r="K342" s="1">
        <v>2497</v>
      </c>
      <c r="L342" s="1">
        <v>160</v>
      </c>
      <c r="M342" s="1">
        <v>2</v>
      </c>
      <c r="N342" s="1">
        <v>7.8685321740000003</v>
      </c>
      <c r="O342" s="1">
        <v>6.4076892269999997</v>
      </c>
      <c r="P342" s="1">
        <f t="shared" si="14"/>
        <v>2</v>
      </c>
      <c r="V342" t="str">
        <f t="shared" si="18"/>
        <v>Average Performer</v>
      </c>
      <c r="W342" t="e" cm="1">
        <f t="array" aca="1" ref="W342" ca="1">_xlfn.IFS(N342&gt;=20, "High",N342&gt;=10, "Medium", N342&lt;10, "Low")</f>
        <v>#NAME?</v>
      </c>
      <c r="X342" t="str">
        <f t="shared" si="19"/>
        <v>Low Budget</v>
      </c>
      <c r="Y342" s="7">
        <f>VLOOKUP(G342, Lookup_table!B:C,2,0)</f>
        <v>0.2</v>
      </c>
      <c r="Z342" t="str">
        <f t="shared" si="20"/>
        <v>Efficient Spend</v>
      </c>
      <c r="AA342" t="str">
        <f>VLOOKUP(H342, Lookup_table!E:F,2,0)</f>
        <v>Medium</v>
      </c>
    </row>
    <row r="343" spans="1:27" ht="17.5" customHeight="1" x14ac:dyDescent="0.35">
      <c r="A343" s="1" t="s">
        <v>533</v>
      </c>
      <c r="B343" s="2">
        <v>45421</v>
      </c>
      <c r="C343" s="1" t="s">
        <v>71</v>
      </c>
      <c r="D343" s="1">
        <v>56</v>
      </c>
      <c r="E343" s="1" t="s">
        <v>29</v>
      </c>
      <c r="F343" s="1" t="s">
        <v>50</v>
      </c>
      <c r="G343" s="1" t="s">
        <v>25</v>
      </c>
      <c r="H343" s="1" t="s">
        <v>62</v>
      </c>
      <c r="I343" s="1">
        <v>1388.2</v>
      </c>
      <c r="J343" s="1">
        <v>1319</v>
      </c>
      <c r="K343" s="1">
        <v>4883</v>
      </c>
      <c r="L343" s="1">
        <v>191</v>
      </c>
      <c r="M343" s="1">
        <v>4</v>
      </c>
      <c r="N343" s="1">
        <v>370.2047005</v>
      </c>
      <c r="O343" s="1">
        <v>3.911529797</v>
      </c>
      <c r="P343" s="1">
        <f t="shared" si="14"/>
        <v>4</v>
      </c>
      <c r="U343" s="1">
        <f>COUNTIF(N339:N1000, N343&gt;100)</f>
        <v>0</v>
      </c>
      <c r="V343" t="str">
        <f t="shared" si="18"/>
        <v>Average Performer</v>
      </c>
      <c r="W343" t="e" cm="1">
        <f t="array" aca="1" ref="W343" ca="1">_xlfn.IFS(N343&gt;=20, "High",N343&gt;=10, "Medium", N343&lt;10, "Low")</f>
        <v>#NAME?</v>
      </c>
      <c r="X343" t="str">
        <f t="shared" si="19"/>
        <v>High Budget</v>
      </c>
      <c r="Y343" s="7">
        <f>VLOOKUP(G343, Lookup_table!B:C,2,0)</f>
        <v>0.5</v>
      </c>
      <c r="Z343" t="str">
        <f t="shared" si="20"/>
        <v>Efficient Spend</v>
      </c>
      <c r="AA343" t="str">
        <f>VLOOKUP(H343, Lookup_table!E:F,2,0)</f>
        <v>Medium</v>
      </c>
    </row>
    <row r="344" spans="1:27" ht="17.5" customHeight="1" x14ac:dyDescent="0.35">
      <c r="A344" s="1" t="s">
        <v>534</v>
      </c>
      <c r="B344" s="2">
        <v>45585</v>
      </c>
      <c r="C344" s="1" t="s">
        <v>245</v>
      </c>
      <c r="D344" s="1">
        <v>64</v>
      </c>
      <c r="E344" s="1" t="s">
        <v>35</v>
      </c>
      <c r="F344" s="1" t="s">
        <v>41</v>
      </c>
      <c r="G344" s="1" t="s">
        <v>31</v>
      </c>
      <c r="H344" s="1" t="s">
        <v>26</v>
      </c>
      <c r="I344" s="1">
        <v>1041.07</v>
      </c>
      <c r="J344" s="1">
        <v>3127</v>
      </c>
      <c r="K344" s="1">
        <v>3183</v>
      </c>
      <c r="L344" s="1">
        <v>109</v>
      </c>
      <c r="M344" s="1">
        <v>5</v>
      </c>
      <c r="N344" s="1">
        <v>101.7908539</v>
      </c>
      <c r="O344" s="1">
        <v>3.4244423500000001</v>
      </c>
      <c r="P344" s="1">
        <f t="shared" si="14"/>
        <v>5</v>
      </c>
      <c r="U344" s="1">
        <f>COUNTIF(N340:N1001, N344&gt;100)</f>
        <v>0</v>
      </c>
      <c r="V344" t="str">
        <f t="shared" si="18"/>
        <v>Average Performer</v>
      </c>
      <c r="W344" t="e" cm="1">
        <f t="array" aca="1" ref="W344" ca="1">_xlfn.IFS(N344&gt;=20, "High",N344&gt;=10, "Medium", N344&lt;10, "Low")</f>
        <v>#NAME?</v>
      </c>
      <c r="X344" t="str">
        <f t="shared" si="19"/>
        <v>High Budget</v>
      </c>
      <c r="Y344" s="7">
        <f>VLOOKUP(G344, Lookup_table!B:C,2,0)</f>
        <v>1.2</v>
      </c>
      <c r="Z344" t="str">
        <f t="shared" si="20"/>
        <v>Efficient Spend</v>
      </c>
      <c r="AA344" t="str">
        <f>VLOOKUP(H344, Lookup_table!E:F,2,0)</f>
        <v>High</v>
      </c>
    </row>
    <row r="345" spans="1:27" ht="17.5" customHeight="1" x14ac:dyDescent="0.35">
      <c r="A345" s="1" t="s">
        <v>535</v>
      </c>
      <c r="B345" s="2">
        <v>45585</v>
      </c>
      <c r="C345" s="1" t="s">
        <v>234</v>
      </c>
      <c r="D345" s="1">
        <v>18</v>
      </c>
      <c r="E345" s="1" t="s">
        <v>29</v>
      </c>
      <c r="F345" s="1" t="s">
        <v>41</v>
      </c>
      <c r="G345" s="1" t="s">
        <v>46</v>
      </c>
      <c r="H345" s="1" t="s">
        <v>26</v>
      </c>
      <c r="I345" s="1">
        <v>355.42</v>
      </c>
      <c r="J345" s="1">
        <v>45683</v>
      </c>
      <c r="K345" s="1">
        <v>3929</v>
      </c>
      <c r="L345" s="1">
        <v>152</v>
      </c>
      <c r="N345" s="1">
        <v>8.6005735179999991</v>
      </c>
      <c r="O345" s="1">
        <v>3.8686688720000002</v>
      </c>
      <c r="P345" s="1">
        <f t="shared" si="14"/>
        <v>3</v>
      </c>
      <c r="V345" t="str">
        <f t="shared" si="18"/>
        <v>Average Performer</v>
      </c>
      <c r="W345" t="e" cm="1">
        <f t="array" aca="1" ref="W345" ca="1">_xlfn.IFS(N345&gt;=20, "High",N345&gt;=10, "Medium", N345&lt;10, "Low")</f>
        <v>#NAME?</v>
      </c>
      <c r="X345" t="str">
        <f t="shared" si="19"/>
        <v>Low Budget</v>
      </c>
      <c r="Y345" s="7">
        <f>VLOOKUP(G345, Lookup_table!B:C,2,0)</f>
        <v>0.75</v>
      </c>
      <c r="Z345" t="str">
        <f t="shared" si="20"/>
        <v>Efficient Spend</v>
      </c>
      <c r="AA345" t="str">
        <f>VLOOKUP(H345, Lookup_table!E:F,2,0)</f>
        <v>High</v>
      </c>
    </row>
    <row r="346" spans="1:27" ht="17.5" customHeight="1" x14ac:dyDescent="0.35">
      <c r="A346" s="1" t="s">
        <v>536</v>
      </c>
      <c r="B346" s="2">
        <v>45639</v>
      </c>
      <c r="C346" s="1" t="s">
        <v>384</v>
      </c>
      <c r="D346" s="1">
        <v>49</v>
      </c>
      <c r="E346" s="1" t="s">
        <v>23</v>
      </c>
      <c r="F346" s="1" t="s">
        <v>50</v>
      </c>
      <c r="G346" s="1" t="s">
        <v>25</v>
      </c>
      <c r="H346" s="1" t="s">
        <v>26</v>
      </c>
      <c r="I346" s="1">
        <v>450.95</v>
      </c>
      <c r="J346" s="1">
        <v>18616</v>
      </c>
      <c r="K346" s="1">
        <v>2784</v>
      </c>
      <c r="L346" s="1">
        <v>66</v>
      </c>
      <c r="M346" s="1">
        <v>2</v>
      </c>
      <c r="N346" s="1">
        <v>14.95487752</v>
      </c>
      <c r="O346" s="1">
        <v>2.3706896550000001</v>
      </c>
      <c r="P346" s="1">
        <f t="shared" si="14"/>
        <v>2</v>
      </c>
      <c r="V346" t="str">
        <f t="shared" si="18"/>
        <v>Low Performer</v>
      </c>
      <c r="W346" t="e" cm="1">
        <f t="array" aca="1" ref="W346" ca="1">_xlfn.IFS(N346&gt;=20, "High",N346&gt;=10, "Medium", N346&lt;10, "Low")</f>
        <v>#NAME?</v>
      </c>
      <c r="X346" t="str">
        <f t="shared" si="19"/>
        <v>Low Budget</v>
      </c>
      <c r="Y346" s="7">
        <f>VLOOKUP(G346, Lookup_table!B:C,2,0)</f>
        <v>0.5</v>
      </c>
      <c r="Z346" t="str">
        <f t="shared" si="20"/>
        <v>Efficient Spend</v>
      </c>
      <c r="AA346" t="str">
        <f>VLOOKUP(H346, Lookup_table!E:F,2,0)</f>
        <v>High</v>
      </c>
    </row>
    <row r="347" spans="1:27" ht="17.5" customHeight="1" x14ac:dyDescent="0.35">
      <c r="A347" s="1" t="s">
        <v>537</v>
      </c>
      <c r="B347" s="2">
        <v>45503</v>
      </c>
      <c r="C347" s="1" t="s">
        <v>283</v>
      </c>
      <c r="D347" s="1">
        <v>41</v>
      </c>
      <c r="E347" s="1" t="s">
        <v>23</v>
      </c>
      <c r="F347" s="1" t="s">
        <v>30</v>
      </c>
      <c r="G347" s="1" t="s">
        <v>31</v>
      </c>
      <c r="H347" s="1" t="s">
        <v>36</v>
      </c>
      <c r="I347" s="1">
        <v>1191.8399999999999</v>
      </c>
      <c r="J347" s="1">
        <v>16440</v>
      </c>
      <c r="K347" s="1">
        <v>1568</v>
      </c>
      <c r="L347" s="1">
        <v>43</v>
      </c>
      <c r="M347" s="1">
        <v>2</v>
      </c>
      <c r="N347" s="1">
        <v>9.5377128950000003</v>
      </c>
      <c r="O347" s="1">
        <v>2.7423469389999999</v>
      </c>
      <c r="P347" s="1">
        <f t="shared" si="14"/>
        <v>2</v>
      </c>
      <c r="V347" t="str">
        <f t="shared" si="18"/>
        <v>Low Performer</v>
      </c>
      <c r="W347" t="e" cm="1">
        <f t="array" aca="1" ref="W347" ca="1">_xlfn.IFS(N347&gt;=20, "High",N347&gt;=10, "Medium", N347&lt;10, "Low")</f>
        <v>#NAME?</v>
      </c>
      <c r="X347" t="str">
        <f t="shared" si="19"/>
        <v>High Budget</v>
      </c>
      <c r="Y347" s="7">
        <f>VLOOKUP(G347, Lookup_table!B:C,2,0)</f>
        <v>1.2</v>
      </c>
      <c r="Z347" t="str">
        <f t="shared" si="20"/>
        <v>Efficient Spend</v>
      </c>
      <c r="AA347" t="str">
        <f>VLOOKUP(H347, Lookup_table!E:F,2,0)</f>
        <v>High</v>
      </c>
    </row>
    <row r="348" spans="1:27" ht="17.5" customHeight="1" x14ac:dyDescent="0.35">
      <c r="A348" s="1" t="s">
        <v>538</v>
      </c>
      <c r="B348" s="2">
        <v>45335</v>
      </c>
      <c r="C348" s="1" t="s">
        <v>79</v>
      </c>
      <c r="D348" s="1">
        <v>50</v>
      </c>
      <c r="E348" s="1" t="s">
        <v>23</v>
      </c>
      <c r="F348" s="1" t="s">
        <v>57</v>
      </c>
      <c r="G348" s="1" t="s">
        <v>46</v>
      </c>
      <c r="H348" s="1" t="s">
        <v>26</v>
      </c>
      <c r="I348" s="1">
        <v>1965.53</v>
      </c>
      <c r="J348" s="1">
        <v>29757</v>
      </c>
      <c r="K348" s="1">
        <v>2870</v>
      </c>
      <c r="L348" s="1">
        <v>100</v>
      </c>
      <c r="M348" s="1">
        <v>1</v>
      </c>
      <c r="N348" s="1">
        <v>9.6447894610000002</v>
      </c>
      <c r="O348" s="1">
        <v>3.4843205570000002</v>
      </c>
      <c r="P348" s="1">
        <f t="shared" si="14"/>
        <v>1</v>
      </c>
      <c r="V348" t="str">
        <f t="shared" si="18"/>
        <v>Average Performer</v>
      </c>
      <c r="W348" t="e" cm="1">
        <f t="array" aca="1" ref="W348" ca="1">_xlfn.IFS(N348&gt;=20, "High",N348&gt;=10, "Medium", N348&lt;10, "Low")</f>
        <v>#NAME?</v>
      </c>
      <c r="X348" t="str">
        <f t="shared" si="19"/>
        <v>High Budget</v>
      </c>
      <c r="Y348" s="7">
        <f>VLOOKUP(G348, Lookup_table!B:C,2,0)</f>
        <v>0.75</v>
      </c>
      <c r="Z348" t="str">
        <f t="shared" si="20"/>
        <v>Efficient Spend</v>
      </c>
      <c r="AA348" t="str">
        <f>VLOOKUP(H348, Lookup_table!E:F,2,0)</f>
        <v>High</v>
      </c>
    </row>
    <row r="349" spans="1:27" ht="17.5" customHeight="1" x14ac:dyDescent="0.35">
      <c r="A349" s="1" t="s">
        <v>539</v>
      </c>
      <c r="B349" s="2">
        <v>45470</v>
      </c>
      <c r="C349" s="1" t="s">
        <v>540</v>
      </c>
      <c r="D349" s="1">
        <v>25</v>
      </c>
      <c r="E349" s="1" t="s">
        <v>23</v>
      </c>
      <c r="F349" s="1" t="s">
        <v>50</v>
      </c>
      <c r="G349" s="1" t="s">
        <v>42</v>
      </c>
      <c r="H349" s="1" t="s">
        <v>32</v>
      </c>
      <c r="I349" s="1">
        <v>711.07</v>
      </c>
      <c r="J349" s="1">
        <v>35210</v>
      </c>
      <c r="K349" s="1">
        <v>1332</v>
      </c>
      <c r="L349" s="1">
        <v>99</v>
      </c>
      <c r="N349" s="1">
        <v>3.783016189</v>
      </c>
      <c r="O349" s="1">
        <v>7.4324324319999997</v>
      </c>
      <c r="P349" s="1">
        <f t="shared" si="14"/>
        <v>3</v>
      </c>
      <c r="V349" t="str">
        <f t="shared" si="18"/>
        <v>Low Performer</v>
      </c>
      <c r="W349" t="e" cm="1">
        <f t="array" aca="1" ref="W349" ca="1">_xlfn.IFS(N349&gt;=20, "High",N349&gt;=10, "Medium", N349&lt;10, "Low")</f>
        <v>#NAME?</v>
      </c>
      <c r="X349" t="str">
        <f t="shared" si="19"/>
        <v>Medium Budget</v>
      </c>
      <c r="Y349" s="7">
        <f>VLOOKUP(G349, Lookup_table!B:C,2,0)</f>
        <v>0.3</v>
      </c>
      <c r="Z349" t="str">
        <f t="shared" si="20"/>
        <v>Inefficient Spend</v>
      </c>
      <c r="AA349" t="str">
        <f>VLOOKUP(H349, Lookup_table!E:F,2,0)</f>
        <v>Medium</v>
      </c>
    </row>
    <row r="350" spans="1:27" ht="17.5" customHeight="1" x14ac:dyDescent="0.35">
      <c r="A350" s="1" t="s">
        <v>541</v>
      </c>
      <c r="B350" s="2">
        <v>45632</v>
      </c>
      <c r="C350" s="1" t="s">
        <v>456</v>
      </c>
      <c r="D350" s="1">
        <v>18</v>
      </c>
      <c r="E350" s="1" t="s">
        <v>35</v>
      </c>
      <c r="F350" s="1" t="s">
        <v>41</v>
      </c>
      <c r="G350" s="1" t="s">
        <v>31</v>
      </c>
      <c r="H350" s="1" t="s">
        <v>36</v>
      </c>
      <c r="I350" s="1">
        <v>1567.09</v>
      </c>
      <c r="J350" s="1">
        <v>45893</v>
      </c>
      <c r="K350" s="1">
        <v>2967</v>
      </c>
      <c r="L350" s="1">
        <v>360</v>
      </c>
      <c r="N350" s="1">
        <v>6.4650382410000002</v>
      </c>
      <c r="O350" s="1">
        <v>12.133468150000001</v>
      </c>
      <c r="P350" s="1">
        <f t="shared" si="14"/>
        <v>3</v>
      </c>
      <c r="V350" t="str">
        <f t="shared" si="18"/>
        <v>Average Performer</v>
      </c>
      <c r="W350" t="e" cm="1">
        <f t="array" aca="1" ref="W350" ca="1">_xlfn.IFS(N350&gt;=20, "High",N350&gt;=10, "Medium", N350&lt;10, "Low")</f>
        <v>#NAME?</v>
      </c>
      <c r="X350" t="str">
        <f t="shared" si="19"/>
        <v>High Budget</v>
      </c>
      <c r="Y350" s="7">
        <f>VLOOKUP(G350, Lookup_table!B:C,2,0)</f>
        <v>1.2</v>
      </c>
      <c r="Z350" t="str">
        <f t="shared" si="20"/>
        <v>Efficient Spend</v>
      </c>
      <c r="AA350" t="str">
        <f>VLOOKUP(H350, Lookup_table!E:F,2,0)</f>
        <v>High</v>
      </c>
    </row>
    <row r="351" spans="1:27" ht="17.5" customHeight="1" x14ac:dyDescent="0.35">
      <c r="A351" s="1" t="s">
        <v>542</v>
      </c>
      <c r="B351" s="2">
        <v>45486</v>
      </c>
      <c r="C351" s="1" t="s">
        <v>543</v>
      </c>
      <c r="D351" s="1">
        <v>48</v>
      </c>
      <c r="E351" s="1" t="s">
        <v>29</v>
      </c>
      <c r="F351" s="1" t="s">
        <v>45</v>
      </c>
      <c r="G351" s="1" t="s">
        <v>46</v>
      </c>
      <c r="H351" s="1" t="s">
        <v>26</v>
      </c>
      <c r="I351" s="1">
        <v>531.76</v>
      </c>
      <c r="J351" s="1">
        <v>48351</v>
      </c>
      <c r="K351" s="1">
        <v>304</v>
      </c>
      <c r="L351" s="1">
        <v>219</v>
      </c>
      <c r="N351" s="1">
        <v>0.62873570400000001</v>
      </c>
      <c r="O351" s="1">
        <v>72.03947368</v>
      </c>
      <c r="P351" s="1">
        <f t="shared" si="14"/>
        <v>3</v>
      </c>
      <c r="V351" t="str">
        <f t="shared" si="18"/>
        <v>Low Performer</v>
      </c>
      <c r="W351" t="e" cm="1">
        <f t="array" aca="1" ref="W351" ca="1">_xlfn.IFS(N351&gt;=20, "High",N351&gt;=10, "Medium", N351&lt;10, "Low")</f>
        <v>#NAME?</v>
      </c>
      <c r="X351" t="str">
        <f t="shared" si="19"/>
        <v>Medium Budget</v>
      </c>
      <c r="Y351" s="7">
        <f>VLOOKUP(G351, Lookup_table!B:C,2,0)</f>
        <v>0.75</v>
      </c>
      <c r="Z351" t="str">
        <f t="shared" si="20"/>
        <v>Inefficient Spend</v>
      </c>
      <c r="AA351" t="str">
        <f>VLOOKUP(H351, Lookup_table!E:F,2,0)</f>
        <v>High</v>
      </c>
    </row>
    <row r="352" spans="1:27" ht="17.5" customHeight="1" x14ac:dyDescent="0.35">
      <c r="A352" s="1" t="s">
        <v>544</v>
      </c>
      <c r="B352" s="2">
        <v>45403</v>
      </c>
      <c r="C352" s="1" t="s">
        <v>115</v>
      </c>
      <c r="D352" s="1">
        <v>45</v>
      </c>
      <c r="E352" s="1" t="s">
        <v>35</v>
      </c>
      <c r="F352" s="1" t="s">
        <v>50</v>
      </c>
      <c r="G352" s="1" t="s">
        <v>61</v>
      </c>
      <c r="H352" s="1" t="s">
        <v>26</v>
      </c>
      <c r="I352" s="1">
        <v>688.88</v>
      </c>
      <c r="J352" s="1">
        <v>6054</v>
      </c>
      <c r="K352" s="1">
        <v>4766</v>
      </c>
      <c r="L352" s="1">
        <v>40</v>
      </c>
      <c r="M352" s="1">
        <v>2</v>
      </c>
      <c r="N352" s="1">
        <v>78.724810039999994</v>
      </c>
      <c r="O352" s="1">
        <v>0.83927822100000005</v>
      </c>
      <c r="P352" s="1">
        <f t="shared" si="14"/>
        <v>2</v>
      </c>
      <c r="V352" t="str">
        <f t="shared" si="18"/>
        <v>Low Performer</v>
      </c>
      <c r="W352" t="e" cm="1">
        <f t="array" aca="1" ref="W352" ca="1">_xlfn.IFS(N352&gt;=20, "High",N352&gt;=10, "Medium", N352&lt;10, "Low")</f>
        <v>#NAME?</v>
      </c>
      <c r="X352" t="str">
        <f t="shared" si="19"/>
        <v>Medium Budget</v>
      </c>
      <c r="Y352" s="7">
        <f>VLOOKUP(G352, Lookup_table!B:C,2,0)</f>
        <v>0.2</v>
      </c>
      <c r="Z352" t="str">
        <f t="shared" si="20"/>
        <v>Efficient Spend</v>
      </c>
      <c r="AA352" t="str">
        <f>VLOOKUP(H352, Lookup_table!E:F,2,0)</f>
        <v>High</v>
      </c>
    </row>
    <row r="353" spans="1:27" ht="17.5" customHeight="1" x14ac:dyDescent="0.35">
      <c r="A353" s="1" t="s">
        <v>545</v>
      </c>
      <c r="B353" s="2">
        <v>45428</v>
      </c>
      <c r="C353" s="1" t="s">
        <v>546</v>
      </c>
      <c r="D353" s="1">
        <v>53</v>
      </c>
      <c r="E353" s="1" t="s">
        <v>35</v>
      </c>
      <c r="F353" s="1" t="s">
        <v>30</v>
      </c>
      <c r="G353" s="1" t="s">
        <v>25</v>
      </c>
      <c r="H353" s="1" t="s">
        <v>36</v>
      </c>
      <c r="I353" s="1">
        <v>1739.68</v>
      </c>
      <c r="J353" s="1">
        <v>48194</v>
      </c>
      <c r="K353" s="1">
        <v>1196</v>
      </c>
      <c r="L353" s="1">
        <v>193</v>
      </c>
      <c r="M353" s="1">
        <v>2</v>
      </c>
      <c r="N353" s="1">
        <v>2.4816367179999999</v>
      </c>
      <c r="O353" s="1">
        <v>16.137123750000001</v>
      </c>
      <c r="P353" s="1">
        <f t="shared" si="14"/>
        <v>2</v>
      </c>
      <c r="V353" t="str">
        <f t="shared" si="18"/>
        <v>Average Performer</v>
      </c>
      <c r="W353" t="e" cm="1">
        <f t="array" aca="1" ref="W353" ca="1">_xlfn.IFS(N353&gt;=20, "High",N353&gt;=10, "Medium", N353&lt;10, "Low")</f>
        <v>#NAME?</v>
      </c>
      <c r="X353" t="str">
        <f t="shared" si="19"/>
        <v>High Budget</v>
      </c>
      <c r="Y353" s="7">
        <f>VLOOKUP(G353, Lookup_table!B:C,2,0)</f>
        <v>0.5</v>
      </c>
      <c r="Z353" t="str">
        <f t="shared" si="20"/>
        <v>Inefficient Spend</v>
      </c>
      <c r="AA353" t="str">
        <f>VLOOKUP(H353, Lookup_table!E:F,2,0)</f>
        <v>High</v>
      </c>
    </row>
    <row r="354" spans="1:27" ht="17.5" customHeight="1" x14ac:dyDescent="0.35">
      <c r="A354" s="1" t="s">
        <v>547</v>
      </c>
      <c r="B354" s="2">
        <v>45542</v>
      </c>
      <c r="C354" s="1" t="s">
        <v>261</v>
      </c>
      <c r="D354" s="1">
        <v>38</v>
      </c>
      <c r="E354" s="1" t="s">
        <v>29</v>
      </c>
      <c r="F354" s="1" t="s">
        <v>50</v>
      </c>
      <c r="G354" s="1" t="s">
        <v>61</v>
      </c>
      <c r="H354" s="1" t="s">
        <v>26</v>
      </c>
      <c r="I354" s="1">
        <v>551.9</v>
      </c>
      <c r="J354" s="1">
        <v>13582</v>
      </c>
      <c r="K354" s="1">
        <v>2890</v>
      </c>
      <c r="L354" s="1">
        <v>210</v>
      </c>
      <c r="M354" s="1">
        <v>3</v>
      </c>
      <c r="N354" s="1">
        <v>21.278162269999999</v>
      </c>
      <c r="O354" s="1">
        <v>7.2664359860000003</v>
      </c>
      <c r="P354" s="1">
        <f t="shared" si="14"/>
        <v>3</v>
      </c>
      <c r="V354" t="str">
        <f t="shared" si="18"/>
        <v>Average Performer</v>
      </c>
      <c r="W354" t="e" cm="1">
        <f t="array" aca="1" ref="W354" ca="1">_xlfn.IFS(N354&gt;=20, "High",N354&gt;=10, "Medium", N354&lt;10, "Low")</f>
        <v>#NAME?</v>
      </c>
      <c r="X354" t="str">
        <f t="shared" si="19"/>
        <v>Medium Budget</v>
      </c>
      <c r="Y354" s="7">
        <f>VLOOKUP(G354, Lookup_table!B:C,2,0)</f>
        <v>0.2</v>
      </c>
      <c r="Z354" t="str">
        <f t="shared" si="20"/>
        <v>Efficient Spend</v>
      </c>
      <c r="AA354" t="str">
        <f>VLOOKUP(H354, Lookup_table!E:F,2,0)</f>
        <v>High</v>
      </c>
    </row>
    <row r="355" spans="1:27" ht="17.5" customHeight="1" x14ac:dyDescent="0.35">
      <c r="A355" s="1" t="s">
        <v>548</v>
      </c>
      <c r="B355" s="2">
        <v>45354</v>
      </c>
      <c r="C355" s="1" t="s">
        <v>524</v>
      </c>
      <c r="D355" s="1">
        <v>18</v>
      </c>
      <c r="E355" s="1" t="s">
        <v>23</v>
      </c>
      <c r="F355" s="1" t="s">
        <v>41</v>
      </c>
      <c r="G355" s="1" t="s">
        <v>42</v>
      </c>
      <c r="H355" s="1" t="s">
        <v>26</v>
      </c>
      <c r="I355" s="1">
        <v>1966.14</v>
      </c>
      <c r="J355" s="1">
        <v>6272</v>
      </c>
      <c r="K355" s="1">
        <v>799</v>
      </c>
      <c r="L355" s="1">
        <v>111</v>
      </c>
      <c r="M355" s="1">
        <v>2</v>
      </c>
      <c r="N355" s="1">
        <v>12.739158160000001</v>
      </c>
      <c r="O355" s="1">
        <v>13.892365460000001</v>
      </c>
      <c r="P355" s="1">
        <f t="shared" si="14"/>
        <v>2</v>
      </c>
      <c r="V355" t="str">
        <f t="shared" si="18"/>
        <v>Low Performer</v>
      </c>
      <c r="W355" t="e" cm="1">
        <f t="array" aca="1" ref="W355" ca="1">_xlfn.IFS(N355&gt;=20, "High",N355&gt;=10, "Medium", N355&lt;10, "Low")</f>
        <v>#NAME?</v>
      </c>
      <c r="X355" t="str">
        <f t="shared" si="19"/>
        <v>High Budget</v>
      </c>
      <c r="Y355" s="7">
        <f>VLOOKUP(G355, Lookup_table!B:C,2,0)</f>
        <v>0.3</v>
      </c>
      <c r="Z355" t="str">
        <f t="shared" si="20"/>
        <v>Inefficient Spend</v>
      </c>
      <c r="AA355" t="str">
        <f>VLOOKUP(H355, Lookup_table!E:F,2,0)</f>
        <v>High</v>
      </c>
    </row>
    <row r="356" spans="1:27" ht="17.5" customHeight="1" x14ac:dyDescent="0.35">
      <c r="A356" s="1" t="s">
        <v>549</v>
      </c>
      <c r="B356" s="2">
        <v>45376</v>
      </c>
      <c r="C356" s="1" t="s">
        <v>406</v>
      </c>
      <c r="D356" s="1">
        <v>58</v>
      </c>
      <c r="E356" s="1" t="s">
        <v>29</v>
      </c>
      <c r="F356" s="1" t="s">
        <v>50</v>
      </c>
      <c r="G356" s="1" t="s">
        <v>46</v>
      </c>
      <c r="H356" s="1" t="s">
        <v>32</v>
      </c>
      <c r="I356" s="1">
        <v>742.49</v>
      </c>
      <c r="J356" s="1">
        <v>10965</v>
      </c>
      <c r="K356" s="1">
        <v>1031</v>
      </c>
      <c r="L356" s="1">
        <v>386</v>
      </c>
      <c r="M356" s="1">
        <v>4</v>
      </c>
      <c r="N356" s="1">
        <v>9.4026447789999992</v>
      </c>
      <c r="O356" s="1">
        <v>37.439379240000001</v>
      </c>
      <c r="P356" s="1">
        <f t="shared" si="14"/>
        <v>4</v>
      </c>
      <c r="V356" t="str">
        <f t="shared" si="18"/>
        <v>Average Performer</v>
      </c>
      <c r="W356" t="e" cm="1">
        <f t="array" aca="1" ref="W356" ca="1">_xlfn.IFS(N356&gt;=20, "High",N356&gt;=10, "Medium", N356&lt;10, "Low")</f>
        <v>#NAME?</v>
      </c>
      <c r="X356" t="str">
        <f t="shared" si="19"/>
        <v>Medium Budget</v>
      </c>
      <c r="Y356" s="7">
        <f>VLOOKUP(G356, Lookup_table!B:C,2,0)</f>
        <v>0.75</v>
      </c>
      <c r="Z356" t="str">
        <f t="shared" si="20"/>
        <v>Efficient Spend</v>
      </c>
      <c r="AA356" t="str">
        <f>VLOOKUP(H356, Lookup_table!E:F,2,0)</f>
        <v>Medium</v>
      </c>
    </row>
    <row r="357" spans="1:27" ht="17.5" customHeight="1" x14ac:dyDescent="0.35">
      <c r="A357" s="1" t="s">
        <v>550</v>
      </c>
      <c r="B357" s="2">
        <v>45605</v>
      </c>
      <c r="C357" s="1" t="s">
        <v>270</v>
      </c>
      <c r="D357" s="1">
        <v>20</v>
      </c>
      <c r="E357" s="1" t="s">
        <v>29</v>
      </c>
      <c r="F357" s="1" t="s">
        <v>50</v>
      </c>
      <c r="G357" s="1" t="s">
        <v>42</v>
      </c>
      <c r="H357" s="1" t="s">
        <v>36</v>
      </c>
      <c r="I357" s="1">
        <v>1586.37</v>
      </c>
      <c r="J357" s="1">
        <v>26609</v>
      </c>
      <c r="K357" s="1">
        <v>761</v>
      </c>
      <c r="L357" s="1">
        <v>328</v>
      </c>
      <c r="M357" s="1">
        <v>2</v>
      </c>
      <c r="N357" s="1">
        <v>2.8599346090000002</v>
      </c>
      <c r="O357" s="1">
        <v>43.101182649999998</v>
      </c>
      <c r="P357" s="1">
        <f t="shared" si="14"/>
        <v>2</v>
      </c>
      <c r="V357" t="str">
        <f t="shared" si="18"/>
        <v>Low Performer</v>
      </c>
      <c r="W357" t="e" cm="1">
        <f t="array" aca="1" ref="W357" ca="1">_xlfn.IFS(N357&gt;=20, "High",N357&gt;=10, "Medium", N357&lt;10, "Low")</f>
        <v>#NAME?</v>
      </c>
      <c r="X357" t="str">
        <f t="shared" si="19"/>
        <v>High Budget</v>
      </c>
      <c r="Y357" s="7">
        <f>VLOOKUP(G357, Lookup_table!B:C,2,0)</f>
        <v>0.3</v>
      </c>
      <c r="Z357" t="str">
        <f t="shared" si="20"/>
        <v>Inefficient Spend</v>
      </c>
      <c r="AA357" t="str">
        <f>VLOOKUP(H357, Lookup_table!E:F,2,0)</f>
        <v>High</v>
      </c>
    </row>
    <row r="358" spans="1:27" ht="17.5" customHeight="1" x14ac:dyDescent="0.35">
      <c r="A358" s="1" t="s">
        <v>551</v>
      </c>
      <c r="B358" s="2">
        <v>45452</v>
      </c>
      <c r="C358" s="1" t="s">
        <v>552</v>
      </c>
      <c r="D358" s="1">
        <v>24</v>
      </c>
      <c r="E358" s="1" t="s">
        <v>23</v>
      </c>
      <c r="F358" s="1" t="s">
        <v>57</v>
      </c>
      <c r="G358" s="1" t="s">
        <v>61</v>
      </c>
      <c r="H358" s="1" t="s">
        <v>36</v>
      </c>
      <c r="I358" s="1">
        <v>1464.38</v>
      </c>
      <c r="J358" s="1">
        <v>21762</v>
      </c>
      <c r="K358" s="1">
        <v>1897</v>
      </c>
      <c r="L358" s="1">
        <v>48</v>
      </c>
      <c r="M358" s="1">
        <v>4</v>
      </c>
      <c r="N358" s="1">
        <v>8.717029685</v>
      </c>
      <c r="O358" s="1">
        <v>2.5303110169999998</v>
      </c>
      <c r="P358" s="1">
        <f t="shared" si="14"/>
        <v>4</v>
      </c>
      <c r="V358" t="str">
        <f t="shared" si="18"/>
        <v>Low Performer</v>
      </c>
      <c r="W358" t="e" cm="1">
        <f t="array" aca="1" ref="W358" ca="1">_xlfn.IFS(N358&gt;=20, "High",N358&gt;=10, "Medium", N358&lt;10, "Low")</f>
        <v>#NAME?</v>
      </c>
      <c r="X358" t="str">
        <f t="shared" si="19"/>
        <v>High Budget</v>
      </c>
      <c r="Y358" s="7">
        <f>VLOOKUP(G358, Lookup_table!B:C,2,0)</f>
        <v>0.2</v>
      </c>
      <c r="Z358" t="str">
        <f t="shared" si="20"/>
        <v>Inefficient Spend</v>
      </c>
      <c r="AA358" t="str">
        <f>VLOOKUP(H358, Lookup_table!E:F,2,0)</f>
        <v>High</v>
      </c>
    </row>
    <row r="359" spans="1:27" ht="17.5" customHeight="1" x14ac:dyDescent="0.35">
      <c r="A359" s="1" t="s">
        <v>553</v>
      </c>
      <c r="B359" s="2">
        <v>45546</v>
      </c>
      <c r="C359" s="1" t="s">
        <v>409</v>
      </c>
      <c r="D359" s="1">
        <v>52</v>
      </c>
      <c r="E359" s="1" t="s">
        <v>23</v>
      </c>
      <c r="F359" s="1" t="s">
        <v>30</v>
      </c>
      <c r="G359" s="1" t="s">
        <v>61</v>
      </c>
      <c r="H359" s="1" t="s">
        <v>26</v>
      </c>
      <c r="I359" s="1">
        <v>1804.18</v>
      </c>
      <c r="J359" s="1">
        <v>4098</v>
      </c>
      <c r="K359" s="1">
        <v>2939</v>
      </c>
      <c r="L359" s="1">
        <v>41</v>
      </c>
      <c r="N359" s="1">
        <v>71.717911180000002</v>
      </c>
      <c r="O359" s="1">
        <v>1.395032324</v>
      </c>
      <c r="P359" s="1">
        <f t="shared" si="14"/>
        <v>3</v>
      </c>
      <c r="V359" t="str">
        <f t="shared" si="18"/>
        <v>Low Performer</v>
      </c>
      <c r="W359" t="e" cm="1">
        <f t="array" aca="1" ref="W359" ca="1">_xlfn.IFS(N359&gt;=20, "High",N359&gt;=10, "Medium", N359&lt;10, "Low")</f>
        <v>#NAME?</v>
      </c>
      <c r="X359" t="str">
        <f t="shared" si="19"/>
        <v>High Budget</v>
      </c>
      <c r="Y359" s="7">
        <f>VLOOKUP(G359, Lookup_table!B:C,2,0)</f>
        <v>0.2</v>
      </c>
      <c r="Z359" t="str">
        <f t="shared" si="20"/>
        <v>Inefficient Spend</v>
      </c>
      <c r="AA359" t="str">
        <f>VLOOKUP(H359, Lookup_table!E:F,2,0)</f>
        <v>High</v>
      </c>
    </row>
    <row r="360" spans="1:27" ht="17.5" customHeight="1" x14ac:dyDescent="0.35">
      <c r="A360" s="1" t="s">
        <v>554</v>
      </c>
      <c r="B360" s="2">
        <v>45529</v>
      </c>
      <c r="C360" s="1" t="s">
        <v>251</v>
      </c>
      <c r="D360" s="1">
        <v>31</v>
      </c>
      <c r="E360" s="1" t="s">
        <v>23</v>
      </c>
      <c r="F360" s="1" t="s">
        <v>30</v>
      </c>
      <c r="G360" s="1" t="s">
        <v>61</v>
      </c>
      <c r="H360" s="1" t="s">
        <v>32</v>
      </c>
      <c r="I360" s="1">
        <v>1538.52</v>
      </c>
      <c r="J360" s="1">
        <v>5285</v>
      </c>
      <c r="K360" s="1">
        <v>3315</v>
      </c>
      <c r="L360" s="1">
        <v>2</v>
      </c>
      <c r="M360" s="1">
        <v>5</v>
      </c>
      <c r="N360" s="1">
        <v>62.724692529999999</v>
      </c>
      <c r="O360" s="1">
        <v>6.0331824999999999E-2</v>
      </c>
      <c r="P360" s="1">
        <f t="shared" si="14"/>
        <v>5</v>
      </c>
      <c r="V360" t="str">
        <f t="shared" si="18"/>
        <v>Low Performer</v>
      </c>
      <c r="W360" t="e" cm="1">
        <f t="array" aca="1" ref="W360" ca="1">_xlfn.IFS(N360&gt;=20, "High",N360&gt;=10, "Medium", N360&lt;10, "Low")</f>
        <v>#NAME?</v>
      </c>
      <c r="X360" t="str">
        <f t="shared" si="19"/>
        <v>High Budget</v>
      </c>
      <c r="Y360" s="7">
        <f>VLOOKUP(G360, Lookup_table!B:C,2,0)</f>
        <v>0.2</v>
      </c>
      <c r="Z360" t="str">
        <f t="shared" si="20"/>
        <v>Inefficient Spend</v>
      </c>
      <c r="AA360" t="str">
        <f>VLOOKUP(H360, Lookup_table!E:F,2,0)</f>
        <v>Medium</v>
      </c>
    </row>
    <row r="361" spans="1:27" ht="17.5" customHeight="1" x14ac:dyDescent="0.35">
      <c r="A361" s="1" t="s">
        <v>555</v>
      </c>
      <c r="B361" s="2">
        <v>45614</v>
      </c>
      <c r="C361" s="1" t="s">
        <v>109</v>
      </c>
      <c r="D361" s="1">
        <v>63</v>
      </c>
      <c r="E361" s="1" t="s">
        <v>23</v>
      </c>
      <c r="F361" s="1" t="s">
        <v>41</v>
      </c>
      <c r="G361" s="1" t="s">
        <v>31</v>
      </c>
      <c r="H361" s="1" t="s">
        <v>32</v>
      </c>
      <c r="I361" s="1">
        <v>585.47</v>
      </c>
      <c r="J361" s="1">
        <v>2479</v>
      </c>
      <c r="K361" s="1">
        <v>42</v>
      </c>
      <c r="L361" s="1">
        <v>244</v>
      </c>
      <c r="M361" s="1">
        <v>4</v>
      </c>
      <c r="N361" s="1">
        <v>1.6942315450000001</v>
      </c>
      <c r="O361" s="1">
        <v>580.95238099999995</v>
      </c>
      <c r="P361" s="1">
        <f t="shared" si="14"/>
        <v>4</v>
      </c>
      <c r="V361" t="str">
        <f t="shared" si="18"/>
        <v>Low Performer</v>
      </c>
      <c r="W361" t="e" cm="1">
        <f t="array" aca="1" ref="W361" ca="1">_xlfn.IFS(N361&gt;=20, "High",N361&gt;=10, "Medium", N361&lt;10, "Low")</f>
        <v>#NAME?</v>
      </c>
      <c r="X361" t="str">
        <f t="shared" si="19"/>
        <v>Medium Budget</v>
      </c>
      <c r="Y361" s="7">
        <f>VLOOKUP(G361, Lookup_table!B:C,2,0)</f>
        <v>1.2</v>
      </c>
      <c r="Z361" t="str">
        <f t="shared" si="20"/>
        <v>Inefficient Spend</v>
      </c>
      <c r="AA361" t="str">
        <f>VLOOKUP(H361, Lookup_table!E:F,2,0)</f>
        <v>Medium</v>
      </c>
    </row>
    <row r="362" spans="1:27" ht="17.5" customHeight="1" x14ac:dyDescent="0.35">
      <c r="A362" s="1" t="s">
        <v>556</v>
      </c>
      <c r="B362" s="2">
        <v>45487</v>
      </c>
      <c r="C362" s="1" t="s">
        <v>71</v>
      </c>
      <c r="D362" s="1">
        <v>46</v>
      </c>
      <c r="E362" s="1" t="s">
        <v>23</v>
      </c>
      <c r="F362" s="1" t="s">
        <v>45</v>
      </c>
      <c r="G362" s="1" t="s">
        <v>61</v>
      </c>
      <c r="H362" s="1" t="s">
        <v>32</v>
      </c>
      <c r="I362" s="1">
        <v>932.92</v>
      </c>
      <c r="J362" s="1">
        <v>14844</v>
      </c>
      <c r="K362" s="1">
        <v>1268</v>
      </c>
      <c r="L362" s="1">
        <v>307</v>
      </c>
      <c r="M362" s="1">
        <v>3</v>
      </c>
      <c r="N362" s="1">
        <v>8.5421719209999996</v>
      </c>
      <c r="O362" s="1">
        <v>24.211356469999998</v>
      </c>
      <c r="P362" s="1">
        <f t="shared" si="14"/>
        <v>3</v>
      </c>
      <c r="V362" t="str">
        <f t="shared" si="18"/>
        <v>Average Performer</v>
      </c>
      <c r="W362" t="e" cm="1">
        <f t="array" aca="1" ref="W362" ca="1">_xlfn.IFS(N362&gt;=20, "High",N362&gt;=10, "Medium", N362&lt;10, "Low")</f>
        <v>#NAME?</v>
      </c>
      <c r="X362" t="str">
        <f t="shared" si="19"/>
        <v>Medium Budget</v>
      </c>
      <c r="Y362" s="7">
        <f>VLOOKUP(G362, Lookup_table!B:C,2,0)</f>
        <v>0.2</v>
      </c>
      <c r="Z362" t="str">
        <f t="shared" si="20"/>
        <v>Inefficient Spend</v>
      </c>
      <c r="AA362" t="str">
        <f>VLOOKUP(H362, Lookup_table!E:F,2,0)</f>
        <v>Medium</v>
      </c>
    </row>
    <row r="363" spans="1:27" ht="17.5" customHeight="1" x14ac:dyDescent="0.35">
      <c r="A363" s="1" t="s">
        <v>557</v>
      </c>
      <c r="B363" s="2">
        <v>45320</v>
      </c>
      <c r="C363" s="1" t="s">
        <v>338</v>
      </c>
      <c r="D363" s="1">
        <v>22</v>
      </c>
      <c r="E363" s="1" t="s">
        <v>35</v>
      </c>
      <c r="F363" s="1" t="s">
        <v>57</v>
      </c>
      <c r="G363" s="1" t="s">
        <v>25</v>
      </c>
      <c r="H363" s="1" t="s">
        <v>62</v>
      </c>
      <c r="I363" s="1">
        <v>1480.9</v>
      </c>
      <c r="J363" s="1">
        <v>20810</v>
      </c>
      <c r="K363" s="1">
        <v>1230</v>
      </c>
      <c r="L363" s="1">
        <v>131</v>
      </c>
      <c r="N363" s="1">
        <v>5.9106198939999999</v>
      </c>
      <c r="O363" s="1">
        <v>10.650406500000001</v>
      </c>
      <c r="P363" s="1">
        <f t="shared" si="14"/>
        <v>3</v>
      </c>
      <c r="V363" t="str">
        <f t="shared" si="18"/>
        <v>Average Performer</v>
      </c>
      <c r="W363" t="e" cm="1">
        <f t="array" aca="1" ref="W363" ca="1">_xlfn.IFS(N363&gt;=20, "High",N363&gt;=10, "Medium", N363&lt;10, "Low")</f>
        <v>#NAME?</v>
      </c>
      <c r="X363" t="str">
        <f t="shared" si="19"/>
        <v>High Budget</v>
      </c>
      <c r="Y363" s="7">
        <f>VLOOKUP(G363, Lookup_table!B:C,2,0)</f>
        <v>0.5</v>
      </c>
      <c r="Z363" t="str">
        <f t="shared" si="20"/>
        <v>Inefficient Spend</v>
      </c>
      <c r="AA363" t="str">
        <f>VLOOKUP(H363, Lookup_table!E:F,2,0)</f>
        <v>Medium</v>
      </c>
    </row>
    <row r="364" spans="1:27" ht="17.5" customHeight="1" x14ac:dyDescent="0.35">
      <c r="A364" s="1" t="s">
        <v>558</v>
      </c>
      <c r="B364" s="2">
        <v>45473</v>
      </c>
      <c r="C364" s="1" t="s">
        <v>543</v>
      </c>
      <c r="D364" s="1">
        <v>38</v>
      </c>
      <c r="E364" s="1" t="s">
        <v>23</v>
      </c>
      <c r="F364" s="1" t="s">
        <v>45</v>
      </c>
      <c r="G364" s="1" t="s">
        <v>46</v>
      </c>
      <c r="H364" s="1" t="s">
        <v>36</v>
      </c>
      <c r="I364" s="1">
        <v>394.82</v>
      </c>
      <c r="J364" s="1">
        <v>11551</v>
      </c>
      <c r="K364" s="1">
        <v>608</v>
      </c>
      <c r="L364" s="1">
        <v>250</v>
      </c>
      <c r="M364" s="1">
        <v>1</v>
      </c>
      <c r="N364" s="1">
        <v>5.2636135399999997</v>
      </c>
      <c r="O364" s="1">
        <v>41.118421050000002</v>
      </c>
      <c r="P364" s="1">
        <f t="shared" si="14"/>
        <v>1</v>
      </c>
      <c r="V364" t="str">
        <f t="shared" si="18"/>
        <v>Low Performer</v>
      </c>
      <c r="W364" t="e" cm="1">
        <f t="array" aca="1" ref="W364" ca="1">_xlfn.IFS(N364&gt;=20, "High",N364&gt;=10, "Medium", N364&lt;10, "Low")</f>
        <v>#NAME?</v>
      </c>
      <c r="X364" t="str">
        <f t="shared" si="19"/>
        <v>Low Budget</v>
      </c>
      <c r="Y364" s="7">
        <f>VLOOKUP(G364, Lookup_table!B:C,2,0)</f>
        <v>0.75</v>
      </c>
      <c r="Z364" t="str">
        <f t="shared" si="20"/>
        <v>Efficient Spend</v>
      </c>
      <c r="AA364" t="str">
        <f>VLOOKUP(H364, Lookup_table!E:F,2,0)</f>
        <v>High</v>
      </c>
    </row>
    <row r="365" spans="1:27" ht="17.5" customHeight="1" x14ac:dyDescent="0.35">
      <c r="A365" s="1" t="s">
        <v>559</v>
      </c>
      <c r="B365" s="2">
        <v>45371</v>
      </c>
      <c r="C365" s="1" t="s">
        <v>155</v>
      </c>
      <c r="D365" s="1">
        <v>35</v>
      </c>
      <c r="E365" s="1" t="s">
        <v>29</v>
      </c>
      <c r="F365" s="1" t="s">
        <v>41</v>
      </c>
      <c r="G365" s="1" t="s">
        <v>42</v>
      </c>
      <c r="H365" s="1" t="s">
        <v>32</v>
      </c>
      <c r="I365" s="1">
        <v>1536.33</v>
      </c>
      <c r="J365" s="1">
        <v>1276</v>
      </c>
      <c r="K365" s="1">
        <v>1889</v>
      </c>
      <c r="L365" s="1">
        <v>323</v>
      </c>
      <c r="N365" s="1">
        <v>148.0407524</v>
      </c>
      <c r="O365" s="1">
        <v>17.098994179999998</v>
      </c>
      <c r="P365" s="1">
        <f t="shared" si="14"/>
        <v>3</v>
      </c>
      <c r="U365" s="1">
        <f>COUNTIF(N361:N1000, N365&gt;100)</f>
        <v>0</v>
      </c>
      <c r="V365" t="str">
        <f t="shared" si="18"/>
        <v>Average Performer</v>
      </c>
      <c r="W365" t="e" cm="1">
        <f t="array" aca="1" ref="W365" ca="1">_xlfn.IFS(N365&gt;=20, "High",N365&gt;=10, "Medium", N365&lt;10, "Low")</f>
        <v>#NAME?</v>
      </c>
      <c r="X365" t="str">
        <f t="shared" si="19"/>
        <v>High Budget</v>
      </c>
      <c r="Y365" s="7">
        <f>VLOOKUP(G365, Lookup_table!B:C,2,0)</f>
        <v>0.3</v>
      </c>
      <c r="Z365" t="str">
        <f t="shared" si="20"/>
        <v>Inefficient Spend</v>
      </c>
      <c r="AA365" t="str">
        <f>VLOOKUP(H365, Lookup_table!E:F,2,0)</f>
        <v>Medium</v>
      </c>
    </row>
    <row r="366" spans="1:27" ht="17.5" customHeight="1" x14ac:dyDescent="0.35">
      <c r="A366" s="1" t="s">
        <v>560</v>
      </c>
      <c r="B366" s="2">
        <v>45394</v>
      </c>
      <c r="C366" s="1" t="s">
        <v>128</v>
      </c>
      <c r="D366" s="1">
        <v>57</v>
      </c>
      <c r="E366" s="1" t="s">
        <v>35</v>
      </c>
      <c r="F366" s="1" t="s">
        <v>57</v>
      </c>
      <c r="G366" s="1" t="s">
        <v>25</v>
      </c>
      <c r="H366" s="1" t="s">
        <v>36</v>
      </c>
      <c r="I366" s="1">
        <v>1246.4100000000001</v>
      </c>
      <c r="J366" s="1">
        <v>27233</v>
      </c>
      <c r="K366" s="1">
        <v>1746</v>
      </c>
      <c r="L366" s="1">
        <v>374</v>
      </c>
      <c r="N366" s="1">
        <v>6.411339184</v>
      </c>
      <c r="O366" s="1">
        <v>21.420389459999999</v>
      </c>
      <c r="P366" s="1">
        <f t="shared" si="14"/>
        <v>3</v>
      </c>
      <c r="V366" t="str">
        <f t="shared" si="18"/>
        <v>Average Performer</v>
      </c>
      <c r="W366" t="e" cm="1">
        <f t="array" aca="1" ref="W366" ca="1">_xlfn.IFS(N366&gt;=20, "High",N366&gt;=10, "Medium", N366&lt;10, "Low")</f>
        <v>#NAME?</v>
      </c>
      <c r="X366" t="str">
        <f t="shared" si="19"/>
        <v>High Budget</v>
      </c>
      <c r="Y366" s="7">
        <f>VLOOKUP(G366, Lookup_table!B:C,2,0)</f>
        <v>0.5</v>
      </c>
      <c r="Z366" t="str">
        <f t="shared" si="20"/>
        <v>Inefficient Spend</v>
      </c>
      <c r="AA366" t="str">
        <f>VLOOKUP(H366, Lookup_table!E:F,2,0)</f>
        <v>High</v>
      </c>
    </row>
    <row r="367" spans="1:27" ht="17.5" customHeight="1" x14ac:dyDescent="0.35">
      <c r="A367" s="1" t="s">
        <v>561</v>
      </c>
      <c r="B367" s="2">
        <v>45621</v>
      </c>
      <c r="C367" s="1" t="s">
        <v>251</v>
      </c>
      <c r="D367" s="1">
        <v>40</v>
      </c>
      <c r="E367" s="1" t="s">
        <v>29</v>
      </c>
      <c r="F367" s="1" t="s">
        <v>50</v>
      </c>
      <c r="G367" s="1" t="s">
        <v>46</v>
      </c>
      <c r="H367" s="1" t="s">
        <v>62</v>
      </c>
      <c r="I367" s="1">
        <v>754.35</v>
      </c>
      <c r="J367" s="1">
        <v>11952</v>
      </c>
      <c r="K367" s="1">
        <v>1503</v>
      </c>
      <c r="L367" s="1">
        <v>31</v>
      </c>
      <c r="M367" s="1">
        <v>5</v>
      </c>
      <c r="N367" s="1">
        <v>12.5753012</v>
      </c>
      <c r="O367" s="1">
        <v>2.0625415829999998</v>
      </c>
      <c r="P367" s="1">
        <f t="shared" si="14"/>
        <v>5</v>
      </c>
      <c r="V367" t="str">
        <f t="shared" si="18"/>
        <v>Low Performer</v>
      </c>
      <c r="W367" t="e" cm="1">
        <f t="array" aca="1" ref="W367" ca="1">_xlfn.IFS(N367&gt;=20, "High",N367&gt;=10, "Medium", N367&lt;10, "Low")</f>
        <v>#NAME?</v>
      </c>
      <c r="X367" t="str">
        <f t="shared" si="19"/>
        <v>Medium Budget</v>
      </c>
      <c r="Y367" s="7">
        <f>VLOOKUP(G367, Lookup_table!B:C,2,0)</f>
        <v>0.75</v>
      </c>
      <c r="Z367" t="str">
        <f t="shared" si="20"/>
        <v>Efficient Spend</v>
      </c>
      <c r="AA367" t="str">
        <f>VLOOKUP(H367, Lookup_table!E:F,2,0)</f>
        <v>Medium</v>
      </c>
    </row>
    <row r="368" spans="1:27" ht="17.5" customHeight="1" x14ac:dyDescent="0.35">
      <c r="A368" s="1" t="s">
        <v>562</v>
      </c>
      <c r="B368" s="2">
        <v>45653</v>
      </c>
      <c r="C368" s="1" t="s">
        <v>102</v>
      </c>
      <c r="D368" s="1">
        <v>36</v>
      </c>
      <c r="E368" s="1" t="s">
        <v>35</v>
      </c>
      <c r="F368" s="1" t="s">
        <v>24</v>
      </c>
      <c r="G368" s="1" t="s">
        <v>42</v>
      </c>
      <c r="H368" s="1" t="s">
        <v>36</v>
      </c>
      <c r="I368" s="1">
        <v>814.8</v>
      </c>
      <c r="J368" s="1">
        <v>39742</v>
      </c>
      <c r="K368" s="1">
        <v>3594</v>
      </c>
      <c r="L368" s="1">
        <v>5</v>
      </c>
      <c r="M368" s="1">
        <v>1</v>
      </c>
      <c r="N368" s="1">
        <v>9.0433294750000002</v>
      </c>
      <c r="O368" s="1">
        <v>0.13912075700000001</v>
      </c>
      <c r="P368" s="1">
        <f t="shared" si="14"/>
        <v>1</v>
      </c>
      <c r="V368" t="str">
        <f t="shared" si="18"/>
        <v>Low Performer</v>
      </c>
      <c r="W368" t="e" cm="1">
        <f t="array" aca="1" ref="W368" ca="1">_xlfn.IFS(N368&gt;=20, "High",N368&gt;=10, "Medium", N368&lt;10, "Low")</f>
        <v>#NAME?</v>
      </c>
      <c r="X368" t="str">
        <f t="shared" si="19"/>
        <v>Medium Budget</v>
      </c>
      <c r="Y368" s="7">
        <f>VLOOKUP(G368, Lookup_table!B:C,2,0)</f>
        <v>0.3</v>
      </c>
      <c r="Z368" t="str">
        <f t="shared" si="20"/>
        <v>Efficient Spend</v>
      </c>
      <c r="AA368" t="str">
        <f>VLOOKUP(H368, Lookup_table!E:F,2,0)</f>
        <v>High</v>
      </c>
    </row>
    <row r="369" spans="1:27" ht="17.5" customHeight="1" x14ac:dyDescent="0.35">
      <c r="A369" s="1" t="s">
        <v>563</v>
      </c>
      <c r="B369" s="2">
        <v>45333</v>
      </c>
      <c r="C369" s="1" t="s">
        <v>359</v>
      </c>
      <c r="D369" s="1">
        <v>49</v>
      </c>
      <c r="E369" s="1" t="s">
        <v>23</v>
      </c>
      <c r="F369" s="1" t="s">
        <v>30</v>
      </c>
      <c r="G369" s="1" t="s">
        <v>31</v>
      </c>
      <c r="H369" s="1" t="s">
        <v>26</v>
      </c>
      <c r="I369" s="1">
        <v>1912.73</v>
      </c>
      <c r="J369" s="1">
        <v>45733</v>
      </c>
      <c r="K369" s="1">
        <v>4890</v>
      </c>
      <c r="L369" s="1">
        <v>55</v>
      </c>
      <c r="N369" s="1">
        <v>10.69249776</v>
      </c>
      <c r="O369" s="1">
        <v>1.124744376</v>
      </c>
      <c r="P369" s="1">
        <f t="shared" si="14"/>
        <v>3</v>
      </c>
      <c r="V369" t="str">
        <f t="shared" si="18"/>
        <v>Low Performer</v>
      </c>
      <c r="W369" t="e" cm="1">
        <f t="array" aca="1" ref="W369" ca="1">_xlfn.IFS(N369&gt;=20, "High",N369&gt;=10, "Medium", N369&lt;10, "Low")</f>
        <v>#NAME?</v>
      </c>
      <c r="X369" t="str">
        <f t="shared" si="19"/>
        <v>High Budget</v>
      </c>
      <c r="Y369" s="7">
        <f>VLOOKUP(G369, Lookup_table!B:C,2,0)</f>
        <v>1.2</v>
      </c>
      <c r="Z369" t="str">
        <f t="shared" si="20"/>
        <v>Efficient Spend</v>
      </c>
      <c r="AA369" t="str">
        <f>VLOOKUP(H369, Lookup_table!E:F,2,0)</f>
        <v>High</v>
      </c>
    </row>
    <row r="370" spans="1:27" ht="17.5" customHeight="1" x14ac:dyDescent="0.35">
      <c r="A370" s="1" t="s">
        <v>564</v>
      </c>
      <c r="B370" s="2">
        <v>45584</v>
      </c>
      <c r="C370" s="1" t="s">
        <v>157</v>
      </c>
      <c r="D370" s="1">
        <v>41</v>
      </c>
      <c r="E370" s="1" t="s">
        <v>35</v>
      </c>
      <c r="F370" s="1" t="s">
        <v>24</v>
      </c>
      <c r="G370" s="1" t="s">
        <v>25</v>
      </c>
      <c r="H370" s="1" t="s">
        <v>32</v>
      </c>
      <c r="I370" s="1">
        <v>732.57</v>
      </c>
      <c r="J370" s="1">
        <v>30352</v>
      </c>
      <c r="K370" s="1">
        <v>3064</v>
      </c>
      <c r="L370" s="1">
        <v>35</v>
      </c>
      <c r="M370" s="1">
        <v>1</v>
      </c>
      <c r="N370" s="1">
        <v>10.09488666</v>
      </c>
      <c r="O370" s="1">
        <v>1.1422976499999999</v>
      </c>
      <c r="P370" s="1">
        <f t="shared" si="14"/>
        <v>1</v>
      </c>
      <c r="V370" t="str">
        <f t="shared" si="18"/>
        <v>Low Performer</v>
      </c>
      <c r="W370" t="e" cm="1">
        <f t="array" aca="1" ref="W370" ca="1">_xlfn.IFS(N370&gt;=20, "High",N370&gt;=10, "Medium", N370&lt;10, "Low")</f>
        <v>#NAME?</v>
      </c>
      <c r="X370" t="str">
        <f t="shared" si="19"/>
        <v>Medium Budget</v>
      </c>
      <c r="Y370" s="7">
        <f>VLOOKUP(G370, Lookup_table!B:C,2,0)</f>
        <v>0.5</v>
      </c>
      <c r="Z370" t="str">
        <f t="shared" si="20"/>
        <v>Efficient Spend</v>
      </c>
      <c r="AA370" t="str">
        <f>VLOOKUP(H370, Lookup_table!E:F,2,0)</f>
        <v>Medium</v>
      </c>
    </row>
    <row r="371" spans="1:27" ht="17.5" customHeight="1" x14ac:dyDescent="0.35">
      <c r="A371" s="1" t="s">
        <v>565</v>
      </c>
      <c r="B371" s="2">
        <v>45560</v>
      </c>
      <c r="C371" s="1" t="s">
        <v>85</v>
      </c>
      <c r="D371" s="1">
        <v>32</v>
      </c>
      <c r="E371" s="1" t="s">
        <v>23</v>
      </c>
      <c r="F371" s="1" t="s">
        <v>24</v>
      </c>
      <c r="G371" s="1" t="s">
        <v>25</v>
      </c>
      <c r="H371" s="1" t="s">
        <v>26</v>
      </c>
      <c r="I371" s="1">
        <v>1624.44</v>
      </c>
      <c r="J371" s="1">
        <v>37407</v>
      </c>
      <c r="K371" s="1">
        <v>2459</v>
      </c>
      <c r="L371" s="1">
        <v>171</v>
      </c>
      <c r="M371" s="1">
        <v>3</v>
      </c>
      <c r="N371" s="1">
        <v>6.5736359499999999</v>
      </c>
      <c r="O371" s="1">
        <v>6.9540463600000004</v>
      </c>
      <c r="P371" s="1">
        <f t="shared" si="14"/>
        <v>3</v>
      </c>
      <c r="V371" t="str">
        <f t="shared" si="18"/>
        <v>Average Performer</v>
      </c>
      <c r="W371" t="e" cm="1">
        <f t="array" aca="1" ref="W371" ca="1">_xlfn.IFS(N371&gt;=20, "High",N371&gt;=10, "Medium", N371&lt;10, "Low")</f>
        <v>#NAME?</v>
      </c>
      <c r="X371" t="str">
        <f t="shared" si="19"/>
        <v>High Budget</v>
      </c>
      <c r="Y371" s="7">
        <f>VLOOKUP(G371, Lookup_table!B:C,2,0)</f>
        <v>0.5</v>
      </c>
      <c r="Z371" t="str">
        <f t="shared" si="20"/>
        <v>Inefficient Spend</v>
      </c>
      <c r="AA371" t="str">
        <f>VLOOKUP(H371, Lookup_table!E:F,2,0)</f>
        <v>High</v>
      </c>
    </row>
    <row r="372" spans="1:27" ht="17.5" customHeight="1" x14ac:dyDescent="0.35">
      <c r="A372" s="1" t="s">
        <v>566</v>
      </c>
      <c r="B372" s="2">
        <v>45646</v>
      </c>
      <c r="C372" s="1" t="s">
        <v>567</v>
      </c>
      <c r="D372" s="1">
        <v>34</v>
      </c>
      <c r="E372" s="1" t="s">
        <v>29</v>
      </c>
      <c r="F372" s="1" t="s">
        <v>50</v>
      </c>
      <c r="G372" s="1" t="s">
        <v>61</v>
      </c>
      <c r="H372" s="1" t="s">
        <v>32</v>
      </c>
      <c r="I372" s="1">
        <v>1540.78</v>
      </c>
      <c r="J372" s="1">
        <v>12433</v>
      </c>
      <c r="K372" s="1">
        <v>4181</v>
      </c>
      <c r="L372" s="1">
        <v>40</v>
      </c>
      <c r="M372" s="1">
        <v>1</v>
      </c>
      <c r="N372" s="1">
        <v>33.62824741</v>
      </c>
      <c r="O372" s="1">
        <v>0.95670892100000005</v>
      </c>
      <c r="P372" s="1">
        <f t="shared" si="14"/>
        <v>1</v>
      </c>
      <c r="V372" t="str">
        <f t="shared" si="18"/>
        <v>Low Performer</v>
      </c>
      <c r="W372" t="e" cm="1">
        <f t="array" aca="1" ref="W372" ca="1">_xlfn.IFS(N372&gt;=20, "High",N372&gt;=10, "Medium", N372&lt;10, "Low")</f>
        <v>#NAME?</v>
      </c>
      <c r="X372" t="str">
        <f t="shared" si="19"/>
        <v>High Budget</v>
      </c>
      <c r="Y372" s="7">
        <f>VLOOKUP(G372, Lookup_table!B:C,2,0)</f>
        <v>0.2</v>
      </c>
      <c r="Z372" t="str">
        <f t="shared" si="20"/>
        <v>Inefficient Spend</v>
      </c>
      <c r="AA372" t="str">
        <f>VLOOKUP(H372, Lookup_table!E:F,2,0)</f>
        <v>Medium</v>
      </c>
    </row>
    <row r="373" spans="1:27" ht="17.5" customHeight="1" x14ac:dyDescent="0.35">
      <c r="A373" s="1" t="s">
        <v>568</v>
      </c>
      <c r="B373" s="2">
        <v>45456</v>
      </c>
      <c r="C373" s="1" t="s">
        <v>134</v>
      </c>
      <c r="D373" s="1">
        <v>35</v>
      </c>
      <c r="E373" s="1" t="s">
        <v>23</v>
      </c>
      <c r="F373" s="1" t="s">
        <v>41</v>
      </c>
      <c r="G373" s="1" t="s">
        <v>61</v>
      </c>
      <c r="H373" s="1" t="s">
        <v>32</v>
      </c>
      <c r="I373" s="1">
        <v>1252.26</v>
      </c>
      <c r="J373" s="1">
        <v>31563</v>
      </c>
      <c r="K373" s="1">
        <v>1150</v>
      </c>
      <c r="L373" s="1">
        <v>54</v>
      </c>
      <c r="M373" s="1">
        <v>2</v>
      </c>
      <c r="N373" s="1">
        <v>3.6435066379999999</v>
      </c>
      <c r="O373" s="1">
        <v>4.6956521740000001</v>
      </c>
      <c r="P373" s="1">
        <f t="shared" si="14"/>
        <v>2</v>
      </c>
      <c r="V373" t="str">
        <f t="shared" si="18"/>
        <v>Low Performer</v>
      </c>
      <c r="W373" t="e" cm="1">
        <f t="array" aca="1" ref="W373" ca="1">_xlfn.IFS(N373&gt;=20, "High",N373&gt;=10, "Medium", N373&lt;10, "Low")</f>
        <v>#NAME?</v>
      </c>
      <c r="X373" t="str">
        <f t="shared" si="19"/>
        <v>High Budget</v>
      </c>
      <c r="Y373" s="7">
        <f>VLOOKUP(G373, Lookup_table!B:C,2,0)</f>
        <v>0.2</v>
      </c>
      <c r="Z373" t="str">
        <f t="shared" si="20"/>
        <v>Inefficient Spend</v>
      </c>
      <c r="AA373" t="str">
        <f>VLOOKUP(H373, Lookup_table!E:F,2,0)</f>
        <v>Medium</v>
      </c>
    </row>
    <row r="374" spans="1:27" ht="17.5" customHeight="1" x14ac:dyDescent="0.35">
      <c r="A374" s="1" t="s">
        <v>569</v>
      </c>
      <c r="B374" s="2">
        <v>45634</v>
      </c>
      <c r="C374" s="1" t="s">
        <v>570</v>
      </c>
      <c r="D374" s="1">
        <v>25</v>
      </c>
      <c r="E374" s="1" t="s">
        <v>29</v>
      </c>
      <c r="F374" s="1" t="s">
        <v>50</v>
      </c>
      <c r="G374" s="1" t="s">
        <v>42</v>
      </c>
      <c r="H374" s="1" t="s">
        <v>32</v>
      </c>
      <c r="I374" s="1">
        <v>1555.52</v>
      </c>
      <c r="J374" s="1">
        <v>10498</v>
      </c>
      <c r="K374" s="1">
        <v>229</v>
      </c>
      <c r="L374" s="1">
        <v>370</v>
      </c>
      <c r="M374" s="1">
        <v>4</v>
      </c>
      <c r="N374" s="1">
        <v>2.1813678799999998</v>
      </c>
      <c r="O374" s="1">
        <v>161.57205239999999</v>
      </c>
      <c r="P374" s="1">
        <f t="shared" si="14"/>
        <v>4</v>
      </c>
      <c r="V374" t="str">
        <f t="shared" si="18"/>
        <v>Low Performer</v>
      </c>
      <c r="W374" t="e" cm="1">
        <f t="array" aca="1" ref="W374" ca="1">_xlfn.IFS(N374&gt;=20, "High",N374&gt;=10, "Medium", N374&lt;10, "Low")</f>
        <v>#NAME?</v>
      </c>
      <c r="X374" t="str">
        <f t="shared" si="19"/>
        <v>High Budget</v>
      </c>
      <c r="Y374" s="7">
        <f>VLOOKUP(G374, Lookup_table!B:C,2,0)</f>
        <v>0.3</v>
      </c>
      <c r="Z374" t="str">
        <f t="shared" si="20"/>
        <v>Inefficient Spend</v>
      </c>
      <c r="AA374" t="str">
        <f>VLOOKUP(H374, Lookup_table!E:F,2,0)</f>
        <v>Medium</v>
      </c>
    </row>
    <row r="375" spans="1:27" ht="17.5" customHeight="1" x14ac:dyDescent="0.35">
      <c r="A375" s="1" t="s">
        <v>571</v>
      </c>
      <c r="B375" s="2">
        <v>45489</v>
      </c>
      <c r="C375" s="1" t="s">
        <v>546</v>
      </c>
      <c r="D375" s="1">
        <v>25</v>
      </c>
      <c r="E375" s="1" t="s">
        <v>35</v>
      </c>
      <c r="F375" s="1" t="s">
        <v>45</v>
      </c>
      <c r="G375" s="1" t="s">
        <v>42</v>
      </c>
      <c r="H375" s="1" t="s">
        <v>26</v>
      </c>
      <c r="I375" s="1">
        <v>1428.72</v>
      </c>
      <c r="J375" s="1">
        <v>19102</v>
      </c>
      <c r="K375" s="1">
        <v>4341</v>
      </c>
      <c r="L375" s="1">
        <v>271</v>
      </c>
      <c r="M375" s="1">
        <v>2</v>
      </c>
      <c r="N375" s="1">
        <v>22.725369069999999</v>
      </c>
      <c r="O375" s="1">
        <v>6.2428011980000004</v>
      </c>
      <c r="P375" s="1">
        <f t="shared" si="14"/>
        <v>2</v>
      </c>
      <c r="V375" t="str">
        <f t="shared" si="18"/>
        <v>Top Performer</v>
      </c>
      <c r="W375" t="e" cm="1">
        <f t="array" aca="1" ref="W375" ca="1">_xlfn.IFS(N375&gt;=20, "High",N375&gt;=10, "Medium", N375&lt;10, "Low")</f>
        <v>#NAME?</v>
      </c>
      <c r="X375" t="str">
        <f t="shared" si="19"/>
        <v>High Budget</v>
      </c>
      <c r="Y375" s="7">
        <f>VLOOKUP(G375, Lookup_table!B:C,2,0)</f>
        <v>0.3</v>
      </c>
      <c r="Z375" t="str">
        <f t="shared" si="20"/>
        <v>Inefficient Spend</v>
      </c>
      <c r="AA375" t="str">
        <f>VLOOKUP(H375, Lookup_table!E:F,2,0)</f>
        <v>High</v>
      </c>
    </row>
    <row r="376" spans="1:27" ht="17.5" customHeight="1" x14ac:dyDescent="0.35">
      <c r="A376" s="1" t="s">
        <v>572</v>
      </c>
      <c r="B376" s="2">
        <v>45351</v>
      </c>
      <c r="C376" s="1" t="s">
        <v>384</v>
      </c>
      <c r="D376" s="1">
        <v>53</v>
      </c>
      <c r="E376" s="1" t="s">
        <v>23</v>
      </c>
      <c r="F376" s="1" t="s">
        <v>57</v>
      </c>
      <c r="G376" s="1" t="s">
        <v>42</v>
      </c>
      <c r="H376" s="1" t="s">
        <v>62</v>
      </c>
      <c r="I376" s="1">
        <v>388.97</v>
      </c>
      <c r="J376" s="1">
        <v>29954</v>
      </c>
      <c r="K376" s="1">
        <v>1919</v>
      </c>
      <c r="L376" s="1">
        <v>204</v>
      </c>
      <c r="M376" s="1">
        <v>4</v>
      </c>
      <c r="N376" s="1">
        <v>6.4064899510000002</v>
      </c>
      <c r="O376" s="1">
        <v>10.63053674</v>
      </c>
      <c r="P376" s="1">
        <f t="shared" si="14"/>
        <v>4</v>
      </c>
      <c r="V376" t="str">
        <f t="shared" si="18"/>
        <v>Average Performer</v>
      </c>
      <c r="W376" t="e" cm="1">
        <f t="array" aca="1" ref="W376" ca="1">_xlfn.IFS(N376&gt;=20, "High",N376&gt;=10, "Medium", N376&lt;10, "Low")</f>
        <v>#NAME?</v>
      </c>
      <c r="X376" t="str">
        <f t="shared" si="19"/>
        <v>Low Budget</v>
      </c>
      <c r="Y376" s="7">
        <f>VLOOKUP(G376, Lookup_table!B:C,2,0)</f>
        <v>0.3</v>
      </c>
      <c r="Z376" t="str">
        <f t="shared" si="20"/>
        <v>Efficient Spend</v>
      </c>
      <c r="AA376" t="str">
        <f>VLOOKUP(H376, Lookup_table!E:F,2,0)</f>
        <v>Medium</v>
      </c>
    </row>
    <row r="377" spans="1:27" ht="17.5" customHeight="1" x14ac:dyDescent="0.35">
      <c r="A377" s="1" t="s">
        <v>573</v>
      </c>
      <c r="B377" s="2">
        <v>45627</v>
      </c>
      <c r="C377" s="1" t="s">
        <v>230</v>
      </c>
      <c r="D377" s="1">
        <v>18</v>
      </c>
      <c r="E377" s="1" t="s">
        <v>35</v>
      </c>
      <c r="F377" s="1" t="s">
        <v>57</v>
      </c>
      <c r="G377" s="1" t="s">
        <v>42</v>
      </c>
      <c r="H377" s="1" t="s">
        <v>26</v>
      </c>
      <c r="I377" s="1">
        <v>269.47000000000003</v>
      </c>
      <c r="J377" s="1">
        <v>22870</v>
      </c>
      <c r="K377" s="1">
        <v>2272</v>
      </c>
      <c r="L377" s="1">
        <v>97</v>
      </c>
      <c r="M377" s="1">
        <v>2</v>
      </c>
      <c r="N377" s="1">
        <v>9.934411893</v>
      </c>
      <c r="O377" s="1">
        <v>4.2693661970000001</v>
      </c>
      <c r="P377" s="1">
        <f t="shared" si="14"/>
        <v>2</v>
      </c>
      <c r="V377" t="str">
        <f t="shared" si="18"/>
        <v>Low Performer</v>
      </c>
      <c r="W377" t="e" cm="1">
        <f t="array" aca="1" ref="W377" ca="1">_xlfn.IFS(N377&gt;=20, "High",N377&gt;=10, "Medium", N377&lt;10, "Low")</f>
        <v>#NAME?</v>
      </c>
      <c r="X377" t="str">
        <f t="shared" si="19"/>
        <v>Low Budget</v>
      </c>
      <c r="Y377" s="7">
        <f>VLOOKUP(G377, Lookup_table!B:C,2,0)</f>
        <v>0.3</v>
      </c>
      <c r="Z377" t="str">
        <f t="shared" si="20"/>
        <v>Efficient Spend</v>
      </c>
      <c r="AA377" t="str">
        <f>VLOOKUP(H377, Lookup_table!E:F,2,0)</f>
        <v>High</v>
      </c>
    </row>
    <row r="378" spans="1:27" ht="17.5" customHeight="1" x14ac:dyDescent="0.35">
      <c r="A378" s="1" t="s">
        <v>574</v>
      </c>
      <c r="B378" s="2">
        <v>45423</v>
      </c>
      <c r="C378" s="1" t="s">
        <v>199</v>
      </c>
      <c r="D378" s="1">
        <v>39</v>
      </c>
      <c r="E378" s="1" t="s">
        <v>29</v>
      </c>
      <c r="F378" s="1" t="s">
        <v>24</v>
      </c>
      <c r="G378" s="1" t="s">
        <v>46</v>
      </c>
      <c r="H378" s="1" t="s">
        <v>36</v>
      </c>
      <c r="I378" s="1">
        <v>1892.57</v>
      </c>
      <c r="J378" s="1">
        <v>26130</v>
      </c>
      <c r="K378" s="1">
        <v>2618</v>
      </c>
      <c r="L378" s="1">
        <v>146</v>
      </c>
      <c r="M378" s="1">
        <v>5</v>
      </c>
      <c r="N378" s="1">
        <v>10.019135090000001</v>
      </c>
      <c r="O378" s="1">
        <v>5.5767761650000001</v>
      </c>
      <c r="P378" s="1">
        <f t="shared" si="14"/>
        <v>5</v>
      </c>
      <c r="V378" t="str">
        <f t="shared" si="18"/>
        <v>Average Performer</v>
      </c>
      <c r="W378" t="e" cm="1">
        <f t="array" aca="1" ref="W378" ca="1">_xlfn.IFS(N378&gt;=20, "High",N378&gt;=10, "Medium", N378&lt;10, "Low")</f>
        <v>#NAME?</v>
      </c>
      <c r="X378" t="str">
        <f t="shared" si="19"/>
        <v>High Budget</v>
      </c>
      <c r="Y378" s="7">
        <f>VLOOKUP(G378, Lookup_table!B:C,2,0)</f>
        <v>0.75</v>
      </c>
      <c r="Z378" t="str">
        <f t="shared" si="20"/>
        <v>Efficient Spend</v>
      </c>
      <c r="AA378" t="str">
        <f>VLOOKUP(H378, Lookup_table!E:F,2,0)</f>
        <v>High</v>
      </c>
    </row>
    <row r="379" spans="1:27" ht="17.5" customHeight="1" x14ac:dyDescent="0.35">
      <c r="A379" s="1" t="s">
        <v>575</v>
      </c>
      <c r="B379" s="2">
        <v>45457</v>
      </c>
      <c r="C379" s="1" t="s">
        <v>315</v>
      </c>
      <c r="D379" s="1">
        <v>47</v>
      </c>
      <c r="E379" s="1" t="s">
        <v>35</v>
      </c>
      <c r="F379" s="1" t="s">
        <v>41</v>
      </c>
      <c r="G379" s="1" t="s">
        <v>31</v>
      </c>
      <c r="H379" s="1" t="s">
        <v>36</v>
      </c>
      <c r="I379" s="1">
        <v>693.11</v>
      </c>
      <c r="J379" s="1">
        <v>30965</v>
      </c>
      <c r="K379" s="1">
        <v>2702</v>
      </c>
      <c r="L379" s="1">
        <v>95</v>
      </c>
      <c r="N379" s="1">
        <v>8.725980946</v>
      </c>
      <c r="O379" s="1">
        <v>3.5159141379999999</v>
      </c>
      <c r="P379" s="1">
        <f t="shared" si="14"/>
        <v>3</v>
      </c>
      <c r="V379" t="str">
        <f t="shared" si="18"/>
        <v>Low Performer</v>
      </c>
      <c r="W379" t="e" cm="1">
        <f t="array" aca="1" ref="W379" ca="1">_xlfn.IFS(N379&gt;=20, "High",N379&gt;=10, "Medium", N379&lt;10, "Low")</f>
        <v>#NAME?</v>
      </c>
      <c r="X379" t="str">
        <f t="shared" si="19"/>
        <v>Medium Budget</v>
      </c>
      <c r="Y379" s="7">
        <f>VLOOKUP(G379, Lookup_table!B:C,2,0)</f>
        <v>1.2</v>
      </c>
      <c r="Z379" t="str">
        <f t="shared" si="20"/>
        <v>Efficient Spend</v>
      </c>
      <c r="AA379" t="str">
        <f>VLOOKUP(H379, Lookup_table!E:F,2,0)</f>
        <v>High</v>
      </c>
    </row>
    <row r="380" spans="1:27" ht="17.5" customHeight="1" x14ac:dyDescent="0.35">
      <c r="A380" s="1" t="s">
        <v>576</v>
      </c>
      <c r="B380" s="2">
        <v>45378</v>
      </c>
      <c r="C380" s="1" t="s">
        <v>128</v>
      </c>
      <c r="D380" s="1">
        <v>48</v>
      </c>
      <c r="E380" s="1" t="s">
        <v>35</v>
      </c>
      <c r="F380" s="1" t="s">
        <v>30</v>
      </c>
      <c r="G380" s="1" t="s">
        <v>61</v>
      </c>
      <c r="H380" s="1" t="s">
        <v>62</v>
      </c>
      <c r="I380" s="1">
        <v>210.02</v>
      </c>
      <c r="J380" s="1">
        <v>48139</v>
      </c>
      <c r="K380" s="1">
        <v>678</v>
      </c>
      <c r="L380" s="1">
        <v>285</v>
      </c>
      <c r="M380" s="1">
        <v>5</v>
      </c>
      <c r="N380" s="1">
        <v>1.408421446</v>
      </c>
      <c r="O380" s="1">
        <v>42.035398229999998</v>
      </c>
      <c r="P380" s="1">
        <f t="shared" si="14"/>
        <v>5</v>
      </c>
      <c r="V380" t="str">
        <f t="shared" si="18"/>
        <v>Low Performer</v>
      </c>
      <c r="W380" t="e" cm="1">
        <f t="array" aca="1" ref="W380" ca="1">_xlfn.IFS(N380&gt;=20, "High",N380&gt;=10, "Medium", N380&lt;10, "Low")</f>
        <v>#NAME?</v>
      </c>
      <c r="X380" t="str">
        <f t="shared" si="19"/>
        <v>Low Budget</v>
      </c>
      <c r="Y380" s="7">
        <f>VLOOKUP(G380, Lookup_table!B:C,2,0)</f>
        <v>0.2</v>
      </c>
      <c r="Z380" t="str">
        <f t="shared" si="20"/>
        <v>Inefficient Spend</v>
      </c>
      <c r="AA380" t="str">
        <f>VLOOKUP(H380, Lookup_table!E:F,2,0)</f>
        <v>Medium</v>
      </c>
    </row>
    <row r="381" spans="1:27" ht="17.5" customHeight="1" x14ac:dyDescent="0.35">
      <c r="A381" s="1" t="s">
        <v>577</v>
      </c>
      <c r="B381" s="2">
        <v>45466</v>
      </c>
      <c r="C381" s="1" t="s">
        <v>361</v>
      </c>
      <c r="D381" s="1">
        <v>27</v>
      </c>
      <c r="E381" s="1" t="s">
        <v>35</v>
      </c>
      <c r="F381" s="1" t="s">
        <v>57</v>
      </c>
      <c r="G381" s="1" t="s">
        <v>42</v>
      </c>
      <c r="H381" s="1" t="s">
        <v>62</v>
      </c>
      <c r="I381" s="1">
        <v>1630.5</v>
      </c>
      <c r="J381" s="1">
        <v>14819</v>
      </c>
      <c r="K381" s="1">
        <v>296</v>
      </c>
      <c r="L381" s="1">
        <v>248</v>
      </c>
      <c r="N381" s="1">
        <v>1.997435724</v>
      </c>
      <c r="O381" s="1">
        <v>83.783783779999993</v>
      </c>
      <c r="P381" s="1">
        <f t="shared" si="14"/>
        <v>3</v>
      </c>
      <c r="V381" t="str">
        <f t="shared" si="18"/>
        <v>Low Performer</v>
      </c>
      <c r="W381" t="e" cm="1">
        <f t="array" aca="1" ref="W381" ca="1">_xlfn.IFS(N381&gt;=20, "High",N381&gt;=10, "Medium", N381&lt;10, "Low")</f>
        <v>#NAME?</v>
      </c>
      <c r="X381" t="str">
        <f t="shared" si="19"/>
        <v>High Budget</v>
      </c>
      <c r="Y381" s="7">
        <f>VLOOKUP(G381, Lookup_table!B:C,2,0)</f>
        <v>0.3</v>
      </c>
      <c r="Z381" t="str">
        <f t="shared" si="20"/>
        <v>Inefficient Spend</v>
      </c>
      <c r="AA381" t="str">
        <f>VLOOKUP(H381, Lookup_table!E:F,2,0)</f>
        <v>Medium</v>
      </c>
    </row>
    <row r="382" spans="1:27" ht="17.5" customHeight="1" x14ac:dyDescent="0.35">
      <c r="A382" s="1" t="s">
        <v>578</v>
      </c>
      <c r="B382" s="2">
        <v>45306</v>
      </c>
      <c r="C382" s="1" t="s">
        <v>579</v>
      </c>
      <c r="D382" s="1">
        <v>63</v>
      </c>
      <c r="E382" s="1" t="s">
        <v>23</v>
      </c>
      <c r="F382" s="1" t="s">
        <v>57</v>
      </c>
      <c r="G382" s="1" t="s">
        <v>25</v>
      </c>
      <c r="H382" s="1" t="s">
        <v>36</v>
      </c>
      <c r="I382" s="1">
        <v>1859.06</v>
      </c>
      <c r="J382" s="1">
        <v>25889</v>
      </c>
      <c r="K382" s="1">
        <v>4113</v>
      </c>
      <c r="L382" s="1">
        <v>49</v>
      </c>
      <c r="N382" s="1">
        <v>15.887056279999999</v>
      </c>
      <c r="O382" s="1">
        <v>1.1913445170000001</v>
      </c>
      <c r="P382" s="1">
        <f t="shared" si="14"/>
        <v>3</v>
      </c>
      <c r="V382" t="str">
        <f t="shared" si="18"/>
        <v>Low Performer</v>
      </c>
      <c r="W382" t="e" cm="1">
        <f t="array" aca="1" ref="W382" ca="1">_xlfn.IFS(N382&gt;=20, "High",N382&gt;=10, "Medium", N382&lt;10, "Low")</f>
        <v>#NAME?</v>
      </c>
      <c r="X382" t="str">
        <f t="shared" si="19"/>
        <v>High Budget</v>
      </c>
      <c r="Y382" s="7">
        <f>VLOOKUP(G382, Lookup_table!B:C,2,0)</f>
        <v>0.5</v>
      </c>
      <c r="Z382" t="str">
        <f t="shared" si="20"/>
        <v>Efficient Spend</v>
      </c>
      <c r="AA382" t="str">
        <f>VLOOKUP(H382, Lookup_table!E:F,2,0)</f>
        <v>High</v>
      </c>
    </row>
    <row r="383" spans="1:27" ht="17.5" customHeight="1" x14ac:dyDescent="0.35">
      <c r="A383" s="1" t="s">
        <v>580</v>
      </c>
      <c r="B383" s="2">
        <v>45439</v>
      </c>
      <c r="C383" s="1" t="s">
        <v>483</v>
      </c>
      <c r="D383" s="1">
        <v>27</v>
      </c>
      <c r="E383" s="1" t="s">
        <v>29</v>
      </c>
      <c r="F383" s="1" t="s">
        <v>24</v>
      </c>
      <c r="G383" s="1" t="s">
        <v>42</v>
      </c>
      <c r="H383" s="1" t="s">
        <v>26</v>
      </c>
      <c r="I383" s="1">
        <v>593.76</v>
      </c>
      <c r="J383" s="1">
        <v>26916</v>
      </c>
      <c r="K383" s="1">
        <v>43</v>
      </c>
      <c r="L383" s="1">
        <v>261</v>
      </c>
      <c r="M383" s="1">
        <v>3</v>
      </c>
      <c r="N383" s="1">
        <v>0.159756279</v>
      </c>
      <c r="O383" s="1">
        <v>606.97674419999998</v>
      </c>
      <c r="P383" s="1">
        <f t="shared" si="14"/>
        <v>3</v>
      </c>
      <c r="V383" t="str">
        <f t="shared" si="18"/>
        <v>Low Performer</v>
      </c>
      <c r="W383" t="e" cm="1">
        <f t="array" aca="1" ref="W383" ca="1">_xlfn.IFS(N383&gt;=20, "High",N383&gt;=10, "Medium", N383&lt;10, "Low")</f>
        <v>#NAME?</v>
      </c>
      <c r="X383" t="str">
        <f t="shared" si="19"/>
        <v>Medium Budget</v>
      </c>
      <c r="Y383" s="7">
        <f>VLOOKUP(G383, Lookup_table!B:C,2,0)</f>
        <v>0.3</v>
      </c>
      <c r="Z383" t="str">
        <f t="shared" si="20"/>
        <v>Inefficient Spend</v>
      </c>
      <c r="AA383" t="str">
        <f>VLOOKUP(H383, Lookup_table!E:F,2,0)</f>
        <v>High</v>
      </c>
    </row>
    <row r="384" spans="1:27" ht="17.5" customHeight="1" x14ac:dyDescent="0.35">
      <c r="A384" s="1" t="s">
        <v>581</v>
      </c>
      <c r="B384" s="2">
        <v>45470</v>
      </c>
      <c r="C384" s="1" t="s">
        <v>582</v>
      </c>
      <c r="D384" s="1">
        <v>19</v>
      </c>
      <c r="E384" s="1" t="s">
        <v>29</v>
      </c>
      <c r="F384" s="1" t="s">
        <v>45</v>
      </c>
      <c r="G384" s="1" t="s">
        <v>42</v>
      </c>
      <c r="H384" s="1" t="s">
        <v>36</v>
      </c>
      <c r="I384" s="1">
        <v>1190.57</v>
      </c>
      <c r="J384" s="1">
        <v>34115</v>
      </c>
      <c r="K384" s="1">
        <v>893</v>
      </c>
      <c r="L384" s="1">
        <v>370</v>
      </c>
      <c r="M384" s="1">
        <v>1</v>
      </c>
      <c r="N384" s="1">
        <v>2.6176168839999998</v>
      </c>
      <c r="O384" s="1">
        <v>41.433370660000001</v>
      </c>
      <c r="P384" s="1">
        <f t="shared" si="14"/>
        <v>1</v>
      </c>
      <c r="V384" t="str">
        <f t="shared" si="18"/>
        <v>Low Performer</v>
      </c>
      <c r="W384" t="e" cm="1">
        <f t="array" aca="1" ref="W384" ca="1">_xlfn.IFS(N384&gt;=20, "High",N384&gt;=10, "Medium", N384&lt;10, "Low")</f>
        <v>#NAME?</v>
      </c>
      <c r="X384" t="str">
        <f t="shared" si="19"/>
        <v>High Budget</v>
      </c>
      <c r="Y384" s="7">
        <f>VLOOKUP(G384, Lookup_table!B:C,2,0)</f>
        <v>0.3</v>
      </c>
      <c r="Z384" t="str">
        <f t="shared" si="20"/>
        <v>Inefficient Spend</v>
      </c>
      <c r="AA384" t="str">
        <f>VLOOKUP(H384, Lookup_table!E:F,2,0)</f>
        <v>High</v>
      </c>
    </row>
    <row r="385" spans="1:27" ht="17.5" customHeight="1" x14ac:dyDescent="0.35">
      <c r="A385" s="1" t="s">
        <v>583</v>
      </c>
      <c r="B385" s="2">
        <v>45656</v>
      </c>
      <c r="C385" s="1" t="s">
        <v>584</v>
      </c>
      <c r="D385" s="1">
        <v>38</v>
      </c>
      <c r="E385" s="1" t="s">
        <v>35</v>
      </c>
      <c r="F385" s="1" t="s">
        <v>45</v>
      </c>
      <c r="G385" s="1" t="s">
        <v>31</v>
      </c>
      <c r="H385" s="1" t="s">
        <v>32</v>
      </c>
      <c r="I385" s="1">
        <v>1584.85</v>
      </c>
      <c r="J385" s="1">
        <v>31360</v>
      </c>
      <c r="K385" s="1">
        <v>1662</v>
      </c>
      <c r="L385" s="1">
        <v>272</v>
      </c>
      <c r="M385" s="1">
        <v>3</v>
      </c>
      <c r="N385" s="1">
        <v>5.2997448980000001</v>
      </c>
      <c r="O385" s="1">
        <v>16.365824310000001</v>
      </c>
      <c r="P385" s="1">
        <f t="shared" si="14"/>
        <v>3</v>
      </c>
      <c r="V385" t="str">
        <f t="shared" si="18"/>
        <v>Average Performer</v>
      </c>
      <c r="W385" t="e" cm="1">
        <f t="array" aca="1" ref="W385" ca="1">_xlfn.IFS(N385&gt;=20, "High",N385&gt;=10, "Medium", N385&lt;10, "Low")</f>
        <v>#NAME?</v>
      </c>
      <c r="X385" t="str">
        <f t="shared" si="19"/>
        <v>High Budget</v>
      </c>
      <c r="Y385" s="7">
        <f>VLOOKUP(G385, Lookup_table!B:C,2,0)</f>
        <v>1.2</v>
      </c>
      <c r="Z385" t="str">
        <f t="shared" si="20"/>
        <v>Efficient Spend</v>
      </c>
      <c r="AA385" t="str">
        <f>VLOOKUP(H385, Lookup_table!E:F,2,0)</f>
        <v>Medium</v>
      </c>
    </row>
    <row r="386" spans="1:27" ht="17.5" customHeight="1" x14ac:dyDescent="0.35">
      <c r="A386" s="1" t="s">
        <v>585</v>
      </c>
      <c r="B386" s="2">
        <v>45585</v>
      </c>
      <c r="C386" s="1" t="s">
        <v>281</v>
      </c>
      <c r="D386" s="1">
        <v>34</v>
      </c>
      <c r="E386" s="1" t="s">
        <v>23</v>
      </c>
      <c r="F386" s="1" t="s">
        <v>50</v>
      </c>
      <c r="G386" s="1" t="s">
        <v>31</v>
      </c>
      <c r="H386" s="1" t="s">
        <v>36</v>
      </c>
      <c r="I386" s="1">
        <v>404.54</v>
      </c>
      <c r="J386" s="1">
        <v>34807</v>
      </c>
      <c r="K386" s="1">
        <v>2330</v>
      </c>
      <c r="L386" s="1">
        <v>173</v>
      </c>
      <c r="M386" s="1">
        <v>5</v>
      </c>
      <c r="N386" s="1">
        <v>6.6940557930000004</v>
      </c>
      <c r="O386" s="1">
        <v>7.4248927040000003</v>
      </c>
      <c r="P386" s="1">
        <f t="shared" si="14"/>
        <v>5</v>
      </c>
      <c r="V386" t="str">
        <f t="shared" ref="V386:V449" si="21">IF(AND(L386&gt;200,K386&gt;3000),"Top Performer", IF(AND(L386&gt;=100,K386&gt;=1000),"Average Performer","Low Performer"))</f>
        <v>Average Performer</v>
      </c>
      <c r="W386" t="e" cm="1">
        <f t="array" aca="1" ref="W386" ca="1">_xlfn.IFS(N386&gt;=20, "High",N386&gt;=10, "Medium", N386&lt;10, "Low")</f>
        <v>#NAME?</v>
      </c>
      <c r="X386" t="str">
        <f t="shared" ref="X386:X449" si="22">IF(I386&gt;1000, "High Budget",IF(I386&gt;=500, "Medium Budget", "Low Budget"))</f>
        <v>Low Budget</v>
      </c>
      <c r="Y386" s="7">
        <f>VLOOKUP(G386, Lookup_table!B:C,2,0)</f>
        <v>1.2</v>
      </c>
      <c r="Z386" t="str">
        <f t="shared" ref="Z386:Z449" si="23">IF(I386/K386&lt;Y386, "Efficient Spend", "Inefficient Spend")</f>
        <v>Efficient Spend</v>
      </c>
      <c r="AA386" t="str">
        <f>VLOOKUP(H386, Lookup_table!E:F,2,0)</f>
        <v>High</v>
      </c>
    </row>
    <row r="387" spans="1:27" ht="17.5" customHeight="1" x14ac:dyDescent="0.35">
      <c r="A387" s="1" t="s">
        <v>586</v>
      </c>
      <c r="B387" s="2">
        <v>45605</v>
      </c>
      <c r="C387" s="1" t="s">
        <v>552</v>
      </c>
      <c r="D387" s="1">
        <v>33</v>
      </c>
      <c r="E387" s="1" t="s">
        <v>29</v>
      </c>
      <c r="F387" s="1" t="s">
        <v>57</v>
      </c>
      <c r="G387" s="1" t="s">
        <v>25</v>
      </c>
      <c r="H387" s="1" t="s">
        <v>32</v>
      </c>
      <c r="I387" s="1">
        <v>380.07</v>
      </c>
      <c r="J387" s="1">
        <v>46434</v>
      </c>
      <c r="K387" s="1">
        <v>2145</v>
      </c>
      <c r="L387" s="1">
        <v>174</v>
      </c>
      <c r="M387" s="1">
        <v>4</v>
      </c>
      <c r="N387" s="1">
        <v>4.6194598789999999</v>
      </c>
      <c r="O387" s="1">
        <v>8.1118881120000008</v>
      </c>
      <c r="P387" s="1">
        <f t="shared" si="14"/>
        <v>4</v>
      </c>
      <c r="V387" t="str">
        <f t="shared" si="21"/>
        <v>Average Performer</v>
      </c>
      <c r="W387" t="e" cm="1">
        <f t="array" aca="1" ref="W387" ca="1">_xlfn.IFS(N387&gt;=20, "High",N387&gt;=10, "Medium", N387&lt;10, "Low")</f>
        <v>#NAME?</v>
      </c>
      <c r="X387" t="str">
        <f t="shared" si="22"/>
        <v>Low Budget</v>
      </c>
      <c r="Y387" s="7">
        <f>VLOOKUP(G387, Lookup_table!B:C,2,0)</f>
        <v>0.5</v>
      </c>
      <c r="Z387" t="str">
        <f t="shared" si="23"/>
        <v>Efficient Spend</v>
      </c>
      <c r="AA387" t="str">
        <f>VLOOKUP(H387, Lookup_table!E:F,2,0)</f>
        <v>Medium</v>
      </c>
    </row>
    <row r="388" spans="1:27" ht="17.5" customHeight="1" x14ac:dyDescent="0.35">
      <c r="A388" s="1" t="s">
        <v>587</v>
      </c>
      <c r="B388" s="2">
        <v>45635</v>
      </c>
      <c r="C388" s="1" t="s">
        <v>203</v>
      </c>
      <c r="D388" s="1">
        <v>64</v>
      </c>
      <c r="E388" s="1" t="s">
        <v>29</v>
      </c>
      <c r="F388" s="1" t="s">
        <v>24</v>
      </c>
      <c r="G388" s="1" t="s">
        <v>25</v>
      </c>
      <c r="H388" s="1" t="s">
        <v>32</v>
      </c>
      <c r="I388" s="1">
        <v>488.34</v>
      </c>
      <c r="J388" s="1">
        <v>39424</v>
      </c>
      <c r="K388" s="1">
        <v>19</v>
      </c>
      <c r="L388" s="1">
        <v>116</v>
      </c>
      <c r="M388" s="1">
        <v>2</v>
      </c>
      <c r="N388" s="1">
        <v>4.8193993999999997E-2</v>
      </c>
      <c r="O388" s="1">
        <v>610.52631580000002</v>
      </c>
      <c r="P388" s="1">
        <f t="shared" si="14"/>
        <v>2</v>
      </c>
      <c r="V388" t="str">
        <f t="shared" si="21"/>
        <v>Low Performer</v>
      </c>
      <c r="W388" t="e" cm="1">
        <f t="array" aca="1" ref="W388" ca="1">_xlfn.IFS(N388&gt;=20, "High",N388&gt;=10, "Medium", N388&lt;10, "Low")</f>
        <v>#NAME?</v>
      </c>
      <c r="X388" t="str">
        <f t="shared" si="22"/>
        <v>Low Budget</v>
      </c>
      <c r="Y388" s="7">
        <f>VLOOKUP(G388, Lookup_table!B:C,2,0)</f>
        <v>0.5</v>
      </c>
      <c r="Z388" t="str">
        <f t="shared" si="23"/>
        <v>Inefficient Spend</v>
      </c>
      <c r="AA388" t="str">
        <f>VLOOKUP(H388, Lookup_table!E:F,2,0)</f>
        <v>Medium</v>
      </c>
    </row>
    <row r="389" spans="1:27" ht="17.5" customHeight="1" x14ac:dyDescent="0.35">
      <c r="A389" s="1" t="s">
        <v>588</v>
      </c>
      <c r="B389" s="2">
        <v>45361</v>
      </c>
      <c r="C389" s="1" t="s">
        <v>589</v>
      </c>
      <c r="D389" s="1">
        <v>60</v>
      </c>
      <c r="E389" s="1" t="s">
        <v>29</v>
      </c>
      <c r="F389" s="1" t="s">
        <v>45</v>
      </c>
      <c r="G389" s="1" t="s">
        <v>46</v>
      </c>
      <c r="H389" s="1" t="s">
        <v>62</v>
      </c>
      <c r="I389" s="1">
        <v>1886.92</v>
      </c>
      <c r="J389" s="1">
        <v>12831</v>
      </c>
      <c r="K389" s="1">
        <v>4655</v>
      </c>
      <c r="L389" s="1">
        <v>178</v>
      </c>
      <c r="M389" s="1">
        <v>4</v>
      </c>
      <c r="N389" s="1">
        <v>36.279323509999998</v>
      </c>
      <c r="O389" s="1">
        <v>3.823845328</v>
      </c>
      <c r="P389" s="1">
        <f t="shared" si="14"/>
        <v>4</v>
      </c>
      <c r="V389" t="str">
        <f t="shared" si="21"/>
        <v>Average Performer</v>
      </c>
      <c r="W389" t="e" cm="1">
        <f t="array" aca="1" ref="W389" ca="1">_xlfn.IFS(N389&gt;=20, "High",N389&gt;=10, "Medium", N389&lt;10, "Low")</f>
        <v>#NAME?</v>
      </c>
      <c r="X389" t="str">
        <f t="shared" si="22"/>
        <v>High Budget</v>
      </c>
      <c r="Y389" s="7">
        <f>VLOOKUP(G389, Lookup_table!B:C,2,0)</f>
        <v>0.75</v>
      </c>
      <c r="Z389" t="str">
        <f t="shared" si="23"/>
        <v>Efficient Spend</v>
      </c>
      <c r="AA389" t="str">
        <f>VLOOKUP(H389, Lookup_table!E:F,2,0)</f>
        <v>Medium</v>
      </c>
    </row>
    <row r="390" spans="1:27" ht="17.5" customHeight="1" x14ac:dyDescent="0.35">
      <c r="A390" s="1" t="s">
        <v>590</v>
      </c>
      <c r="B390" s="2">
        <v>45508</v>
      </c>
      <c r="C390" s="1" t="s">
        <v>66</v>
      </c>
      <c r="D390" s="1">
        <v>44</v>
      </c>
      <c r="E390" s="1" t="s">
        <v>23</v>
      </c>
      <c r="F390" s="1" t="s">
        <v>24</v>
      </c>
      <c r="G390" s="1" t="s">
        <v>61</v>
      </c>
      <c r="H390" s="1" t="s">
        <v>26</v>
      </c>
      <c r="I390" s="1">
        <v>1721.71</v>
      </c>
      <c r="J390" s="1">
        <v>9266</v>
      </c>
      <c r="K390" s="1">
        <v>1032</v>
      </c>
      <c r="L390" s="1">
        <v>5</v>
      </c>
      <c r="M390" s="1">
        <v>1</v>
      </c>
      <c r="N390" s="1">
        <v>11.13749191</v>
      </c>
      <c r="O390" s="1">
        <v>0.48449612399999997</v>
      </c>
      <c r="P390" s="1">
        <f t="shared" si="14"/>
        <v>1</v>
      </c>
      <c r="V390" t="str">
        <f t="shared" si="21"/>
        <v>Low Performer</v>
      </c>
      <c r="W390" t="e" cm="1">
        <f t="array" aca="1" ref="W390" ca="1">_xlfn.IFS(N390&gt;=20, "High",N390&gt;=10, "Medium", N390&lt;10, "Low")</f>
        <v>#NAME?</v>
      </c>
      <c r="X390" t="str">
        <f t="shared" si="22"/>
        <v>High Budget</v>
      </c>
      <c r="Y390" s="7">
        <f>VLOOKUP(G390, Lookup_table!B:C,2,0)</f>
        <v>0.2</v>
      </c>
      <c r="Z390" t="str">
        <f t="shared" si="23"/>
        <v>Inefficient Spend</v>
      </c>
      <c r="AA390" t="str">
        <f>VLOOKUP(H390, Lookup_table!E:F,2,0)</f>
        <v>High</v>
      </c>
    </row>
    <row r="391" spans="1:27" ht="17.5" customHeight="1" x14ac:dyDescent="0.35">
      <c r="A391" s="1" t="s">
        <v>591</v>
      </c>
      <c r="B391" s="2">
        <v>45559</v>
      </c>
      <c r="C391" s="1" t="s">
        <v>297</v>
      </c>
      <c r="D391" s="1">
        <v>53</v>
      </c>
      <c r="E391" s="1" t="s">
        <v>35</v>
      </c>
      <c r="F391" s="1" t="s">
        <v>41</v>
      </c>
      <c r="G391" s="1" t="s">
        <v>46</v>
      </c>
      <c r="H391" s="1" t="s">
        <v>62</v>
      </c>
      <c r="I391" s="1">
        <v>1963.04</v>
      </c>
      <c r="J391" s="1">
        <v>25292</v>
      </c>
      <c r="K391" s="1">
        <v>679</v>
      </c>
      <c r="L391" s="1">
        <v>99</v>
      </c>
      <c r="M391" s="1">
        <v>4</v>
      </c>
      <c r="N391" s="1">
        <v>2.6846433649999999</v>
      </c>
      <c r="O391" s="1">
        <v>14.5802651</v>
      </c>
      <c r="P391" s="1">
        <f t="shared" si="14"/>
        <v>4</v>
      </c>
      <c r="V391" t="str">
        <f t="shared" si="21"/>
        <v>Low Performer</v>
      </c>
      <c r="W391" t="e" cm="1">
        <f t="array" aca="1" ref="W391" ca="1">_xlfn.IFS(N391&gt;=20, "High",N391&gt;=10, "Medium", N391&lt;10, "Low")</f>
        <v>#NAME?</v>
      </c>
      <c r="X391" t="str">
        <f t="shared" si="22"/>
        <v>High Budget</v>
      </c>
      <c r="Y391" s="7">
        <f>VLOOKUP(G391, Lookup_table!B:C,2,0)</f>
        <v>0.75</v>
      </c>
      <c r="Z391" t="str">
        <f t="shared" si="23"/>
        <v>Inefficient Spend</v>
      </c>
      <c r="AA391" t="str">
        <f>VLOOKUP(H391, Lookup_table!E:F,2,0)</f>
        <v>Medium</v>
      </c>
    </row>
    <row r="392" spans="1:27" ht="17.5" customHeight="1" x14ac:dyDescent="0.35">
      <c r="A392" s="1" t="s">
        <v>592</v>
      </c>
      <c r="B392" s="2">
        <v>45318</v>
      </c>
      <c r="C392" s="1" t="s">
        <v>100</v>
      </c>
      <c r="D392" s="1">
        <v>20</v>
      </c>
      <c r="E392" s="1" t="s">
        <v>35</v>
      </c>
      <c r="F392" s="1" t="s">
        <v>30</v>
      </c>
      <c r="G392" s="1" t="s">
        <v>46</v>
      </c>
      <c r="H392" s="1" t="s">
        <v>26</v>
      </c>
      <c r="I392" s="1">
        <v>1672.82</v>
      </c>
      <c r="J392" s="1">
        <v>6780</v>
      </c>
      <c r="K392" s="1">
        <v>2550</v>
      </c>
      <c r="L392" s="1">
        <v>290</v>
      </c>
      <c r="M392" s="1">
        <v>3</v>
      </c>
      <c r="N392" s="1">
        <v>37.610619470000003</v>
      </c>
      <c r="O392" s="1">
        <v>11.372549019999999</v>
      </c>
      <c r="P392" s="1">
        <f t="shared" si="14"/>
        <v>3</v>
      </c>
      <c r="V392" t="str">
        <f t="shared" si="21"/>
        <v>Average Performer</v>
      </c>
      <c r="W392" t="e" cm="1">
        <f t="array" aca="1" ref="W392" ca="1">_xlfn.IFS(N392&gt;=20, "High",N392&gt;=10, "Medium", N392&lt;10, "Low")</f>
        <v>#NAME?</v>
      </c>
      <c r="X392" t="str">
        <f t="shared" si="22"/>
        <v>High Budget</v>
      </c>
      <c r="Y392" s="7">
        <f>VLOOKUP(G392, Lookup_table!B:C,2,0)</f>
        <v>0.75</v>
      </c>
      <c r="Z392" t="str">
        <f t="shared" si="23"/>
        <v>Efficient Spend</v>
      </c>
      <c r="AA392" t="str">
        <f>VLOOKUP(H392, Lookup_table!E:F,2,0)</f>
        <v>High</v>
      </c>
    </row>
    <row r="393" spans="1:27" ht="17.5" customHeight="1" x14ac:dyDescent="0.35">
      <c r="A393" s="1" t="s">
        <v>593</v>
      </c>
      <c r="B393" s="2">
        <v>45582</v>
      </c>
      <c r="C393" s="1" t="s">
        <v>155</v>
      </c>
      <c r="D393" s="1">
        <v>37</v>
      </c>
      <c r="E393" s="1" t="s">
        <v>29</v>
      </c>
      <c r="F393" s="1" t="s">
        <v>45</v>
      </c>
      <c r="G393" s="1" t="s">
        <v>61</v>
      </c>
      <c r="H393" s="1" t="s">
        <v>32</v>
      </c>
      <c r="I393" s="1">
        <v>1215.46</v>
      </c>
      <c r="J393" s="1">
        <v>43063</v>
      </c>
      <c r="K393" s="1">
        <v>2587</v>
      </c>
      <c r="L393" s="1">
        <v>126</v>
      </c>
      <c r="M393" s="1">
        <v>4</v>
      </c>
      <c r="N393" s="1">
        <v>6.0074774169999996</v>
      </c>
      <c r="O393" s="1">
        <v>4.870506378</v>
      </c>
      <c r="P393" s="1">
        <f t="shared" si="14"/>
        <v>4</v>
      </c>
      <c r="V393" t="str">
        <f t="shared" si="21"/>
        <v>Average Performer</v>
      </c>
      <c r="W393" t="e" cm="1">
        <f t="array" aca="1" ref="W393" ca="1">_xlfn.IFS(N393&gt;=20, "High",N393&gt;=10, "Medium", N393&lt;10, "Low")</f>
        <v>#NAME?</v>
      </c>
      <c r="X393" t="str">
        <f t="shared" si="22"/>
        <v>High Budget</v>
      </c>
      <c r="Y393" s="7">
        <f>VLOOKUP(G393, Lookup_table!B:C,2,0)</f>
        <v>0.2</v>
      </c>
      <c r="Z393" t="str">
        <f t="shared" si="23"/>
        <v>Inefficient Spend</v>
      </c>
      <c r="AA393" t="str">
        <f>VLOOKUP(H393, Lookup_table!E:F,2,0)</f>
        <v>Medium</v>
      </c>
    </row>
    <row r="394" spans="1:27" ht="17.5" customHeight="1" x14ac:dyDescent="0.35">
      <c r="A394" s="1" t="s">
        <v>594</v>
      </c>
      <c r="B394" s="2">
        <v>45372</v>
      </c>
      <c r="C394" s="1" t="s">
        <v>595</v>
      </c>
      <c r="D394" s="1">
        <v>23</v>
      </c>
      <c r="E394" s="1" t="s">
        <v>29</v>
      </c>
      <c r="F394" s="1" t="s">
        <v>45</v>
      </c>
      <c r="G394" s="1" t="s">
        <v>46</v>
      </c>
      <c r="H394" s="1" t="s">
        <v>32</v>
      </c>
      <c r="I394" s="1">
        <v>1326.52</v>
      </c>
      <c r="J394" s="1">
        <v>37884</v>
      </c>
      <c r="K394" s="1">
        <v>4681</v>
      </c>
      <c r="L394" s="1">
        <v>376</v>
      </c>
      <c r="M394" s="1">
        <v>4</v>
      </c>
      <c r="N394" s="1">
        <v>12.356139799999999</v>
      </c>
      <c r="O394" s="1">
        <v>8.0324716939999998</v>
      </c>
      <c r="P394" s="1">
        <f t="shared" si="14"/>
        <v>4</v>
      </c>
      <c r="V394" t="str">
        <f t="shared" si="21"/>
        <v>Top Performer</v>
      </c>
      <c r="W394" t="e" cm="1">
        <f t="array" aca="1" ref="W394" ca="1">_xlfn.IFS(N394&gt;=20, "High",N394&gt;=10, "Medium", N394&lt;10, "Low")</f>
        <v>#NAME?</v>
      </c>
      <c r="X394" t="str">
        <f t="shared" si="22"/>
        <v>High Budget</v>
      </c>
      <c r="Y394" s="7">
        <f>VLOOKUP(G394, Lookup_table!B:C,2,0)</f>
        <v>0.75</v>
      </c>
      <c r="Z394" t="str">
        <f t="shared" si="23"/>
        <v>Efficient Spend</v>
      </c>
      <c r="AA394" t="str">
        <f>VLOOKUP(H394, Lookup_table!E:F,2,0)</f>
        <v>Medium</v>
      </c>
    </row>
    <row r="395" spans="1:27" ht="17.5" customHeight="1" x14ac:dyDescent="0.35">
      <c r="A395" s="1" t="s">
        <v>596</v>
      </c>
      <c r="B395" s="2">
        <v>45589</v>
      </c>
      <c r="C395" s="1" t="s">
        <v>409</v>
      </c>
      <c r="D395" s="1">
        <v>31</v>
      </c>
      <c r="E395" s="1" t="s">
        <v>35</v>
      </c>
      <c r="F395" s="1" t="s">
        <v>30</v>
      </c>
      <c r="G395" s="1" t="s">
        <v>42</v>
      </c>
      <c r="H395" s="1" t="s">
        <v>36</v>
      </c>
      <c r="I395" s="1">
        <v>965.16</v>
      </c>
      <c r="J395" s="1">
        <v>19188</v>
      </c>
      <c r="K395" s="1">
        <v>4587</v>
      </c>
      <c r="L395" s="1">
        <v>166</v>
      </c>
      <c r="M395" s="1">
        <v>1</v>
      </c>
      <c r="N395" s="1">
        <v>23.905565979999999</v>
      </c>
      <c r="O395" s="1">
        <v>3.6189230430000001</v>
      </c>
      <c r="P395" s="1">
        <f t="shared" si="14"/>
        <v>1</v>
      </c>
      <c r="V395" t="str">
        <f t="shared" si="21"/>
        <v>Average Performer</v>
      </c>
      <c r="W395" t="e" cm="1">
        <f t="array" aca="1" ref="W395" ca="1">_xlfn.IFS(N395&gt;=20, "High",N395&gt;=10, "Medium", N395&lt;10, "Low")</f>
        <v>#NAME?</v>
      </c>
      <c r="X395" t="str">
        <f t="shared" si="22"/>
        <v>Medium Budget</v>
      </c>
      <c r="Y395" s="7">
        <f>VLOOKUP(G395, Lookup_table!B:C,2,0)</f>
        <v>0.3</v>
      </c>
      <c r="Z395" t="str">
        <f t="shared" si="23"/>
        <v>Efficient Spend</v>
      </c>
      <c r="AA395" t="str">
        <f>VLOOKUP(H395, Lookup_table!E:F,2,0)</f>
        <v>High</v>
      </c>
    </row>
    <row r="396" spans="1:27" ht="17.5" customHeight="1" x14ac:dyDescent="0.35">
      <c r="A396" s="1" t="s">
        <v>597</v>
      </c>
      <c r="B396" s="2">
        <v>45631</v>
      </c>
      <c r="C396" s="1" t="s">
        <v>598</v>
      </c>
      <c r="D396" s="1">
        <v>20</v>
      </c>
      <c r="E396" s="1" t="s">
        <v>29</v>
      </c>
      <c r="F396" s="1" t="s">
        <v>24</v>
      </c>
      <c r="G396" s="1" t="s">
        <v>46</v>
      </c>
      <c r="H396" s="1" t="s">
        <v>62</v>
      </c>
      <c r="I396" s="1">
        <v>1343.22</v>
      </c>
      <c r="J396" s="1">
        <v>23900</v>
      </c>
      <c r="K396" s="1">
        <v>3461</v>
      </c>
      <c r="L396" s="1">
        <v>48</v>
      </c>
      <c r="M396" s="1">
        <v>2</v>
      </c>
      <c r="N396" s="1">
        <v>14.481171549999999</v>
      </c>
      <c r="O396" s="1">
        <v>1.3868824040000001</v>
      </c>
      <c r="P396" s="1">
        <f t="shared" si="14"/>
        <v>2</v>
      </c>
      <c r="V396" t="str">
        <f t="shared" si="21"/>
        <v>Low Performer</v>
      </c>
      <c r="W396" t="e" cm="1">
        <f t="array" aca="1" ref="W396" ca="1">_xlfn.IFS(N396&gt;=20, "High",N396&gt;=10, "Medium", N396&lt;10, "Low")</f>
        <v>#NAME?</v>
      </c>
      <c r="X396" t="str">
        <f t="shared" si="22"/>
        <v>High Budget</v>
      </c>
      <c r="Y396" s="7">
        <f>VLOOKUP(G396, Lookup_table!B:C,2,0)</f>
        <v>0.75</v>
      </c>
      <c r="Z396" t="str">
        <f t="shared" si="23"/>
        <v>Efficient Spend</v>
      </c>
      <c r="AA396" t="str">
        <f>VLOOKUP(H396, Lookup_table!E:F,2,0)</f>
        <v>Medium</v>
      </c>
    </row>
    <row r="397" spans="1:27" ht="17.5" customHeight="1" x14ac:dyDescent="0.35">
      <c r="A397" s="1" t="s">
        <v>599</v>
      </c>
      <c r="B397" s="2">
        <v>45582</v>
      </c>
      <c r="C397" s="1" t="s">
        <v>324</v>
      </c>
      <c r="D397" s="1">
        <v>50</v>
      </c>
      <c r="E397" s="1" t="s">
        <v>35</v>
      </c>
      <c r="F397" s="1" t="s">
        <v>24</v>
      </c>
      <c r="G397" s="1" t="s">
        <v>42</v>
      </c>
      <c r="H397" s="1" t="s">
        <v>62</v>
      </c>
      <c r="I397" s="1">
        <v>1474.27</v>
      </c>
      <c r="J397" s="1">
        <v>25943</v>
      </c>
      <c r="K397" s="1">
        <v>166</v>
      </c>
      <c r="L397" s="1">
        <v>69</v>
      </c>
      <c r="N397" s="1">
        <v>0.63986431799999999</v>
      </c>
      <c r="O397" s="1">
        <v>41.566265059999999</v>
      </c>
      <c r="P397" s="1">
        <f t="shared" si="14"/>
        <v>3</v>
      </c>
      <c r="V397" t="str">
        <f t="shared" si="21"/>
        <v>Low Performer</v>
      </c>
      <c r="W397" t="e" cm="1">
        <f t="array" aca="1" ref="W397" ca="1">_xlfn.IFS(N397&gt;=20, "High",N397&gt;=10, "Medium", N397&lt;10, "Low")</f>
        <v>#NAME?</v>
      </c>
      <c r="X397" t="str">
        <f t="shared" si="22"/>
        <v>High Budget</v>
      </c>
      <c r="Y397" s="7">
        <f>VLOOKUP(G397, Lookup_table!B:C,2,0)</f>
        <v>0.3</v>
      </c>
      <c r="Z397" t="str">
        <f t="shared" si="23"/>
        <v>Inefficient Spend</v>
      </c>
      <c r="AA397" t="str">
        <f>VLOOKUP(H397, Lookup_table!E:F,2,0)</f>
        <v>Medium</v>
      </c>
    </row>
    <row r="398" spans="1:27" ht="17.5" customHeight="1" x14ac:dyDescent="0.35">
      <c r="A398" s="1" t="s">
        <v>600</v>
      </c>
      <c r="B398" s="2">
        <v>45622</v>
      </c>
      <c r="C398" s="1" t="s">
        <v>178</v>
      </c>
      <c r="D398" s="1">
        <v>58</v>
      </c>
      <c r="E398" s="1" t="s">
        <v>29</v>
      </c>
      <c r="F398" s="1" t="s">
        <v>45</v>
      </c>
      <c r="G398" s="1" t="s">
        <v>46</v>
      </c>
      <c r="H398" s="1" t="s">
        <v>26</v>
      </c>
      <c r="I398" s="1">
        <v>1337.69</v>
      </c>
      <c r="J398" s="1">
        <v>46340</v>
      </c>
      <c r="K398" s="1">
        <v>2518</v>
      </c>
      <c r="L398" s="1">
        <v>74</v>
      </c>
      <c r="M398" s="1">
        <v>1</v>
      </c>
      <c r="N398" s="1">
        <v>5.433750539</v>
      </c>
      <c r="O398" s="1">
        <v>2.9388403489999999</v>
      </c>
      <c r="P398" s="1">
        <f t="shared" si="14"/>
        <v>1</v>
      </c>
      <c r="V398" t="str">
        <f t="shared" si="21"/>
        <v>Low Performer</v>
      </c>
      <c r="W398" t="e" cm="1">
        <f t="array" aca="1" ref="W398" ca="1">_xlfn.IFS(N398&gt;=20, "High",N398&gt;=10, "Medium", N398&lt;10, "Low")</f>
        <v>#NAME?</v>
      </c>
      <c r="X398" t="str">
        <f t="shared" si="22"/>
        <v>High Budget</v>
      </c>
      <c r="Y398" s="7">
        <f>VLOOKUP(G398, Lookup_table!B:C,2,0)</f>
        <v>0.75</v>
      </c>
      <c r="Z398" t="str">
        <f t="shared" si="23"/>
        <v>Efficient Spend</v>
      </c>
      <c r="AA398" t="str">
        <f>VLOOKUP(H398, Lookup_table!E:F,2,0)</f>
        <v>High</v>
      </c>
    </row>
    <row r="399" spans="1:27" ht="17.5" customHeight="1" x14ac:dyDescent="0.35">
      <c r="A399" s="1" t="s">
        <v>601</v>
      </c>
      <c r="B399" s="2">
        <v>45616</v>
      </c>
      <c r="C399" s="1" t="s">
        <v>245</v>
      </c>
      <c r="D399" s="1">
        <v>56</v>
      </c>
      <c r="E399" s="1" t="s">
        <v>35</v>
      </c>
      <c r="F399" s="1" t="s">
        <v>45</v>
      </c>
      <c r="G399" s="1" t="s">
        <v>25</v>
      </c>
      <c r="H399" s="1" t="s">
        <v>32</v>
      </c>
      <c r="I399" s="1">
        <v>527.01</v>
      </c>
      <c r="J399" s="1">
        <v>13457</v>
      </c>
      <c r="K399" s="1">
        <v>954</v>
      </c>
      <c r="L399" s="1">
        <v>158</v>
      </c>
      <c r="M399" s="1">
        <v>3</v>
      </c>
      <c r="N399" s="1">
        <v>7.089247232</v>
      </c>
      <c r="O399" s="1">
        <v>16.561844860000001</v>
      </c>
      <c r="P399" s="1">
        <f t="shared" si="14"/>
        <v>3</v>
      </c>
      <c r="V399" t="str">
        <f t="shared" si="21"/>
        <v>Low Performer</v>
      </c>
      <c r="W399" t="e" cm="1">
        <f t="array" aca="1" ref="W399" ca="1">_xlfn.IFS(N399&gt;=20, "High",N399&gt;=10, "Medium", N399&lt;10, "Low")</f>
        <v>#NAME?</v>
      </c>
      <c r="X399" t="str">
        <f t="shared" si="22"/>
        <v>Medium Budget</v>
      </c>
      <c r="Y399" s="7">
        <f>VLOOKUP(G399, Lookup_table!B:C,2,0)</f>
        <v>0.5</v>
      </c>
      <c r="Z399" t="str">
        <f t="shared" si="23"/>
        <v>Inefficient Spend</v>
      </c>
      <c r="AA399" t="str">
        <f>VLOOKUP(H399, Lookup_table!E:F,2,0)</f>
        <v>Medium</v>
      </c>
    </row>
    <row r="400" spans="1:27" ht="17.5" customHeight="1" x14ac:dyDescent="0.35">
      <c r="A400" s="1" t="s">
        <v>602</v>
      </c>
      <c r="B400" s="2">
        <v>45487</v>
      </c>
      <c r="C400" s="1" t="s">
        <v>471</v>
      </c>
      <c r="D400" s="1">
        <v>49</v>
      </c>
      <c r="E400" s="1" t="s">
        <v>23</v>
      </c>
      <c r="F400" s="1" t="s">
        <v>24</v>
      </c>
      <c r="G400" s="1" t="s">
        <v>25</v>
      </c>
      <c r="H400" s="1" t="s">
        <v>32</v>
      </c>
      <c r="I400" s="1">
        <v>1529.78</v>
      </c>
      <c r="J400" s="1">
        <v>10748</v>
      </c>
      <c r="K400" s="1">
        <v>1939</v>
      </c>
      <c r="L400" s="1">
        <v>202</v>
      </c>
      <c r="M400" s="1">
        <v>5</v>
      </c>
      <c r="N400" s="1">
        <v>18.040565690000001</v>
      </c>
      <c r="O400" s="1">
        <v>10.417741100000001</v>
      </c>
      <c r="P400" s="1">
        <f t="shared" si="14"/>
        <v>5</v>
      </c>
      <c r="V400" t="str">
        <f t="shared" si="21"/>
        <v>Average Performer</v>
      </c>
      <c r="W400" t="e" cm="1">
        <f t="array" aca="1" ref="W400" ca="1">_xlfn.IFS(N400&gt;=20, "High",N400&gt;=10, "Medium", N400&lt;10, "Low")</f>
        <v>#NAME?</v>
      </c>
      <c r="X400" t="str">
        <f t="shared" si="22"/>
        <v>High Budget</v>
      </c>
      <c r="Y400" s="7">
        <f>VLOOKUP(G400, Lookup_table!B:C,2,0)</f>
        <v>0.5</v>
      </c>
      <c r="Z400" t="str">
        <f t="shared" si="23"/>
        <v>Inefficient Spend</v>
      </c>
      <c r="AA400" t="str">
        <f>VLOOKUP(H400, Lookup_table!E:F,2,0)</f>
        <v>Medium</v>
      </c>
    </row>
    <row r="401" spans="1:27" ht="17.5" customHeight="1" x14ac:dyDescent="0.35">
      <c r="A401" s="1" t="s">
        <v>603</v>
      </c>
      <c r="B401" s="2">
        <v>45296</v>
      </c>
      <c r="C401" s="1" t="s">
        <v>71</v>
      </c>
      <c r="D401" s="1">
        <v>29</v>
      </c>
      <c r="E401" s="1" t="s">
        <v>23</v>
      </c>
      <c r="F401" s="1" t="s">
        <v>57</v>
      </c>
      <c r="G401" s="1" t="s">
        <v>25</v>
      </c>
      <c r="H401" s="1" t="s">
        <v>26</v>
      </c>
      <c r="I401" s="1">
        <v>569.30999999999995</v>
      </c>
      <c r="J401" s="1">
        <v>21418</v>
      </c>
      <c r="K401" s="1">
        <v>2309</v>
      </c>
      <c r="L401" s="1">
        <v>188</v>
      </c>
      <c r="M401" s="1">
        <v>2</v>
      </c>
      <c r="N401" s="1">
        <v>10.78065179</v>
      </c>
      <c r="O401" s="1">
        <v>8.1420528369999996</v>
      </c>
      <c r="P401" s="1">
        <f t="shared" si="14"/>
        <v>2</v>
      </c>
      <c r="V401" t="str">
        <f t="shared" si="21"/>
        <v>Average Performer</v>
      </c>
      <c r="W401" t="e" cm="1">
        <f t="array" aca="1" ref="W401" ca="1">_xlfn.IFS(N401&gt;=20, "High",N401&gt;=10, "Medium", N401&lt;10, "Low")</f>
        <v>#NAME?</v>
      </c>
      <c r="X401" t="str">
        <f t="shared" si="22"/>
        <v>Medium Budget</v>
      </c>
      <c r="Y401" s="7">
        <f>VLOOKUP(G401, Lookup_table!B:C,2,0)</f>
        <v>0.5</v>
      </c>
      <c r="Z401" t="str">
        <f t="shared" si="23"/>
        <v>Efficient Spend</v>
      </c>
      <c r="AA401" t="str">
        <f>VLOOKUP(H401, Lookup_table!E:F,2,0)</f>
        <v>High</v>
      </c>
    </row>
    <row r="402" spans="1:27" ht="17.5" customHeight="1" x14ac:dyDescent="0.35">
      <c r="A402" s="1" t="s">
        <v>604</v>
      </c>
      <c r="B402" s="2">
        <v>45396</v>
      </c>
      <c r="C402" s="1" t="s">
        <v>391</v>
      </c>
      <c r="D402" s="1">
        <v>40</v>
      </c>
      <c r="E402" s="1" t="s">
        <v>23</v>
      </c>
      <c r="F402" s="1" t="s">
        <v>45</v>
      </c>
      <c r="G402" s="1" t="s">
        <v>31</v>
      </c>
      <c r="H402" s="1" t="s">
        <v>36</v>
      </c>
      <c r="I402" s="1">
        <v>1267.24</v>
      </c>
      <c r="J402" s="1">
        <v>12945</v>
      </c>
      <c r="K402" s="1">
        <v>3132</v>
      </c>
      <c r="L402" s="1">
        <v>382</v>
      </c>
      <c r="M402" s="1">
        <v>2</v>
      </c>
      <c r="N402" s="1">
        <v>24.19466976</v>
      </c>
      <c r="O402" s="1">
        <v>12.19667944</v>
      </c>
      <c r="P402" s="1">
        <f t="shared" si="14"/>
        <v>2</v>
      </c>
      <c r="V402" t="str">
        <f t="shared" si="21"/>
        <v>Top Performer</v>
      </c>
      <c r="W402" t="e" cm="1">
        <f t="array" aca="1" ref="W402" ca="1">_xlfn.IFS(N402&gt;=20, "High",N402&gt;=10, "Medium", N402&lt;10, "Low")</f>
        <v>#NAME?</v>
      </c>
      <c r="X402" t="str">
        <f t="shared" si="22"/>
        <v>High Budget</v>
      </c>
      <c r="Y402" s="7">
        <f>VLOOKUP(G402, Lookup_table!B:C,2,0)</f>
        <v>1.2</v>
      </c>
      <c r="Z402" t="str">
        <f t="shared" si="23"/>
        <v>Efficient Spend</v>
      </c>
      <c r="AA402" t="str">
        <f>VLOOKUP(H402, Lookup_table!E:F,2,0)</f>
        <v>High</v>
      </c>
    </row>
    <row r="403" spans="1:27" ht="17.5" customHeight="1" x14ac:dyDescent="0.35">
      <c r="A403" s="1" t="s">
        <v>605</v>
      </c>
      <c r="B403" s="2">
        <v>45427</v>
      </c>
      <c r="C403" s="1" t="s">
        <v>503</v>
      </c>
      <c r="D403" s="1">
        <v>18</v>
      </c>
      <c r="E403" s="1" t="s">
        <v>29</v>
      </c>
      <c r="F403" s="1" t="s">
        <v>24</v>
      </c>
      <c r="G403" s="1" t="s">
        <v>46</v>
      </c>
      <c r="H403" s="1" t="s">
        <v>36</v>
      </c>
      <c r="I403" s="1">
        <v>1328.31</v>
      </c>
      <c r="J403" s="1">
        <v>30349</v>
      </c>
      <c r="K403" s="1">
        <v>497</v>
      </c>
      <c r="L403" s="1">
        <v>170</v>
      </c>
      <c r="M403" s="1">
        <v>3</v>
      </c>
      <c r="N403" s="1">
        <v>1.637615737</v>
      </c>
      <c r="O403" s="1">
        <v>34.205231390000002</v>
      </c>
      <c r="P403" s="1">
        <f t="shared" si="14"/>
        <v>3</v>
      </c>
      <c r="V403" t="str">
        <f t="shared" si="21"/>
        <v>Low Performer</v>
      </c>
      <c r="W403" t="e" cm="1">
        <f t="array" aca="1" ref="W403" ca="1">_xlfn.IFS(N403&gt;=20, "High",N403&gt;=10, "Medium", N403&lt;10, "Low")</f>
        <v>#NAME?</v>
      </c>
      <c r="X403" t="str">
        <f t="shared" si="22"/>
        <v>High Budget</v>
      </c>
      <c r="Y403" s="7">
        <f>VLOOKUP(G403, Lookup_table!B:C,2,0)</f>
        <v>0.75</v>
      </c>
      <c r="Z403" t="str">
        <f t="shared" si="23"/>
        <v>Inefficient Spend</v>
      </c>
      <c r="AA403" t="str">
        <f>VLOOKUP(H403, Lookup_table!E:F,2,0)</f>
        <v>High</v>
      </c>
    </row>
    <row r="404" spans="1:27" ht="17.5" customHeight="1" x14ac:dyDescent="0.35">
      <c r="A404" s="1" t="s">
        <v>606</v>
      </c>
      <c r="B404" s="2">
        <v>45526</v>
      </c>
      <c r="C404" s="1" t="s">
        <v>418</v>
      </c>
      <c r="D404" s="1">
        <v>39</v>
      </c>
      <c r="E404" s="1" t="s">
        <v>35</v>
      </c>
      <c r="F404" s="1" t="s">
        <v>57</v>
      </c>
      <c r="G404" s="1" t="s">
        <v>61</v>
      </c>
      <c r="H404" s="1" t="s">
        <v>62</v>
      </c>
      <c r="I404" s="1">
        <v>672.84</v>
      </c>
      <c r="J404" s="1">
        <v>24935</v>
      </c>
      <c r="K404" s="1">
        <v>3298</v>
      </c>
      <c r="L404" s="1">
        <v>351</v>
      </c>
      <c r="M404" s="1">
        <v>3</v>
      </c>
      <c r="N404" s="1">
        <v>13.226388610000001</v>
      </c>
      <c r="O404" s="1">
        <v>10.64281383</v>
      </c>
      <c r="P404" s="1">
        <f t="shared" si="14"/>
        <v>3</v>
      </c>
      <c r="V404" t="str">
        <f t="shared" si="21"/>
        <v>Top Performer</v>
      </c>
      <c r="W404" t="e" cm="1">
        <f t="array" aca="1" ref="W404" ca="1">_xlfn.IFS(N404&gt;=20, "High",N404&gt;=10, "Medium", N404&lt;10, "Low")</f>
        <v>#NAME?</v>
      </c>
      <c r="X404" t="str">
        <f t="shared" si="22"/>
        <v>Medium Budget</v>
      </c>
      <c r="Y404" s="7">
        <f>VLOOKUP(G404, Lookup_table!B:C,2,0)</f>
        <v>0.2</v>
      </c>
      <c r="Z404" t="str">
        <f t="shared" si="23"/>
        <v>Inefficient Spend</v>
      </c>
      <c r="AA404" t="str">
        <f>VLOOKUP(H404, Lookup_table!E:F,2,0)</f>
        <v>Medium</v>
      </c>
    </row>
    <row r="405" spans="1:27" ht="17.5" customHeight="1" x14ac:dyDescent="0.35">
      <c r="A405" s="1" t="s">
        <v>607</v>
      </c>
      <c r="B405" s="2">
        <v>45606</v>
      </c>
      <c r="C405" s="1" t="s">
        <v>283</v>
      </c>
      <c r="D405" s="1">
        <v>61</v>
      </c>
      <c r="E405" s="1" t="s">
        <v>23</v>
      </c>
      <c r="F405" s="1" t="s">
        <v>30</v>
      </c>
      <c r="G405" s="1" t="s">
        <v>46</v>
      </c>
      <c r="H405" s="1" t="s">
        <v>32</v>
      </c>
      <c r="I405" s="1">
        <v>1703.51</v>
      </c>
      <c r="J405" s="1">
        <v>4577</v>
      </c>
      <c r="K405" s="1">
        <v>1433</v>
      </c>
      <c r="L405" s="1">
        <v>266</v>
      </c>
      <c r="M405" s="1">
        <v>3</v>
      </c>
      <c r="N405" s="1">
        <v>31.3087175</v>
      </c>
      <c r="O405" s="1">
        <v>18.562456390000001</v>
      </c>
      <c r="P405" s="1">
        <f t="shared" si="14"/>
        <v>3</v>
      </c>
      <c r="V405" t="str">
        <f t="shared" si="21"/>
        <v>Average Performer</v>
      </c>
      <c r="W405" t="e" cm="1">
        <f t="array" aca="1" ref="W405" ca="1">_xlfn.IFS(N405&gt;=20, "High",N405&gt;=10, "Medium", N405&lt;10, "Low")</f>
        <v>#NAME?</v>
      </c>
      <c r="X405" t="str">
        <f t="shared" si="22"/>
        <v>High Budget</v>
      </c>
      <c r="Y405" s="7">
        <f>VLOOKUP(G405, Lookup_table!B:C,2,0)</f>
        <v>0.75</v>
      </c>
      <c r="Z405" t="str">
        <f t="shared" si="23"/>
        <v>Inefficient Spend</v>
      </c>
      <c r="AA405" t="str">
        <f>VLOOKUP(H405, Lookup_table!E:F,2,0)</f>
        <v>Medium</v>
      </c>
    </row>
    <row r="406" spans="1:27" ht="17.5" customHeight="1" x14ac:dyDescent="0.35">
      <c r="A406" s="1" t="s">
        <v>608</v>
      </c>
      <c r="B406" s="2">
        <v>45404</v>
      </c>
      <c r="C406" s="1" t="s">
        <v>319</v>
      </c>
      <c r="D406" s="1">
        <v>19</v>
      </c>
      <c r="E406" s="1" t="s">
        <v>29</v>
      </c>
      <c r="F406" s="1" t="s">
        <v>57</v>
      </c>
      <c r="G406" s="1" t="s">
        <v>46</v>
      </c>
      <c r="H406" s="1" t="s">
        <v>32</v>
      </c>
      <c r="I406" s="1">
        <v>1595.88</v>
      </c>
      <c r="J406" s="1">
        <v>17971</v>
      </c>
      <c r="K406" s="1">
        <v>4601</v>
      </c>
      <c r="L406" s="1">
        <v>368</v>
      </c>
      <c r="M406" s="1">
        <v>4</v>
      </c>
      <c r="N406" s="1">
        <v>25.602359360000001</v>
      </c>
      <c r="O406" s="1">
        <v>7.9982612480000004</v>
      </c>
      <c r="P406" s="1">
        <f t="shared" si="14"/>
        <v>4</v>
      </c>
      <c r="V406" t="str">
        <f t="shared" si="21"/>
        <v>Top Performer</v>
      </c>
      <c r="W406" t="e" cm="1">
        <f t="array" aca="1" ref="W406" ca="1">_xlfn.IFS(N406&gt;=20, "High",N406&gt;=10, "Medium", N406&lt;10, "Low")</f>
        <v>#NAME?</v>
      </c>
      <c r="X406" t="str">
        <f t="shared" si="22"/>
        <v>High Budget</v>
      </c>
      <c r="Y406" s="7">
        <f>VLOOKUP(G406, Lookup_table!B:C,2,0)</f>
        <v>0.75</v>
      </c>
      <c r="Z406" t="str">
        <f t="shared" si="23"/>
        <v>Efficient Spend</v>
      </c>
      <c r="AA406" t="str">
        <f>VLOOKUP(H406, Lookup_table!E:F,2,0)</f>
        <v>Medium</v>
      </c>
    </row>
    <row r="407" spans="1:27" ht="17.5" customHeight="1" x14ac:dyDescent="0.35">
      <c r="A407" s="1" t="s">
        <v>609</v>
      </c>
      <c r="B407" s="2">
        <v>45550</v>
      </c>
      <c r="C407" s="1" t="s">
        <v>166</v>
      </c>
      <c r="D407" s="1">
        <v>32</v>
      </c>
      <c r="E407" s="1" t="s">
        <v>23</v>
      </c>
      <c r="F407" s="1" t="s">
        <v>24</v>
      </c>
      <c r="G407" s="1" t="s">
        <v>46</v>
      </c>
      <c r="H407" s="1" t="s">
        <v>62</v>
      </c>
      <c r="I407" s="1">
        <v>1850.68</v>
      </c>
      <c r="J407" s="1">
        <v>2645</v>
      </c>
      <c r="K407" s="1">
        <v>3383</v>
      </c>
      <c r="L407" s="1">
        <v>152</v>
      </c>
      <c r="M407" s="1">
        <v>3</v>
      </c>
      <c r="N407" s="1">
        <v>127.9017013</v>
      </c>
      <c r="O407" s="1">
        <v>4.4930535029999996</v>
      </c>
      <c r="P407" s="1">
        <f t="shared" si="14"/>
        <v>3</v>
      </c>
      <c r="U407" s="1">
        <f>COUNTIF(N403:N1000, N407&gt;100)</f>
        <v>0</v>
      </c>
      <c r="V407" t="str">
        <f t="shared" si="21"/>
        <v>Average Performer</v>
      </c>
      <c r="W407" t="e" cm="1">
        <f t="array" aca="1" ref="W407" ca="1">_xlfn.IFS(N407&gt;=20, "High",N407&gt;=10, "Medium", N407&lt;10, "Low")</f>
        <v>#NAME?</v>
      </c>
      <c r="X407" t="str">
        <f t="shared" si="22"/>
        <v>High Budget</v>
      </c>
      <c r="Y407" s="7">
        <f>VLOOKUP(G407, Lookup_table!B:C,2,0)</f>
        <v>0.75</v>
      </c>
      <c r="Z407" t="str">
        <f t="shared" si="23"/>
        <v>Efficient Spend</v>
      </c>
      <c r="AA407" t="str">
        <f>VLOOKUP(H407, Lookup_table!E:F,2,0)</f>
        <v>Medium</v>
      </c>
    </row>
    <row r="408" spans="1:27" ht="17.5" customHeight="1" x14ac:dyDescent="0.35">
      <c r="A408" s="1" t="s">
        <v>610</v>
      </c>
      <c r="B408" s="2">
        <v>45587</v>
      </c>
      <c r="C408" s="1" t="s">
        <v>483</v>
      </c>
      <c r="D408" s="1">
        <v>36</v>
      </c>
      <c r="E408" s="1" t="s">
        <v>35</v>
      </c>
      <c r="F408" s="1" t="s">
        <v>50</v>
      </c>
      <c r="G408" s="1" t="s">
        <v>25</v>
      </c>
      <c r="H408" s="1" t="s">
        <v>62</v>
      </c>
      <c r="I408" s="1">
        <v>476.13</v>
      </c>
      <c r="J408" s="1">
        <v>10856</v>
      </c>
      <c r="K408" s="1">
        <v>424</v>
      </c>
      <c r="L408" s="1">
        <v>243</v>
      </c>
      <c r="M408" s="1">
        <v>2</v>
      </c>
      <c r="N408" s="1">
        <v>3.9056742820000001</v>
      </c>
      <c r="O408" s="1">
        <v>57.31132075</v>
      </c>
      <c r="P408" s="1">
        <f t="shared" si="14"/>
        <v>2</v>
      </c>
      <c r="V408" t="str">
        <f t="shared" si="21"/>
        <v>Low Performer</v>
      </c>
      <c r="W408" t="e" cm="1">
        <f t="array" aca="1" ref="W408" ca="1">_xlfn.IFS(N408&gt;=20, "High",N408&gt;=10, "Medium", N408&lt;10, "Low")</f>
        <v>#NAME?</v>
      </c>
      <c r="X408" t="str">
        <f t="shared" si="22"/>
        <v>Low Budget</v>
      </c>
      <c r="Y408" s="7">
        <f>VLOOKUP(G408, Lookup_table!B:C,2,0)</f>
        <v>0.5</v>
      </c>
      <c r="Z408" t="str">
        <f t="shared" si="23"/>
        <v>Inefficient Spend</v>
      </c>
      <c r="AA408" t="str">
        <f>VLOOKUP(H408, Lookup_table!E:F,2,0)</f>
        <v>Medium</v>
      </c>
    </row>
    <row r="409" spans="1:27" ht="17.5" customHeight="1" x14ac:dyDescent="0.35">
      <c r="A409" s="1" t="s">
        <v>611</v>
      </c>
      <c r="B409" s="2">
        <v>45622</v>
      </c>
      <c r="C409" s="1" t="s">
        <v>92</v>
      </c>
      <c r="D409" s="1">
        <v>53</v>
      </c>
      <c r="E409" s="1" t="s">
        <v>29</v>
      </c>
      <c r="F409" s="1" t="s">
        <v>45</v>
      </c>
      <c r="G409" s="1" t="s">
        <v>25</v>
      </c>
      <c r="H409" s="1" t="s">
        <v>32</v>
      </c>
      <c r="I409" s="1">
        <v>941.22</v>
      </c>
      <c r="J409" s="1">
        <v>25031</v>
      </c>
      <c r="K409" s="1">
        <v>4245</v>
      </c>
      <c r="L409" s="1">
        <v>25</v>
      </c>
      <c r="M409" s="1">
        <v>1</v>
      </c>
      <c r="N409" s="1">
        <v>16.958970879999999</v>
      </c>
      <c r="O409" s="1">
        <v>0.58892815099999996</v>
      </c>
      <c r="P409" s="1">
        <f t="shared" si="14"/>
        <v>1</v>
      </c>
      <c r="V409" t="str">
        <f t="shared" si="21"/>
        <v>Low Performer</v>
      </c>
      <c r="W409" t="e" cm="1">
        <f t="array" aca="1" ref="W409" ca="1">_xlfn.IFS(N409&gt;=20, "High",N409&gt;=10, "Medium", N409&lt;10, "Low")</f>
        <v>#NAME?</v>
      </c>
      <c r="X409" t="str">
        <f t="shared" si="22"/>
        <v>Medium Budget</v>
      </c>
      <c r="Y409" s="7">
        <f>VLOOKUP(G409, Lookup_table!B:C,2,0)</f>
        <v>0.5</v>
      </c>
      <c r="Z409" t="str">
        <f t="shared" si="23"/>
        <v>Efficient Spend</v>
      </c>
      <c r="AA409" t="str">
        <f>VLOOKUP(H409, Lookup_table!E:F,2,0)</f>
        <v>Medium</v>
      </c>
    </row>
    <row r="410" spans="1:27" ht="17.5" customHeight="1" x14ac:dyDescent="0.35">
      <c r="A410" s="1" t="s">
        <v>612</v>
      </c>
      <c r="B410" s="2">
        <v>45364</v>
      </c>
      <c r="C410" s="1" t="s">
        <v>28</v>
      </c>
      <c r="D410" s="1">
        <v>28</v>
      </c>
      <c r="E410" s="1" t="s">
        <v>35</v>
      </c>
      <c r="F410" s="1" t="s">
        <v>45</v>
      </c>
      <c r="G410" s="1" t="s">
        <v>61</v>
      </c>
      <c r="H410" s="1" t="s">
        <v>62</v>
      </c>
      <c r="I410" s="1">
        <v>148.41</v>
      </c>
      <c r="J410" s="1">
        <v>5305</v>
      </c>
      <c r="K410" s="1">
        <v>4529</v>
      </c>
      <c r="L410" s="1">
        <v>82</v>
      </c>
      <c r="M410" s="1">
        <v>5</v>
      </c>
      <c r="N410" s="1">
        <v>85.372290289999995</v>
      </c>
      <c r="O410" s="1">
        <v>1.8105542059999999</v>
      </c>
      <c r="P410" s="1">
        <f t="shared" si="14"/>
        <v>5</v>
      </c>
      <c r="V410" t="str">
        <f t="shared" si="21"/>
        <v>Low Performer</v>
      </c>
      <c r="W410" t="e" cm="1">
        <f t="array" aca="1" ref="W410" ca="1">_xlfn.IFS(N410&gt;=20, "High",N410&gt;=10, "Medium", N410&lt;10, "Low")</f>
        <v>#NAME?</v>
      </c>
      <c r="X410" t="str">
        <f t="shared" si="22"/>
        <v>Low Budget</v>
      </c>
      <c r="Y410" s="7">
        <f>VLOOKUP(G410, Lookup_table!B:C,2,0)</f>
        <v>0.2</v>
      </c>
      <c r="Z410" t="str">
        <f t="shared" si="23"/>
        <v>Efficient Spend</v>
      </c>
      <c r="AA410" t="str">
        <f>VLOOKUP(H410, Lookup_table!E:F,2,0)</f>
        <v>Medium</v>
      </c>
    </row>
    <row r="411" spans="1:27" ht="17.5" customHeight="1" x14ac:dyDescent="0.35">
      <c r="A411" s="1" t="s">
        <v>613</v>
      </c>
      <c r="B411" s="2">
        <v>45641</v>
      </c>
      <c r="C411" s="1" t="s">
        <v>123</v>
      </c>
      <c r="D411" s="1">
        <v>52</v>
      </c>
      <c r="E411" s="1" t="s">
        <v>23</v>
      </c>
      <c r="F411" s="1" t="s">
        <v>24</v>
      </c>
      <c r="G411" s="1" t="s">
        <v>46</v>
      </c>
      <c r="H411" s="1" t="s">
        <v>32</v>
      </c>
      <c r="I411" s="1">
        <v>1066.8800000000001</v>
      </c>
      <c r="J411" s="1">
        <v>1825</v>
      </c>
      <c r="K411" s="1">
        <v>3250</v>
      </c>
      <c r="L411" s="1">
        <v>309</v>
      </c>
      <c r="M411" s="1">
        <v>2</v>
      </c>
      <c r="N411" s="1">
        <v>178.0821918</v>
      </c>
      <c r="O411" s="1">
        <v>9.5076923079999993</v>
      </c>
      <c r="P411" s="1">
        <f t="shared" si="14"/>
        <v>2</v>
      </c>
      <c r="U411" s="1">
        <f>COUNTIF(N407:N1000, N411&gt;100)</f>
        <v>0</v>
      </c>
      <c r="V411" t="str">
        <f t="shared" si="21"/>
        <v>Top Performer</v>
      </c>
      <c r="W411" t="e" cm="1">
        <f t="array" aca="1" ref="W411" ca="1">_xlfn.IFS(N411&gt;=20, "High",N411&gt;=10, "Medium", N411&lt;10, "Low")</f>
        <v>#NAME?</v>
      </c>
      <c r="X411" t="str">
        <f t="shared" si="22"/>
        <v>High Budget</v>
      </c>
      <c r="Y411" s="7">
        <f>VLOOKUP(G411, Lookup_table!B:C,2,0)</f>
        <v>0.75</v>
      </c>
      <c r="Z411" t="str">
        <f t="shared" si="23"/>
        <v>Efficient Spend</v>
      </c>
      <c r="AA411" t="str">
        <f>VLOOKUP(H411, Lookup_table!E:F,2,0)</f>
        <v>Medium</v>
      </c>
    </row>
    <row r="412" spans="1:27" ht="17.5" customHeight="1" x14ac:dyDescent="0.35">
      <c r="A412" s="1" t="s">
        <v>614</v>
      </c>
      <c r="B412" s="2">
        <v>45296</v>
      </c>
      <c r="C412" s="1" t="s">
        <v>295</v>
      </c>
      <c r="D412" s="1">
        <v>24</v>
      </c>
      <c r="E412" s="1" t="s">
        <v>35</v>
      </c>
      <c r="F412" s="1" t="s">
        <v>41</v>
      </c>
      <c r="G412" s="1" t="s">
        <v>46</v>
      </c>
      <c r="H412" s="1" t="s">
        <v>32</v>
      </c>
      <c r="I412" s="1">
        <v>760.25</v>
      </c>
      <c r="J412" s="1">
        <v>9474</v>
      </c>
      <c r="K412" s="1">
        <v>3158</v>
      </c>
      <c r="L412" s="1">
        <v>369</v>
      </c>
      <c r="M412" s="1">
        <v>1</v>
      </c>
      <c r="N412" s="1">
        <v>33.333333330000002</v>
      </c>
      <c r="O412" s="1">
        <v>11.684610510000001</v>
      </c>
      <c r="P412" s="1">
        <f t="shared" si="14"/>
        <v>1</v>
      </c>
      <c r="V412" t="str">
        <f t="shared" si="21"/>
        <v>Top Performer</v>
      </c>
      <c r="W412" t="e" cm="1">
        <f t="array" aca="1" ref="W412" ca="1">_xlfn.IFS(N412&gt;=20, "High",N412&gt;=10, "Medium", N412&lt;10, "Low")</f>
        <v>#NAME?</v>
      </c>
      <c r="X412" t="str">
        <f t="shared" si="22"/>
        <v>Medium Budget</v>
      </c>
      <c r="Y412" s="7">
        <f>VLOOKUP(G412, Lookup_table!B:C,2,0)</f>
        <v>0.75</v>
      </c>
      <c r="Z412" t="str">
        <f t="shared" si="23"/>
        <v>Efficient Spend</v>
      </c>
      <c r="AA412" t="str">
        <f>VLOOKUP(H412, Lookup_table!E:F,2,0)</f>
        <v>Medium</v>
      </c>
    </row>
    <row r="413" spans="1:27" ht="17.5" customHeight="1" x14ac:dyDescent="0.35">
      <c r="A413" s="1" t="s">
        <v>615</v>
      </c>
      <c r="B413" s="2">
        <v>45292</v>
      </c>
      <c r="C413" s="1" t="s">
        <v>123</v>
      </c>
      <c r="D413" s="1">
        <v>28</v>
      </c>
      <c r="E413" s="1" t="s">
        <v>29</v>
      </c>
      <c r="F413" s="1" t="s">
        <v>57</v>
      </c>
      <c r="G413" s="1" t="s">
        <v>25</v>
      </c>
      <c r="H413" s="1" t="s">
        <v>36</v>
      </c>
      <c r="I413" s="1">
        <v>1768.66</v>
      </c>
      <c r="J413" s="1">
        <v>29556</v>
      </c>
      <c r="K413" s="1">
        <v>1515</v>
      </c>
      <c r="L413" s="1">
        <v>72</v>
      </c>
      <c r="M413" s="1">
        <v>1</v>
      </c>
      <c r="N413" s="1">
        <v>5.1258627690000003</v>
      </c>
      <c r="O413" s="1">
        <v>4.7524752479999997</v>
      </c>
      <c r="P413" s="1">
        <f t="shared" si="14"/>
        <v>1</v>
      </c>
      <c r="V413" t="str">
        <f t="shared" si="21"/>
        <v>Low Performer</v>
      </c>
      <c r="W413" t="e" cm="1">
        <f t="array" aca="1" ref="W413" ca="1">_xlfn.IFS(N413&gt;=20, "High",N413&gt;=10, "Medium", N413&lt;10, "Low")</f>
        <v>#NAME?</v>
      </c>
      <c r="X413" t="str">
        <f t="shared" si="22"/>
        <v>High Budget</v>
      </c>
      <c r="Y413" s="7">
        <f>VLOOKUP(G413, Lookup_table!B:C,2,0)</f>
        <v>0.5</v>
      </c>
      <c r="Z413" t="str">
        <f t="shared" si="23"/>
        <v>Inefficient Spend</v>
      </c>
      <c r="AA413" t="str">
        <f>VLOOKUP(H413, Lookup_table!E:F,2,0)</f>
        <v>High</v>
      </c>
    </row>
    <row r="414" spans="1:27" ht="17.5" customHeight="1" x14ac:dyDescent="0.35">
      <c r="A414" s="1" t="s">
        <v>616</v>
      </c>
      <c r="B414" s="2">
        <v>45472</v>
      </c>
      <c r="C414" s="1" t="s">
        <v>279</v>
      </c>
      <c r="D414" s="1">
        <v>64</v>
      </c>
      <c r="E414" s="1" t="s">
        <v>23</v>
      </c>
      <c r="F414" s="1" t="s">
        <v>45</v>
      </c>
      <c r="G414" s="1" t="s">
        <v>42</v>
      </c>
      <c r="H414" s="1" t="s">
        <v>62</v>
      </c>
      <c r="I414" s="1">
        <v>1906.47</v>
      </c>
      <c r="J414" s="1">
        <v>11072</v>
      </c>
      <c r="K414" s="1">
        <v>506</v>
      </c>
      <c r="L414" s="1">
        <v>313</v>
      </c>
      <c r="M414" s="1">
        <v>3</v>
      </c>
      <c r="N414" s="1">
        <v>4.5700867049999996</v>
      </c>
      <c r="O414" s="1">
        <v>61.857707509999997</v>
      </c>
      <c r="P414" s="1">
        <f t="shared" si="14"/>
        <v>3</v>
      </c>
      <c r="V414" t="str">
        <f t="shared" si="21"/>
        <v>Low Performer</v>
      </c>
      <c r="W414" t="e" cm="1">
        <f t="array" aca="1" ref="W414" ca="1">_xlfn.IFS(N414&gt;=20, "High",N414&gt;=10, "Medium", N414&lt;10, "Low")</f>
        <v>#NAME?</v>
      </c>
      <c r="X414" t="str">
        <f t="shared" si="22"/>
        <v>High Budget</v>
      </c>
      <c r="Y414" s="7">
        <f>VLOOKUP(G414, Lookup_table!B:C,2,0)</f>
        <v>0.3</v>
      </c>
      <c r="Z414" t="str">
        <f t="shared" si="23"/>
        <v>Inefficient Spend</v>
      </c>
      <c r="AA414" t="str">
        <f>VLOOKUP(H414, Lookup_table!E:F,2,0)</f>
        <v>Medium</v>
      </c>
    </row>
    <row r="415" spans="1:27" ht="17.5" customHeight="1" x14ac:dyDescent="0.35">
      <c r="A415" s="1" t="s">
        <v>617</v>
      </c>
      <c r="B415" s="2">
        <v>45405</v>
      </c>
      <c r="C415" s="1" t="s">
        <v>117</v>
      </c>
      <c r="D415" s="1">
        <v>44</v>
      </c>
      <c r="E415" s="1" t="s">
        <v>23</v>
      </c>
      <c r="F415" s="1" t="s">
        <v>30</v>
      </c>
      <c r="G415" s="1" t="s">
        <v>46</v>
      </c>
      <c r="H415" s="1" t="s">
        <v>62</v>
      </c>
      <c r="I415" s="1">
        <v>1707.42</v>
      </c>
      <c r="J415" s="1">
        <v>23793</v>
      </c>
      <c r="K415" s="1">
        <v>4726</v>
      </c>
      <c r="L415" s="1">
        <v>16</v>
      </c>
      <c r="M415" s="1">
        <v>5</v>
      </c>
      <c r="N415" s="1">
        <v>19.862984910000002</v>
      </c>
      <c r="O415" s="1">
        <v>0.33855268700000002</v>
      </c>
      <c r="P415" s="1">
        <f t="shared" si="14"/>
        <v>5</v>
      </c>
      <c r="V415" t="str">
        <f t="shared" si="21"/>
        <v>Low Performer</v>
      </c>
      <c r="W415" t="e" cm="1">
        <f t="array" aca="1" ref="W415" ca="1">_xlfn.IFS(N415&gt;=20, "High",N415&gt;=10, "Medium", N415&lt;10, "Low")</f>
        <v>#NAME?</v>
      </c>
      <c r="X415" t="str">
        <f t="shared" si="22"/>
        <v>High Budget</v>
      </c>
      <c r="Y415" s="7">
        <f>VLOOKUP(G415, Lookup_table!B:C,2,0)</f>
        <v>0.75</v>
      </c>
      <c r="Z415" t="str">
        <f t="shared" si="23"/>
        <v>Efficient Spend</v>
      </c>
      <c r="AA415" t="str">
        <f>VLOOKUP(H415, Lookup_table!E:F,2,0)</f>
        <v>Medium</v>
      </c>
    </row>
    <row r="416" spans="1:27" ht="17.5" customHeight="1" x14ac:dyDescent="0.35">
      <c r="A416" s="1" t="s">
        <v>618</v>
      </c>
      <c r="B416" s="2">
        <v>45312</v>
      </c>
      <c r="C416" s="1" t="s">
        <v>619</v>
      </c>
      <c r="D416" s="1">
        <v>64</v>
      </c>
      <c r="E416" s="1" t="s">
        <v>29</v>
      </c>
      <c r="F416" s="1" t="s">
        <v>57</v>
      </c>
      <c r="G416" s="1" t="s">
        <v>25</v>
      </c>
      <c r="H416" s="1" t="s">
        <v>62</v>
      </c>
      <c r="I416" s="1">
        <v>1671.11</v>
      </c>
      <c r="J416" s="1">
        <v>29809</v>
      </c>
      <c r="K416" s="1">
        <v>1530</v>
      </c>
      <c r="L416" s="1">
        <v>286</v>
      </c>
      <c r="M416" s="1">
        <v>1</v>
      </c>
      <c r="N416" s="1">
        <v>5.13267805</v>
      </c>
      <c r="O416" s="1">
        <v>18.69281046</v>
      </c>
      <c r="P416" s="1">
        <f t="shared" si="14"/>
        <v>1</v>
      </c>
      <c r="V416" t="str">
        <f t="shared" si="21"/>
        <v>Average Performer</v>
      </c>
      <c r="W416" t="e" cm="1">
        <f t="array" aca="1" ref="W416" ca="1">_xlfn.IFS(N416&gt;=20, "High",N416&gt;=10, "Medium", N416&lt;10, "Low")</f>
        <v>#NAME?</v>
      </c>
      <c r="X416" t="str">
        <f t="shared" si="22"/>
        <v>High Budget</v>
      </c>
      <c r="Y416" s="7">
        <f>VLOOKUP(G416, Lookup_table!B:C,2,0)</f>
        <v>0.5</v>
      </c>
      <c r="Z416" t="str">
        <f t="shared" si="23"/>
        <v>Inefficient Spend</v>
      </c>
      <c r="AA416" t="str">
        <f>VLOOKUP(H416, Lookup_table!E:F,2,0)</f>
        <v>Medium</v>
      </c>
    </row>
    <row r="417" spans="1:27" ht="17.5" customHeight="1" x14ac:dyDescent="0.35">
      <c r="A417" s="1" t="s">
        <v>620</v>
      </c>
      <c r="B417" s="2">
        <v>45416</v>
      </c>
      <c r="C417" s="1" t="s">
        <v>467</v>
      </c>
      <c r="D417" s="1">
        <v>32</v>
      </c>
      <c r="E417" s="1" t="s">
        <v>35</v>
      </c>
      <c r="F417" s="1" t="s">
        <v>45</v>
      </c>
      <c r="G417" s="1" t="s">
        <v>46</v>
      </c>
      <c r="H417" s="1" t="s">
        <v>26</v>
      </c>
      <c r="I417" s="1">
        <v>1260.79</v>
      </c>
      <c r="J417" s="1">
        <v>20759</v>
      </c>
      <c r="K417" s="1">
        <v>3130</v>
      </c>
      <c r="L417" s="1">
        <v>278</v>
      </c>
      <c r="M417" s="1">
        <v>3</v>
      </c>
      <c r="N417" s="1">
        <v>15.07779758</v>
      </c>
      <c r="O417" s="1">
        <v>8.8817891370000002</v>
      </c>
      <c r="P417" s="1">
        <f t="shared" si="14"/>
        <v>3</v>
      </c>
      <c r="V417" t="str">
        <f t="shared" si="21"/>
        <v>Top Performer</v>
      </c>
      <c r="W417" t="e" cm="1">
        <f t="array" aca="1" ref="W417" ca="1">_xlfn.IFS(N417&gt;=20, "High",N417&gt;=10, "Medium", N417&lt;10, "Low")</f>
        <v>#NAME?</v>
      </c>
      <c r="X417" t="str">
        <f t="shared" si="22"/>
        <v>High Budget</v>
      </c>
      <c r="Y417" s="7">
        <f>VLOOKUP(G417, Lookup_table!B:C,2,0)</f>
        <v>0.75</v>
      </c>
      <c r="Z417" t="str">
        <f t="shared" si="23"/>
        <v>Efficient Spend</v>
      </c>
      <c r="AA417" t="str">
        <f>VLOOKUP(H417, Lookup_table!E:F,2,0)</f>
        <v>High</v>
      </c>
    </row>
    <row r="418" spans="1:27" ht="17.5" customHeight="1" x14ac:dyDescent="0.35">
      <c r="A418" s="1" t="s">
        <v>621</v>
      </c>
      <c r="B418" s="2">
        <v>45323</v>
      </c>
      <c r="C418" s="1" t="s">
        <v>160</v>
      </c>
      <c r="D418" s="1">
        <v>25</v>
      </c>
      <c r="E418" s="1" t="s">
        <v>29</v>
      </c>
      <c r="F418" s="1" t="s">
        <v>24</v>
      </c>
      <c r="G418" s="1" t="s">
        <v>42</v>
      </c>
      <c r="H418" s="1" t="s">
        <v>26</v>
      </c>
      <c r="I418" s="1">
        <v>1477.47</v>
      </c>
      <c r="J418" s="1">
        <v>20498</v>
      </c>
      <c r="K418" s="1">
        <v>4773</v>
      </c>
      <c r="L418" s="1">
        <v>22</v>
      </c>
      <c r="M418" s="1">
        <v>3</v>
      </c>
      <c r="N418" s="1">
        <v>23.285198560000001</v>
      </c>
      <c r="O418" s="1">
        <v>0.46092604199999998</v>
      </c>
      <c r="P418" s="1">
        <f t="shared" si="14"/>
        <v>3</v>
      </c>
      <c r="V418" t="str">
        <f t="shared" si="21"/>
        <v>Low Performer</v>
      </c>
      <c r="W418" t="e" cm="1">
        <f t="array" aca="1" ref="W418" ca="1">_xlfn.IFS(N418&gt;=20, "High",N418&gt;=10, "Medium", N418&lt;10, "Low")</f>
        <v>#NAME?</v>
      </c>
      <c r="X418" t="str">
        <f t="shared" si="22"/>
        <v>High Budget</v>
      </c>
      <c r="Y418" s="7">
        <f>VLOOKUP(G418, Lookup_table!B:C,2,0)</f>
        <v>0.3</v>
      </c>
      <c r="Z418" t="str">
        <f t="shared" si="23"/>
        <v>Inefficient Spend</v>
      </c>
      <c r="AA418" t="str">
        <f>VLOOKUP(H418, Lookup_table!E:F,2,0)</f>
        <v>High</v>
      </c>
    </row>
    <row r="419" spans="1:27" ht="17.5" customHeight="1" x14ac:dyDescent="0.35">
      <c r="A419" s="1" t="s">
        <v>622</v>
      </c>
      <c r="B419" s="2">
        <v>45341</v>
      </c>
      <c r="C419" s="1" t="s">
        <v>623</v>
      </c>
      <c r="D419" s="1">
        <v>47</v>
      </c>
      <c r="E419" s="1" t="s">
        <v>29</v>
      </c>
      <c r="F419" s="1" t="s">
        <v>30</v>
      </c>
      <c r="G419" s="1" t="s">
        <v>46</v>
      </c>
      <c r="H419" s="1" t="s">
        <v>62</v>
      </c>
      <c r="I419" s="1">
        <v>542.73</v>
      </c>
      <c r="J419" s="1">
        <v>13676</v>
      </c>
      <c r="K419" s="1">
        <v>4567</v>
      </c>
      <c r="L419" s="1">
        <v>155</v>
      </c>
      <c r="M419" s="1">
        <v>3</v>
      </c>
      <c r="N419" s="1">
        <v>33.394267329999998</v>
      </c>
      <c r="O419" s="1">
        <v>3.3939128529999998</v>
      </c>
      <c r="P419" s="1">
        <f t="shared" si="14"/>
        <v>3</v>
      </c>
      <c r="V419" t="str">
        <f t="shared" si="21"/>
        <v>Average Performer</v>
      </c>
      <c r="W419" t="e" cm="1">
        <f t="array" aca="1" ref="W419" ca="1">_xlfn.IFS(N419&gt;=20, "High",N419&gt;=10, "Medium", N419&lt;10, "Low")</f>
        <v>#NAME?</v>
      </c>
      <c r="X419" t="str">
        <f t="shared" si="22"/>
        <v>Medium Budget</v>
      </c>
      <c r="Y419" s="7">
        <f>VLOOKUP(G419, Lookup_table!B:C,2,0)</f>
        <v>0.75</v>
      </c>
      <c r="Z419" t="str">
        <f t="shared" si="23"/>
        <v>Efficient Spend</v>
      </c>
      <c r="AA419" t="str">
        <f>VLOOKUP(H419, Lookup_table!E:F,2,0)</f>
        <v>Medium</v>
      </c>
    </row>
    <row r="420" spans="1:27" ht="17.5" customHeight="1" x14ac:dyDescent="0.35">
      <c r="A420" s="1" t="s">
        <v>624</v>
      </c>
      <c r="B420" s="2">
        <v>45526</v>
      </c>
      <c r="C420" s="1" t="s">
        <v>625</v>
      </c>
      <c r="D420" s="1">
        <v>48</v>
      </c>
      <c r="E420" s="1" t="s">
        <v>35</v>
      </c>
      <c r="F420" s="1" t="s">
        <v>30</v>
      </c>
      <c r="G420" s="1" t="s">
        <v>25</v>
      </c>
      <c r="H420" s="1" t="s">
        <v>36</v>
      </c>
      <c r="I420" s="1">
        <v>1534.08</v>
      </c>
      <c r="J420" s="1">
        <v>5411</v>
      </c>
      <c r="K420" s="1">
        <v>2920</v>
      </c>
      <c r="L420" s="1">
        <v>278</v>
      </c>
      <c r="M420" s="1">
        <v>4</v>
      </c>
      <c r="N420" s="1">
        <v>53.964147109999999</v>
      </c>
      <c r="O420" s="1">
        <v>9.5205479450000006</v>
      </c>
      <c r="P420" s="1">
        <f t="shared" si="14"/>
        <v>4</v>
      </c>
      <c r="V420" t="str">
        <f t="shared" si="21"/>
        <v>Average Performer</v>
      </c>
      <c r="W420" t="e" cm="1">
        <f t="array" aca="1" ref="W420" ca="1">_xlfn.IFS(N420&gt;=20, "High",N420&gt;=10, "Medium", N420&lt;10, "Low")</f>
        <v>#NAME?</v>
      </c>
      <c r="X420" t="str">
        <f t="shared" si="22"/>
        <v>High Budget</v>
      </c>
      <c r="Y420" s="7">
        <f>VLOOKUP(G420, Lookup_table!B:C,2,0)</f>
        <v>0.5</v>
      </c>
      <c r="Z420" t="str">
        <f t="shared" si="23"/>
        <v>Inefficient Spend</v>
      </c>
      <c r="AA420" t="str">
        <f>VLOOKUP(H420, Lookup_table!E:F,2,0)</f>
        <v>High</v>
      </c>
    </row>
    <row r="421" spans="1:27" ht="17.5" customHeight="1" x14ac:dyDescent="0.35">
      <c r="A421" s="1" t="s">
        <v>626</v>
      </c>
      <c r="B421" s="2">
        <v>45442</v>
      </c>
      <c r="C421" s="1" t="s">
        <v>147</v>
      </c>
      <c r="D421" s="1">
        <v>60</v>
      </c>
      <c r="E421" s="1" t="s">
        <v>35</v>
      </c>
      <c r="F421" s="1" t="s">
        <v>41</v>
      </c>
      <c r="G421" s="1" t="s">
        <v>61</v>
      </c>
      <c r="H421" s="1" t="s">
        <v>32</v>
      </c>
      <c r="I421" s="1">
        <v>1099.27</v>
      </c>
      <c r="J421" s="1">
        <v>34063</v>
      </c>
      <c r="K421" s="1">
        <v>386</v>
      </c>
      <c r="L421" s="1">
        <v>390</v>
      </c>
      <c r="M421" s="1">
        <v>4</v>
      </c>
      <c r="N421" s="1">
        <v>1.133194375</v>
      </c>
      <c r="O421" s="1">
        <v>101.03626939999999</v>
      </c>
      <c r="P421" s="1">
        <f t="shared" si="14"/>
        <v>4</v>
      </c>
      <c r="V421" t="str">
        <f t="shared" si="21"/>
        <v>Low Performer</v>
      </c>
      <c r="W421" t="e" cm="1">
        <f t="array" aca="1" ref="W421" ca="1">_xlfn.IFS(N421&gt;=20, "High",N421&gt;=10, "Medium", N421&lt;10, "Low")</f>
        <v>#NAME?</v>
      </c>
      <c r="X421" t="str">
        <f t="shared" si="22"/>
        <v>High Budget</v>
      </c>
      <c r="Y421" s="7">
        <f>VLOOKUP(G421, Lookup_table!B:C,2,0)</f>
        <v>0.2</v>
      </c>
      <c r="Z421" t="str">
        <f t="shared" si="23"/>
        <v>Inefficient Spend</v>
      </c>
      <c r="AA421" t="str">
        <f>VLOOKUP(H421, Lookup_table!E:F,2,0)</f>
        <v>Medium</v>
      </c>
    </row>
    <row r="422" spans="1:27" ht="17.5" customHeight="1" x14ac:dyDescent="0.35">
      <c r="A422" s="1" t="s">
        <v>627</v>
      </c>
      <c r="B422" s="2">
        <v>45450</v>
      </c>
      <c r="C422" s="1" t="s">
        <v>324</v>
      </c>
      <c r="E422" s="1" t="s">
        <v>23</v>
      </c>
      <c r="G422" s="1" t="s">
        <v>31</v>
      </c>
      <c r="H422" s="1" t="s">
        <v>62</v>
      </c>
      <c r="I422" s="1">
        <v>228.11</v>
      </c>
      <c r="J422" s="1">
        <v>8559</v>
      </c>
      <c r="K422" s="1">
        <v>4690</v>
      </c>
      <c r="L422" s="1">
        <v>49</v>
      </c>
      <c r="N422" s="1">
        <v>54.796121040000003</v>
      </c>
      <c r="O422" s="1">
        <v>1.044776119</v>
      </c>
      <c r="P422" s="1">
        <f t="shared" si="14"/>
        <v>3</v>
      </c>
      <c r="V422" t="str">
        <f t="shared" si="21"/>
        <v>Low Performer</v>
      </c>
      <c r="W422" t="e" cm="1">
        <f t="array" aca="1" ref="W422" ca="1">_xlfn.IFS(N422&gt;=20, "High",N422&gt;=10, "Medium", N422&lt;10, "Low")</f>
        <v>#NAME?</v>
      </c>
      <c r="X422" t="str">
        <f t="shared" si="22"/>
        <v>Low Budget</v>
      </c>
      <c r="Y422" s="7">
        <f>VLOOKUP(G422, Lookup_table!B:C,2,0)</f>
        <v>1.2</v>
      </c>
      <c r="Z422" t="str">
        <f t="shared" si="23"/>
        <v>Efficient Spend</v>
      </c>
      <c r="AA422" t="str">
        <f>VLOOKUP(H422, Lookup_table!E:F,2,0)</f>
        <v>Medium</v>
      </c>
    </row>
    <row r="423" spans="1:27" ht="17.5" customHeight="1" x14ac:dyDescent="0.35">
      <c r="A423" s="1" t="s">
        <v>628</v>
      </c>
      <c r="B423" s="2">
        <v>45406</v>
      </c>
      <c r="C423" s="1" t="s">
        <v>232</v>
      </c>
      <c r="D423" s="1">
        <v>42</v>
      </c>
      <c r="E423" s="1" t="s">
        <v>29</v>
      </c>
      <c r="F423" s="1" t="s">
        <v>30</v>
      </c>
      <c r="G423" s="1" t="s">
        <v>31</v>
      </c>
      <c r="H423" s="1" t="s">
        <v>36</v>
      </c>
      <c r="I423" s="1">
        <v>1658.51</v>
      </c>
      <c r="J423" s="1">
        <v>1905</v>
      </c>
      <c r="K423" s="1">
        <v>3016</v>
      </c>
      <c r="L423" s="1">
        <v>365</v>
      </c>
      <c r="M423" s="1">
        <v>5</v>
      </c>
      <c r="N423" s="1">
        <v>158.32021</v>
      </c>
      <c r="O423" s="1">
        <v>12.102122019999999</v>
      </c>
      <c r="P423" s="1">
        <f t="shared" si="14"/>
        <v>5</v>
      </c>
      <c r="U423" s="1">
        <f>COUNTIF(N419:N1000, N423&gt;100)</f>
        <v>0</v>
      </c>
      <c r="V423" t="str">
        <f t="shared" si="21"/>
        <v>Top Performer</v>
      </c>
      <c r="W423" t="e" cm="1">
        <f t="array" aca="1" ref="W423" ca="1">_xlfn.IFS(N423&gt;=20, "High",N423&gt;=10, "Medium", N423&lt;10, "Low")</f>
        <v>#NAME?</v>
      </c>
      <c r="X423" t="str">
        <f t="shared" si="22"/>
        <v>High Budget</v>
      </c>
      <c r="Y423" s="7">
        <f>VLOOKUP(G423, Lookup_table!B:C,2,0)</f>
        <v>1.2</v>
      </c>
      <c r="Z423" t="str">
        <f t="shared" si="23"/>
        <v>Efficient Spend</v>
      </c>
      <c r="AA423" t="str">
        <f>VLOOKUP(H423, Lookup_table!E:F,2,0)</f>
        <v>High</v>
      </c>
    </row>
    <row r="424" spans="1:27" ht="17.5" customHeight="1" x14ac:dyDescent="0.35">
      <c r="A424" s="1" t="s">
        <v>629</v>
      </c>
      <c r="B424" s="2">
        <v>45612</v>
      </c>
      <c r="C424" s="1" t="s">
        <v>181</v>
      </c>
      <c r="D424" s="1">
        <v>62</v>
      </c>
      <c r="E424" s="1" t="s">
        <v>35</v>
      </c>
      <c r="F424" s="1" t="s">
        <v>24</v>
      </c>
      <c r="G424" s="1" t="s">
        <v>46</v>
      </c>
      <c r="H424" s="1" t="s">
        <v>36</v>
      </c>
      <c r="I424" s="1">
        <v>1462.9</v>
      </c>
      <c r="J424" s="1">
        <v>10830</v>
      </c>
      <c r="K424" s="1">
        <v>2967</v>
      </c>
      <c r="L424" s="1">
        <v>26</v>
      </c>
      <c r="M424" s="1">
        <v>3</v>
      </c>
      <c r="N424" s="1">
        <v>27.396121879999999</v>
      </c>
      <c r="O424" s="1">
        <v>0.87630603299999998</v>
      </c>
      <c r="P424" s="1">
        <f t="shared" si="14"/>
        <v>3</v>
      </c>
      <c r="V424" t="str">
        <f t="shared" si="21"/>
        <v>Low Performer</v>
      </c>
      <c r="W424" t="e" cm="1">
        <f t="array" aca="1" ref="W424" ca="1">_xlfn.IFS(N424&gt;=20, "High",N424&gt;=10, "Medium", N424&lt;10, "Low")</f>
        <v>#NAME?</v>
      </c>
      <c r="X424" t="str">
        <f t="shared" si="22"/>
        <v>High Budget</v>
      </c>
      <c r="Y424" s="7">
        <f>VLOOKUP(G424, Lookup_table!B:C,2,0)</f>
        <v>0.75</v>
      </c>
      <c r="Z424" t="str">
        <f t="shared" si="23"/>
        <v>Efficient Spend</v>
      </c>
      <c r="AA424" t="str">
        <f>VLOOKUP(H424, Lookup_table!E:F,2,0)</f>
        <v>High</v>
      </c>
    </row>
    <row r="425" spans="1:27" ht="17.5" customHeight="1" x14ac:dyDescent="0.35">
      <c r="A425" s="1" t="s">
        <v>630</v>
      </c>
      <c r="B425" s="2">
        <v>45454</v>
      </c>
      <c r="C425" s="1" t="s">
        <v>245</v>
      </c>
      <c r="D425" s="1">
        <v>26</v>
      </c>
      <c r="E425" s="1" t="s">
        <v>23</v>
      </c>
      <c r="F425" s="1" t="s">
        <v>41</v>
      </c>
      <c r="G425" s="1" t="s">
        <v>42</v>
      </c>
      <c r="H425" s="1" t="s">
        <v>36</v>
      </c>
      <c r="I425" s="1">
        <v>1303.29</v>
      </c>
      <c r="J425" s="1">
        <v>14707</v>
      </c>
      <c r="K425" s="1">
        <v>3119</v>
      </c>
      <c r="L425" s="1">
        <v>257</v>
      </c>
      <c r="M425" s="1">
        <v>3</v>
      </c>
      <c r="N425" s="1">
        <v>21.207588220000002</v>
      </c>
      <c r="O425" s="1">
        <v>8.2398204550000003</v>
      </c>
      <c r="P425" s="1">
        <f t="shared" si="14"/>
        <v>3</v>
      </c>
      <c r="V425" t="str">
        <f t="shared" si="21"/>
        <v>Top Performer</v>
      </c>
      <c r="W425" t="e" cm="1">
        <f t="array" aca="1" ref="W425" ca="1">_xlfn.IFS(N425&gt;=20, "High",N425&gt;=10, "Medium", N425&lt;10, "Low")</f>
        <v>#NAME?</v>
      </c>
      <c r="X425" t="str">
        <f t="shared" si="22"/>
        <v>High Budget</v>
      </c>
      <c r="Y425" s="7">
        <f>VLOOKUP(G425, Lookup_table!B:C,2,0)</f>
        <v>0.3</v>
      </c>
      <c r="Z425" t="str">
        <f t="shared" si="23"/>
        <v>Inefficient Spend</v>
      </c>
      <c r="AA425" t="str">
        <f>VLOOKUP(H425, Lookup_table!E:F,2,0)</f>
        <v>High</v>
      </c>
    </row>
    <row r="426" spans="1:27" ht="17.5" customHeight="1" x14ac:dyDescent="0.35">
      <c r="A426" s="1" t="s">
        <v>631</v>
      </c>
      <c r="B426" s="2">
        <v>45376</v>
      </c>
      <c r="C426" s="1" t="s">
        <v>582</v>
      </c>
      <c r="E426" s="1" t="s">
        <v>35</v>
      </c>
      <c r="G426" s="1" t="s">
        <v>25</v>
      </c>
      <c r="H426" s="1" t="s">
        <v>32</v>
      </c>
      <c r="I426" s="1">
        <v>1429.08</v>
      </c>
      <c r="J426" s="1">
        <v>42077</v>
      </c>
      <c r="K426" s="1">
        <v>3878</v>
      </c>
      <c r="L426" s="1">
        <v>297</v>
      </c>
      <c r="N426" s="1">
        <v>9.2164365329999995</v>
      </c>
      <c r="O426" s="1">
        <v>7.6585869000000004</v>
      </c>
      <c r="P426" s="1">
        <f t="shared" si="14"/>
        <v>3</v>
      </c>
      <c r="V426" t="str">
        <f t="shared" si="21"/>
        <v>Top Performer</v>
      </c>
      <c r="W426" t="e" cm="1">
        <f t="array" aca="1" ref="W426" ca="1">_xlfn.IFS(N426&gt;=20, "High",N426&gt;=10, "Medium", N426&lt;10, "Low")</f>
        <v>#NAME?</v>
      </c>
      <c r="X426" t="str">
        <f t="shared" si="22"/>
        <v>High Budget</v>
      </c>
      <c r="Y426" s="7">
        <f>VLOOKUP(G426, Lookup_table!B:C,2,0)</f>
        <v>0.5</v>
      </c>
      <c r="Z426" t="str">
        <f t="shared" si="23"/>
        <v>Efficient Spend</v>
      </c>
      <c r="AA426" t="str">
        <f>VLOOKUP(H426, Lookup_table!E:F,2,0)</f>
        <v>Medium</v>
      </c>
    </row>
    <row r="427" spans="1:27" ht="17.5" customHeight="1" x14ac:dyDescent="0.35">
      <c r="A427" s="1" t="s">
        <v>632</v>
      </c>
      <c r="B427" s="2">
        <v>45371</v>
      </c>
      <c r="C427" s="1" t="s">
        <v>540</v>
      </c>
      <c r="D427" s="1">
        <v>49</v>
      </c>
      <c r="E427" s="1" t="s">
        <v>29</v>
      </c>
      <c r="F427" s="1" t="s">
        <v>50</v>
      </c>
      <c r="G427" s="1" t="s">
        <v>31</v>
      </c>
      <c r="H427" s="1" t="s">
        <v>32</v>
      </c>
      <c r="I427" s="1">
        <v>1538.3</v>
      </c>
      <c r="J427" s="1">
        <v>22233</v>
      </c>
      <c r="K427" s="1">
        <v>4466</v>
      </c>
      <c r="L427" s="1">
        <v>98</v>
      </c>
      <c r="M427" s="1">
        <v>1</v>
      </c>
      <c r="N427" s="1">
        <v>20.08725768</v>
      </c>
      <c r="O427" s="1">
        <v>2.1943573669999998</v>
      </c>
      <c r="P427" s="1">
        <f t="shared" si="14"/>
        <v>1</v>
      </c>
      <c r="V427" t="str">
        <f t="shared" si="21"/>
        <v>Low Performer</v>
      </c>
      <c r="W427" t="e" cm="1">
        <f t="array" aca="1" ref="W427" ca="1">_xlfn.IFS(N427&gt;=20, "High",N427&gt;=10, "Medium", N427&lt;10, "Low")</f>
        <v>#NAME?</v>
      </c>
      <c r="X427" t="str">
        <f t="shared" si="22"/>
        <v>High Budget</v>
      </c>
      <c r="Y427" s="7">
        <f>VLOOKUP(G427, Lookup_table!B:C,2,0)</f>
        <v>1.2</v>
      </c>
      <c r="Z427" t="str">
        <f t="shared" si="23"/>
        <v>Efficient Spend</v>
      </c>
      <c r="AA427" t="str">
        <f>VLOOKUP(H427, Lookup_table!E:F,2,0)</f>
        <v>Medium</v>
      </c>
    </row>
    <row r="428" spans="1:27" ht="17.5" customHeight="1" x14ac:dyDescent="0.35">
      <c r="A428" s="1" t="s">
        <v>633</v>
      </c>
      <c r="B428" s="2">
        <v>45292</v>
      </c>
      <c r="C428" s="1" t="s">
        <v>584</v>
      </c>
      <c r="D428" s="1">
        <v>59</v>
      </c>
      <c r="E428" s="1" t="s">
        <v>23</v>
      </c>
      <c r="F428" s="1" t="s">
        <v>30</v>
      </c>
      <c r="G428" s="1" t="s">
        <v>42</v>
      </c>
      <c r="H428" s="1" t="s">
        <v>32</v>
      </c>
      <c r="I428" s="1">
        <v>383.23</v>
      </c>
      <c r="J428" s="1">
        <v>18256</v>
      </c>
      <c r="K428" s="1">
        <v>3150</v>
      </c>
      <c r="L428" s="1">
        <v>207</v>
      </c>
      <c r="M428" s="1">
        <v>1</v>
      </c>
      <c r="N428" s="1">
        <v>17.254601229999999</v>
      </c>
      <c r="O428" s="1">
        <v>6.5714285710000002</v>
      </c>
      <c r="P428" s="1">
        <f t="shared" si="14"/>
        <v>1</v>
      </c>
      <c r="V428" t="str">
        <f t="shared" si="21"/>
        <v>Top Performer</v>
      </c>
      <c r="W428" t="e" cm="1">
        <f t="array" aca="1" ref="W428" ca="1">_xlfn.IFS(N428&gt;=20, "High",N428&gt;=10, "Medium", N428&lt;10, "Low")</f>
        <v>#NAME?</v>
      </c>
      <c r="X428" t="str">
        <f t="shared" si="22"/>
        <v>Low Budget</v>
      </c>
      <c r="Y428" s="7">
        <f>VLOOKUP(G428, Lookup_table!B:C,2,0)</f>
        <v>0.3</v>
      </c>
      <c r="Z428" t="str">
        <f t="shared" si="23"/>
        <v>Efficient Spend</v>
      </c>
      <c r="AA428" t="str">
        <f>VLOOKUP(H428, Lookup_table!E:F,2,0)</f>
        <v>Medium</v>
      </c>
    </row>
    <row r="429" spans="1:27" ht="17.5" customHeight="1" x14ac:dyDescent="0.35">
      <c r="A429" s="1" t="s">
        <v>634</v>
      </c>
      <c r="B429" s="2">
        <v>45518</v>
      </c>
      <c r="C429" s="1" t="s">
        <v>81</v>
      </c>
      <c r="D429" s="1">
        <v>60</v>
      </c>
      <c r="E429" s="1" t="s">
        <v>35</v>
      </c>
      <c r="F429" s="1" t="s">
        <v>45</v>
      </c>
      <c r="G429" s="1" t="s">
        <v>42</v>
      </c>
      <c r="H429" s="1" t="s">
        <v>32</v>
      </c>
      <c r="I429" s="1">
        <v>1491.06</v>
      </c>
      <c r="J429" s="1">
        <v>29925</v>
      </c>
      <c r="K429" s="1">
        <v>4092</v>
      </c>
      <c r="L429" s="1">
        <v>224</v>
      </c>
      <c r="N429" s="1">
        <v>13.67418546</v>
      </c>
      <c r="O429" s="1">
        <v>5.4740957970000004</v>
      </c>
      <c r="P429" s="1">
        <f t="shared" si="14"/>
        <v>3</v>
      </c>
      <c r="V429" t="str">
        <f t="shared" si="21"/>
        <v>Top Performer</v>
      </c>
      <c r="W429" t="e" cm="1">
        <f t="array" aca="1" ref="W429" ca="1">_xlfn.IFS(N429&gt;=20, "High",N429&gt;=10, "Medium", N429&lt;10, "Low")</f>
        <v>#NAME?</v>
      </c>
      <c r="X429" t="str">
        <f t="shared" si="22"/>
        <v>High Budget</v>
      </c>
      <c r="Y429" s="7">
        <f>VLOOKUP(G429, Lookup_table!B:C,2,0)</f>
        <v>0.3</v>
      </c>
      <c r="Z429" t="str">
        <f t="shared" si="23"/>
        <v>Inefficient Spend</v>
      </c>
      <c r="AA429" t="str">
        <f>VLOOKUP(H429, Lookup_table!E:F,2,0)</f>
        <v>Medium</v>
      </c>
    </row>
    <row r="430" spans="1:27" ht="17.5" customHeight="1" x14ac:dyDescent="0.35">
      <c r="A430" s="1" t="s">
        <v>635</v>
      </c>
      <c r="B430" s="2">
        <v>45455</v>
      </c>
      <c r="C430" s="1" t="s">
        <v>212</v>
      </c>
      <c r="D430" s="1">
        <v>42</v>
      </c>
      <c r="E430" s="1" t="s">
        <v>35</v>
      </c>
      <c r="F430" s="1" t="s">
        <v>41</v>
      </c>
      <c r="G430" s="1" t="s">
        <v>61</v>
      </c>
      <c r="H430" s="1" t="s">
        <v>26</v>
      </c>
      <c r="I430" s="1">
        <v>1469.09</v>
      </c>
      <c r="J430" s="1">
        <v>34036</v>
      </c>
      <c r="K430" s="1">
        <v>679</v>
      </c>
      <c r="L430" s="1">
        <v>373</v>
      </c>
      <c r="M430" s="1">
        <v>4</v>
      </c>
      <c r="N430" s="1">
        <v>1.994946527</v>
      </c>
      <c r="O430" s="1">
        <v>54.933726069999999</v>
      </c>
      <c r="P430" s="1">
        <f t="shared" si="14"/>
        <v>4</v>
      </c>
      <c r="V430" t="str">
        <f t="shared" si="21"/>
        <v>Low Performer</v>
      </c>
      <c r="W430" t="e" cm="1">
        <f t="array" aca="1" ref="W430" ca="1">_xlfn.IFS(N430&gt;=20, "High",N430&gt;=10, "Medium", N430&lt;10, "Low")</f>
        <v>#NAME?</v>
      </c>
      <c r="X430" t="str">
        <f t="shared" si="22"/>
        <v>High Budget</v>
      </c>
      <c r="Y430" s="7">
        <f>VLOOKUP(G430, Lookup_table!B:C,2,0)</f>
        <v>0.2</v>
      </c>
      <c r="Z430" t="str">
        <f t="shared" si="23"/>
        <v>Inefficient Spend</v>
      </c>
      <c r="AA430" t="str">
        <f>VLOOKUP(H430, Lookup_table!E:F,2,0)</f>
        <v>High</v>
      </c>
    </row>
    <row r="431" spans="1:27" ht="17.5" customHeight="1" x14ac:dyDescent="0.35">
      <c r="A431" s="1" t="s">
        <v>636</v>
      </c>
      <c r="B431" s="2">
        <v>45411</v>
      </c>
      <c r="C431" s="1" t="s">
        <v>230</v>
      </c>
      <c r="D431" s="1">
        <v>32</v>
      </c>
      <c r="E431" s="1" t="s">
        <v>23</v>
      </c>
      <c r="F431" s="1" t="s">
        <v>41</v>
      </c>
      <c r="G431" s="1" t="s">
        <v>46</v>
      </c>
      <c r="H431" s="1" t="s">
        <v>62</v>
      </c>
      <c r="I431" s="1">
        <v>1796.68</v>
      </c>
      <c r="J431" s="1">
        <v>38895</v>
      </c>
      <c r="K431" s="1">
        <v>2250</v>
      </c>
      <c r="L431" s="1">
        <v>343</v>
      </c>
      <c r="M431" s="1">
        <v>1</v>
      </c>
      <c r="N431" s="1">
        <v>5.7848052450000003</v>
      </c>
      <c r="O431" s="1">
        <v>15.244444440000001</v>
      </c>
      <c r="P431" s="1">
        <f t="shared" si="14"/>
        <v>1</v>
      </c>
      <c r="V431" t="str">
        <f t="shared" si="21"/>
        <v>Average Performer</v>
      </c>
      <c r="W431" t="e" cm="1">
        <f t="array" aca="1" ref="W431" ca="1">_xlfn.IFS(N431&gt;=20, "High",N431&gt;=10, "Medium", N431&lt;10, "Low")</f>
        <v>#NAME?</v>
      </c>
      <c r="X431" t="str">
        <f t="shared" si="22"/>
        <v>High Budget</v>
      </c>
      <c r="Y431" s="7">
        <f>VLOOKUP(G431, Lookup_table!B:C,2,0)</f>
        <v>0.75</v>
      </c>
      <c r="Z431" t="str">
        <f t="shared" si="23"/>
        <v>Inefficient Spend</v>
      </c>
      <c r="AA431" t="str">
        <f>VLOOKUP(H431, Lookup_table!E:F,2,0)</f>
        <v>Medium</v>
      </c>
    </row>
    <row r="432" spans="1:27" ht="17.5" customHeight="1" x14ac:dyDescent="0.35">
      <c r="A432" s="1" t="s">
        <v>637</v>
      </c>
      <c r="B432" s="2">
        <v>45410</v>
      </c>
      <c r="C432" s="1" t="s">
        <v>638</v>
      </c>
      <c r="D432" s="1">
        <v>53</v>
      </c>
      <c r="E432" s="1" t="s">
        <v>23</v>
      </c>
      <c r="F432" s="1" t="s">
        <v>30</v>
      </c>
      <c r="G432" s="1" t="s">
        <v>46</v>
      </c>
      <c r="H432" s="1" t="s">
        <v>26</v>
      </c>
      <c r="I432" s="1">
        <v>668.74</v>
      </c>
      <c r="J432" s="1">
        <v>15423</v>
      </c>
      <c r="K432" s="1">
        <v>746</v>
      </c>
      <c r="L432" s="1">
        <v>67</v>
      </c>
      <c r="M432" s="1">
        <v>4</v>
      </c>
      <c r="N432" s="1">
        <v>4.8369318549999996</v>
      </c>
      <c r="O432" s="1">
        <v>8.9812332440000002</v>
      </c>
      <c r="P432" s="1">
        <f t="shared" si="14"/>
        <v>4</v>
      </c>
      <c r="V432" t="str">
        <f t="shared" si="21"/>
        <v>Low Performer</v>
      </c>
      <c r="W432" t="e" cm="1">
        <f t="array" aca="1" ref="W432" ca="1">_xlfn.IFS(N432&gt;=20, "High",N432&gt;=10, "Medium", N432&lt;10, "Low")</f>
        <v>#NAME?</v>
      </c>
      <c r="X432" t="str">
        <f t="shared" si="22"/>
        <v>Medium Budget</v>
      </c>
      <c r="Y432" s="7">
        <f>VLOOKUP(G432, Lookup_table!B:C,2,0)</f>
        <v>0.75</v>
      </c>
      <c r="Z432" t="str">
        <f t="shared" si="23"/>
        <v>Inefficient Spend</v>
      </c>
      <c r="AA432" t="str">
        <f>VLOOKUP(H432, Lookup_table!E:F,2,0)</f>
        <v>High</v>
      </c>
    </row>
    <row r="433" spans="1:27" ht="17.5" customHeight="1" x14ac:dyDescent="0.35">
      <c r="A433" s="1" t="s">
        <v>639</v>
      </c>
      <c r="B433" s="2">
        <v>45448</v>
      </c>
      <c r="C433" s="1" t="s">
        <v>445</v>
      </c>
      <c r="D433" s="1">
        <v>33</v>
      </c>
      <c r="E433" s="1" t="s">
        <v>35</v>
      </c>
      <c r="F433" s="1" t="s">
        <v>57</v>
      </c>
      <c r="G433" s="1" t="s">
        <v>25</v>
      </c>
      <c r="H433" s="1" t="s">
        <v>36</v>
      </c>
      <c r="I433" s="1">
        <v>1128.6600000000001</v>
      </c>
      <c r="J433" s="1">
        <v>20473</v>
      </c>
      <c r="K433" s="1">
        <v>1022</v>
      </c>
      <c r="L433" s="1">
        <v>377</v>
      </c>
      <c r="M433" s="1">
        <v>1</v>
      </c>
      <c r="N433" s="1">
        <v>4.9919406049999999</v>
      </c>
      <c r="O433" s="1">
        <v>36.888454009999997</v>
      </c>
      <c r="P433" s="1">
        <f t="shared" si="14"/>
        <v>1</v>
      </c>
      <c r="V433" t="str">
        <f t="shared" si="21"/>
        <v>Average Performer</v>
      </c>
      <c r="W433" t="e" cm="1">
        <f t="array" aca="1" ref="W433" ca="1">_xlfn.IFS(N433&gt;=20, "High",N433&gt;=10, "Medium", N433&lt;10, "Low")</f>
        <v>#NAME?</v>
      </c>
      <c r="X433" t="str">
        <f t="shared" si="22"/>
        <v>High Budget</v>
      </c>
      <c r="Y433" s="7">
        <f>VLOOKUP(G433, Lookup_table!B:C,2,0)</f>
        <v>0.5</v>
      </c>
      <c r="Z433" t="str">
        <f t="shared" si="23"/>
        <v>Inefficient Spend</v>
      </c>
      <c r="AA433" t="str">
        <f>VLOOKUP(H433, Lookup_table!E:F,2,0)</f>
        <v>High</v>
      </c>
    </row>
    <row r="434" spans="1:27" ht="17.5" customHeight="1" x14ac:dyDescent="0.35">
      <c r="A434" s="1" t="s">
        <v>640</v>
      </c>
      <c r="B434" s="2">
        <v>45583</v>
      </c>
      <c r="C434" s="1" t="s">
        <v>540</v>
      </c>
      <c r="D434" s="1">
        <v>28</v>
      </c>
      <c r="E434" s="1" t="s">
        <v>23</v>
      </c>
      <c r="F434" s="1" t="s">
        <v>45</v>
      </c>
      <c r="G434" s="1" t="s">
        <v>42</v>
      </c>
      <c r="H434" s="1" t="s">
        <v>26</v>
      </c>
      <c r="I434" s="1">
        <v>449.72</v>
      </c>
      <c r="J434" s="1">
        <v>5991</v>
      </c>
      <c r="K434" s="1">
        <v>4748</v>
      </c>
      <c r="L434" s="1">
        <v>40</v>
      </c>
      <c r="M434" s="1">
        <v>3</v>
      </c>
      <c r="N434" s="1">
        <v>79.252211650000007</v>
      </c>
      <c r="O434" s="1">
        <v>0.84245998300000002</v>
      </c>
      <c r="P434" s="1">
        <f t="shared" si="14"/>
        <v>3</v>
      </c>
      <c r="V434" t="str">
        <f t="shared" si="21"/>
        <v>Low Performer</v>
      </c>
      <c r="W434" t="e" cm="1">
        <f t="array" aca="1" ref="W434" ca="1">_xlfn.IFS(N434&gt;=20, "High",N434&gt;=10, "Medium", N434&lt;10, "Low")</f>
        <v>#NAME?</v>
      </c>
      <c r="X434" t="str">
        <f t="shared" si="22"/>
        <v>Low Budget</v>
      </c>
      <c r="Y434" s="7">
        <f>VLOOKUP(G434, Lookup_table!B:C,2,0)</f>
        <v>0.3</v>
      </c>
      <c r="Z434" t="str">
        <f t="shared" si="23"/>
        <v>Efficient Spend</v>
      </c>
      <c r="AA434" t="str">
        <f>VLOOKUP(H434, Lookup_table!E:F,2,0)</f>
        <v>High</v>
      </c>
    </row>
    <row r="435" spans="1:27" ht="17.5" customHeight="1" x14ac:dyDescent="0.35">
      <c r="A435" s="1" t="s">
        <v>641</v>
      </c>
      <c r="B435" s="2">
        <v>45633</v>
      </c>
      <c r="C435" s="1" t="s">
        <v>642</v>
      </c>
      <c r="D435" s="1">
        <v>51</v>
      </c>
      <c r="E435" s="1" t="s">
        <v>23</v>
      </c>
      <c r="F435" s="1" t="s">
        <v>24</v>
      </c>
      <c r="G435" s="1" t="s">
        <v>31</v>
      </c>
      <c r="H435" s="1" t="s">
        <v>26</v>
      </c>
      <c r="I435" s="1">
        <v>515.24</v>
      </c>
      <c r="J435" s="1">
        <v>31128</v>
      </c>
      <c r="K435" s="1">
        <v>3884</v>
      </c>
      <c r="L435" s="1">
        <v>267</v>
      </c>
      <c r="M435" s="1">
        <v>1</v>
      </c>
      <c r="N435" s="1">
        <v>12.47751221</v>
      </c>
      <c r="O435" s="1">
        <v>6.8743563339999998</v>
      </c>
      <c r="P435" s="1">
        <f t="shared" si="14"/>
        <v>1</v>
      </c>
      <c r="V435" t="str">
        <f t="shared" si="21"/>
        <v>Top Performer</v>
      </c>
      <c r="W435" t="e" cm="1">
        <f t="array" aca="1" ref="W435" ca="1">_xlfn.IFS(N435&gt;=20, "High",N435&gt;=10, "Medium", N435&lt;10, "Low")</f>
        <v>#NAME?</v>
      </c>
      <c r="X435" t="str">
        <f t="shared" si="22"/>
        <v>Medium Budget</v>
      </c>
      <c r="Y435" s="7">
        <f>VLOOKUP(G435, Lookup_table!B:C,2,0)</f>
        <v>1.2</v>
      </c>
      <c r="Z435" t="str">
        <f t="shared" si="23"/>
        <v>Efficient Spend</v>
      </c>
      <c r="AA435" t="str">
        <f>VLOOKUP(H435, Lookup_table!E:F,2,0)</f>
        <v>High</v>
      </c>
    </row>
    <row r="436" spans="1:27" ht="17.5" customHeight="1" x14ac:dyDescent="0.35">
      <c r="A436" s="1" t="s">
        <v>643</v>
      </c>
      <c r="B436" s="2">
        <v>45465</v>
      </c>
      <c r="C436" s="1" t="s">
        <v>315</v>
      </c>
      <c r="D436" s="1">
        <v>28</v>
      </c>
      <c r="E436" s="1" t="s">
        <v>35</v>
      </c>
      <c r="F436" s="1" t="s">
        <v>24</v>
      </c>
      <c r="G436" s="1" t="s">
        <v>25</v>
      </c>
      <c r="H436" s="1" t="s">
        <v>32</v>
      </c>
      <c r="I436" s="1">
        <v>543.04</v>
      </c>
      <c r="J436" s="1">
        <v>49876</v>
      </c>
      <c r="K436" s="1">
        <v>1029</v>
      </c>
      <c r="L436" s="1">
        <v>209</v>
      </c>
      <c r="M436" s="1">
        <v>3</v>
      </c>
      <c r="N436" s="1">
        <v>2.0631165290000002</v>
      </c>
      <c r="O436" s="1">
        <v>20.31098154</v>
      </c>
      <c r="P436" s="1">
        <f t="shared" si="14"/>
        <v>3</v>
      </c>
      <c r="V436" t="str">
        <f t="shared" si="21"/>
        <v>Average Performer</v>
      </c>
      <c r="W436" t="e" cm="1">
        <f t="array" aca="1" ref="W436" ca="1">_xlfn.IFS(N436&gt;=20, "High",N436&gt;=10, "Medium", N436&lt;10, "Low")</f>
        <v>#NAME?</v>
      </c>
      <c r="X436" t="str">
        <f t="shared" si="22"/>
        <v>Medium Budget</v>
      </c>
      <c r="Y436" s="7">
        <f>VLOOKUP(G436, Lookup_table!B:C,2,0)</f>
        <v>0.5</v>
      </c>
      <c r="Z436" t="str">
        <f t="shared" si="23"/>
        <v>Inefficient Spend</v>
      </c>
      <c r="AA436" t="str">
        <f>VLOOKUP(H436, Lookup_table!E:F,2,0)</f>
        <v>Medium</v>
      </c>
    </row>
    <row r="437" spans="1:27" ht="17.5" customHeight="1" x14ac:dyDescent="0.35">
      <c r="A437" s="1" t="s">
        <v>644</v>
      </c>
      <c r="B437" s="2">
        <v>45636</v>
      </c>
      <c r="C437" s="1" t="s">
        <v>406</v>
      </c>
      <c r="D437" s="1">
        <v>60</v>
      </c>
      <c r="E437" s="1" t="s">
        <v>35</v>
      </c>
      <c r="F437" s="1" t="s">
        <v>57</v>
      </c>
      <c r="G437" s="1" t="s">
        <v>25</v>
      </c>
      <c r="H437" s="1" t="s">
        <v>26</v>
      </c>
      <c r="I437" s="1">
        <v>782.39</v>
      </c>
      <c r="J437" s="1">
        <v>7643</v>
      </c>
      <c r="K437" s="1">
        <v>272</v>
      </c>
      <c r="L437" s="1">
        <v>192</v>
      </c>
      <c r="N437" s="1">
        <v>3.5588119850000002</v>
      </c>
      <c r="O437" s="1">
        <v>70.58823529</v>
      </c>
      <c r="P437" s="1">
        <f t="shared" si="14"/>
        <v>3</v>
      </c>
      <c r="V437" t="str">
        <f t="shared" si="21"/>
        <v>Low Performer</v>
      </c>
      <c r="W437" t="e" cm="1">
        <f t="array" aca="1" ref="W437" ca="1">_xlfn.IFS(N437&gt;=20, "High",N437&gt;=10, "Medium", N437&lt;10, "Low")</f>
        <v>#NAME?</v>
      </c>
      <c r="X437" t="str">
        <f t="shared" si="22"/>
        <v>Medium Budget</v>
      </c>
      <c r="Y437" s="7">
        <f>VLOOKUP(G437, Lookup_table!B:C,2,0)</f>
        <v>0.5</v>
      </c>
      <c r="Z437" t="str">
        <f t="shared" si="23"/>
        <v>Inefficient Spend</v>
      </c>
      <c r="AA437" t="str">
        <f>VLOOKUP(H437, Lookup_table!E:F,2,0)</f>
        <v>High</v>
      </c>
    </row>
    <row r="438" spans="1:27" ht="17.5" customHeight="1" x14ac:dyDescent="0.35">
      <c r="A438" s="1" t="s">
        <v>645</v>
      </c>
      <c r="B438" s="2">
        <v>45506</v>
      </c>
      <c r="C438" s="1" t="s">
        <v>456</v>
      </c>
      <c r="E438" s="1" t="s">
        <v>23</v>
      </c>
      <c r="G438" s="1" t="s">
        <v>25</v>
      </c>
      <c r="H438" s="1" t="s">
        <v>62</v>
      </c>
      <c r="I438" s="1">
        <v>85.16</v>
      </c>
      <c r="J438" s="1">
        <v>28135</v>
      </c>
      <c r="K438" s="1">
        <v>1898</v>
      </c>
      <c r="L438" s="1">
        <v>27</v>
      </c>
      <c r="N438" s="1">
        <v>6.7460458499999998</v>
      </c>
      <c r="O438" s="1">
        <v>1.4225500529999999</v>
      </c>
      <c r="P438" s="1">
        <f t="shared" si="14"/>
        <v>3</v>
      </c>
      <c r="V438" t="str">
        <f t="shared" si="21"/>
        <v>Low Performer</v>
      </c>
      <c r="W438" t="e" cm="1">
        <f t="array" aca="1" ref="W438" ca="1">_xlfn.IFS(N438&gt;=20, "High",N438&gt;=10, "Medium", N438&lt;10, "Low")</f>
        <v>#NAME?</v>
      </c>
      <c r="X438" t="str">
        <f t="shared" si="22"/>
        <v>Low Budget</v>
      </c>
      <c r="Y438" s="7">
        <f>VLOOKUP(G438, Lookup_table!B:C,2,0)</f>
        <v>0.5</v>
      </c>
      <c r="Z438" t="str">
        <f t="shared" si="23"/>
        <v>Efficient Spend</v>
      </c>
      <c r="AA438" t="str">
        <f>VLOOKUP(H438, Lookup_table!E:F,2,0)</f>
        <v>Medium</v>
      </c>
    </row>
    <row r="439" spans="1:27" ht="17.5" customHeight="1" x14ac:dyDescent="0.35">
      <c r="A439" s="1" t="s">
        <v>646</v>
      </c>
      <c r="B439" s="2">
        <v>45379</v>
      </c>
      <c r="C439" s="1" t="s">
        <v>238</v>
      </c>
      <c r="D439" s="1">
        <v>62</v>
      </c>
      <c r="E439" s="1" t="s">
        <v>29</v>
      </c>
      <c r="F439" s="1" t="s">
        <v>30</v>
      </c>
      <c r="G439" s="1" t="s">
        <v>31</v>
      </c>
      <c r="H439" s="1" t="s">
        <v>26</v>
      </c>
      <c r="I439" s="1">
        <v>1232.28</v>
      </c>
      <c r="J439" s="1">
        <v>5473</v>
      </c>
      <c r="K439" s="1">
        <v>2836</v>
      </c>
      <c r="L439" s="1">
        <v>119</v>
      </c>
      <c r="M439" s="1">
        <v>5</v>
      </c>
      <c r="N439" s="1">
        <v>51.818015709999997</v>
      </c>
      <c r="O439" s="1">
        <v>4.1960507759999999</v>
      </c>
      <c r="P439" s="1">
        <f t="shared" si="14"/>
        <v>5</v>
      </c>
      <c r="V439" t="str">
        <f t="shared" si="21"/>
        <v>Average Performer</v>
      </c>
      <c r="W439" t="e" cm="1">
        <f t="array" aca="1" ref="W439" ca="1">_xlfn.IFS(N439&gt;=20, "High",N439&gt;=10, "Medium", N439&lt;10, "Low")</f>
        <v>#NAME?</v>
      </c>
      <c r="X439" t="str">
        <f t="shared" si="22"/>
        <v>High Budget</v>
      </c>
      <c r="Y439" s="7">
        <f>VLOOKUP(G439, Lookup_table!B:C,2,0)</f>
        <v>1.2</v>
      </c>
      <c r="Z439" t="str">
        <f t="shared" si="23"/>
        <v>Efficient Spend</v>
      </c>
      <c r="AA439" t="str">
        <f>VLOOKUP(H439, Lookup_table!E:F,2,0)</f>
        <v>High</v>
      </c>
    </row>
    <row r="440" spans="1:27" ht="17.5" customHeight="1" x14ac:dyDescent="0.35">
      <c r="A440" s="1" t="s">
        <v>647</v>
      </c>
      <c r="B440" s="2">
        <v>45535</v>
      </c>
      <c r="C440" s="1" t="s">
        <v>256</v>
      </c>
      <c r="D440" s="1">
        <v>47</v>
      </c>
      <c r="E440" s="1" t="s">
        <v>23</v>
      </c>
      <c r="F440" s="1" t="s">
        <v>30</v>
      </c>
      <c r="G440" s="1" t="s">
        <v>25</v>
      </c>
      <c r="H440" s="1" t="s">
        <v>62</v>
      </c>
      <c r="I440" s="1">
        <v>575.39</v>
      </c>
      <c r="J440" s="1">
        <v>35157</v>
      </c>
      <c r="K440" s="1">
        <v>2313</v>
      </c>
      <c r="L440" s="1">
        <v>156</v>
      </c>
      <c r="M440" s="1">
        <v>3</v>
      </c>
      <c r="N440" s="1">
        <v>6.5790596470000002</v>
      </c>
      <c r="O440" s="1">
        <v>6.7444876779999996</v>
      </c>
      <c r="P440" s="1">
        <f t="shared" si="14"/>
        <v>3</v>
      </c>
      <c r="V440" t="str">
        <f t="shared" si="21"/>
        <v>Average Performer</v>
      </c>
      <c r="W440" t="e" cm="1">
        <f t="array" aca="1" ref="W440" ca="1">_xlfn.IFS(N440&gt;=20, "High",N440&gt;=10, "Medium", N440&lt;10, "Low")</f>
        <v>#NAME?</v>
      </c>
      <c r="X440" t="str">
        <f t="shared" si="22"/>
        <v>Medium Budget</v>
      </c>
      <c r="Y440" s="7">
        <f>VLOOKUP(G440, Lookup_table!B:C,2,0)</f>
        <v>0.5</v>
      </c>
      <c r="Z440" t="str">
        <f t="shared" si="23"/>
        <v>Efficient Spend</v>
      </c>
      <c r="AA440" t="str">
        <f>VLOOKUP(H440, Lookup_table!E:F,2,0)</f>
        <v>Medium</v>
      </c>
    </row>
    <row r="441" spans="1:27" ht="17.5" customHeight="1" x14ac:dyDescent="0.35">
      <c r="A441" s="1" t="s">
        <v>648</v>
      </c>
      <c r="B441" s="2">
        <v>45303</v>
      </c>
      <c r="C441" s="1" t="s">
        <v>584</v>
      </c>
      <c r="D441" s="1">
        <v>49</v>
      </c>
      <c r="E441" s="1" t="s">
        <v>29</v>
      </c>
      <c r="F441" s="1" t="s">
        <v>41</v>
      </c>
      <c r="G441" s="1" t="s">
        <v>61</v>
      </c>
      <c r="H441" s="1" t="s">
        <v>62</v>
      </c>
      <c r="I441" s="1">
        <v>259.99</v>
      </c>
      <c r="J441" s="1">
        <v>42594</v>
      </c>
      <c r="K441" s="1">
        <v>1184</v>
      </c>
      <c r="L441" s="1">
        <v>262</v>
      </c>
      <c r="M441" s="1">
        <v>1</v>
      </c>
      <c r="N441" s="1">
        <v>2.7797342349999998</v>
      </c>
      <c r="O441" s="1">
        <v>22.128378380000001</v>
      </c>
      <c r="P441" s="1">
        <f t="shared" si="14"/>
        <v>1</v>
      </c>
      <c r="V441" t="str">
        <f t="shared" si="21"/>
        <v>Average Performer</v>
      </c>
      <c r="W441" t="e" cm="1">
        <f t="array" aca="1" ref="W441" ca="1">_xlfn.IFS(N441&gt;=20, "High",N441&gt;=10, "Medium", N441&lt;10, "Low")</f>
        <v>#NAME?</v>
      </c>
      <c r="X441" t="str">
        <f t="shared" si="22"/>
        <v>Low Budget</v>
      </c>
      <c r="Y441" s="7">
        <f>VLOOKUP(G441, Lookup_table!B:C,2,0)</f>
        <v>0.2</v>
      </c>
      <c r="Z441" t="str">
        <f t="shared" si="23"/>
        <v>Inefficient Spend</v>
      </c>
      <c r="AA441" t="str">
        <f>VLOOKUP(H441, Lookup_table!E:F,2,0)</f>
        <v>Medium</v>
      </c>
    </row>
    <row r="442" spans="1:27" ht="17.5" customHeight="1" x14ac:dyDescent="0.35">
      <c r="A442" s="1" t="s">
        <v>649</v>
      </c>
      <c r="B442" s="2">
        <v>45614</v>
      </c>
      <c r="C442" s="1" t="s">
        <v>483</v>
      </c>
      <c r="D442" s="1">
        <v>26</v>
      </c>
      <c r="E442" s="1" t="s">
        <v>29</v>
      </c>
      <c r="F442" s="1" t="s">
        <v>24</v>
      </c>
      <c r="G442" s="1" t="s">
        <v>31</v>
      </c>
      <c r="H442" s="1" t="s">
        <v>62</v>
      </c>
      <c r="I442" s="1">
        <v>1967.33</v>
      </c>
      <c r="J442" s="1">
        <v>9594</v>
      </c>
      <c r="K442" s="1">
        <v>777</v>
      </c>
      <c r="L442" s="1">
        <v>163</v>
      </c>
      <c r="N442" s="1">
        <v>8.098811757</v>
      </c>
      <c r="O442" s="1">
        <v>20.97812098</v>
      </c>
      <c r="P442" s="1">
        <f t="shared" si="14"/>
        <v>3</v>
      </c>
      <c r="V442" t="str">
        <f t="shared" si="21"/>
        <v>Low Performer</v>
      </c>
      <c r="W442" t="e" cm="1">
        <f t="array" aca="1" ref="W442" ca="1">_xlfn.IFS(N442&gt;=20, "High",N442&gt;=10, "Medium", N442&lt;10, "Low")</f>
        <v>#NAME?</v>
      </c>
      <c r="X442" t="str">
        <f t="shared" si="22"/>
        <v>High Budget</v>
      </c>
      <c r="Y442" s="7">
        <f>VLOOKUP(G442, Lookup_table!B:C,2,0)</f>
        <v>1.2</v>
      </c>
      <c r="Z442" t="str">
        <f t="shared" si="23"/>
        <v>Inefficient Spend</v>
      </c>
      <c r="AA442" t="str">
        <f>VLOOKUP(H442, Lookup_table!E:F,2,0)</f>
        <v>Medium</v>
      </c>
    </row>
    <row r="443" spans="1:27" ht="17.5" customHeight="1" x14ac:dyDescent="0.35">
      <c r="A443" s="1" t="s">
        <v>650</v>
      </c>
      <c r="B443" s="2">
        <v>45385</v>
      </c>
      <c r="C443" s="1" t="s">
        <v>150</v>
      </c>
      <c r="D443" s="1">
        <v>61</v>
      </c>
      <c r="E443" s="1" t="s">
        <v>35</v>
      </c>
      <c r="F443" s="1" t="s">
        <v>24</v>
      </c>
      <c r="G443" s="1" t="s">
        <v>42</v>
      </c>
      <c r="H443" s="1" t="s">
        <v>32</v>
      </c>
      <c r="I443" s="1">
        <v>1381.91</v>
      </c>
      <c r="J443" s="1">
        <v>38920</v>
      </c>
      <c r="K443" s="1">
        <v>249</v>
      </c>
      <c r="L443" s="1">
        <v>124</v>
      </c>
      <c r="M443" s="1">
        <v>3</v>
      </c>
      <c r="N443" s="1">
        <v>0.63977389500000004</v>
      </c>
      <c r="O443" s="1">
        <v>49.799196790000003</v>
      </c>
      <c r="P443" s="1">
        <f t="shared" si="14"/>
        <v>3</v>
      </c>
      <c r="V443" t="str">
        <f t="shared" si="21"/>
        <v>Low Performer</v>
      </c>
      <c r="W443" t="e" cm="1">
        <f t="array" aca="1" ref="W443" ca="1">_xlfn.IFS(N443&gt;=20, "High",N443&gt;=10, "Medium", N443&lt;10, "Low")</f>
        <v>#NAME?</v>
      </c>
      <c r="X443" t="str">
        <f t="shared" si="22"/>
        <v>High Budget</v>
      </c>
      <c r="Y443" s="7">
        <f>VLOOKUP(G443, Lookup_table!B:C,2,0)</f>
        <v>0.3</v>
      </c>
      <c r="Z443" t="str">
        <f t="shared" si="23"/>
        <v>Inefficient Spend</v>
      </c>
      <c r="AA443" t="str">
        <f>VLOOKUP(H443, Lookup_table!E:F,2,0)</f>
        <v>Medium</v>
      </c>
    </row>
    <row r="444" spans="1:27" ht="17.5" customHeight="1" x14ac:dyDescent="0.35">
      <c r="A444" s="1" t="s">
        <v>651</v>
      </c>
      <c r="B444" s="2">
        <v>45651</v>
      </c>
      <c r="C444" s="1" t="s">
        <v>414</v>
      </c>
      <c r="D444" s="1">
        <v>26</v>
      </c>
      <c r="E444" s="1" t="s">
        <v>23</v>
      </c>
      <c r="F444" s="1" t="s">
        <v>57</v>
      </c>
      <c r="G444" s="1" t="s">
        <v>31</v>
      </c>
      <c r="H444" s="1" t="s">
        <v>62</v>
      </c>
      <c r="I444" s="1">
        <v>1123.6099999999999</v>
      </c>
      <c r="J444" s="1">
        <v>5615</v>
      </c>
      <c r="K444" s="1">
        <v>1134</v>
      </c>
      <c r="L444" s="1">
        <v>230</v>
      </c>
      <c r="N444" s="1">
        <v>20.195903829999999</v>
      </c>
      <c r="O444" s="1">
        <v>20.28218695</v>
      </c>
      <c r="P444" s="1">
        <f t="shared" si="14"/>
        <v>3</v>
      </c>
      <c r="V444" t="str">
        <f t="shared" si="21"/>
        <v>Average Performer</v>
      </c>
      <c r="W444" t="e" cm="1">
        <f t="array" aca="1" ref="W444" ca="1">_xlfn.IFS(N444&gt;=20, "High",N444&gt;=10, "Medium", N444&lt;10, "Low")</f>
        <v>#NAME?</v>
      </c>
      <c r="X444" t="str">
        <f t="shared" si="22"/>
        <v>High Budget</v>
      </c>
      <c r="Y444" s="7">
        <f>VLOOKUP(G444, Lookup_table!B:C,2,0)</f>
        <v>1.2</v>
      </c>
      <c r="Z444" t="str">
        <f t="shared" si="23"/>
        <v>Efficient Spend</v>
      </c>
      <c r="AA444" t="str">
        <f>VLOOKUP(H444, Lookup_table!E:F,2,0)</f>
        <v>Medium</v>
      </c>
    </row>
    <row r="445" spans="1:27" ht="17.5" customHeight="1" x14ac:dyDescent="0.35">
      <c r="A445" s="1" t="s">
        <v>652</v>
      </c>
      <c r="B445" s="2">
        <v>45653</v>
      </c>
      <c r="C445" s="1" t="s">
        <v>162</v>
      </c>
      <c r="D445" s="1">
        <v>41</v>
      </c>
      <c r="E445" s="1" t="s">
        <v>29</v>
      </c>
      <c r="F445" s="1" t="s">
        <v>50</v>
      </c>
      <c r="G445" s="1" t="s">
        <v>46</v>
      </c>
      <c r="H445" s="1" t="s">
        <v>62</v>
      </c>
      <c r="I445" s="1">
        <v>633.01</v>
      </c>
      <c r="J445" s="1">
        <v>32820</v>
      </c>
      <c r="K445" s="1">
        <v>4017</v>
      </c>
      <c r="L445" s="1">
        <v>366</v>
      </c>
      <c r="M445" s="1">
        <v>5</v>
      </c>
      <c r="N445" s="1">
        <v>12.239488120000001</v>
      </c>
      <c r="O445" s="1">
        <v>9.111277072</v>
      </c>
      <c r="P445" s="1">
        <f t="shared" si="14"/>
        <v>5</v>
      </c>
      <c r="V445" t="str">
        <f t="shared" si="21"/>
        <v>Top Performer</v>
      </c>
      <c r="W445" t="e" cm="1">
        <f t="array" aca="1" ref="W445" ca="1">_xlfn.IFS(N445&gt;=20, "High",N445&gt;=10, "Medium", N445&lt;10, "Low")</f>
        <v>#NAME?</v>
      </c>
      <c r="X445" t="str">
        <f t="shared" si="22"/>
        <v>Medium Budget</v>
      </c>
      <c r="Y445" s="7">
        <f>VLOOKUP(G445, Lookup_table!B:C,2,0)</f>
        <v>0.75</v>
      </c>
      <c r="Z445" t="str">
        <f t="shared" si="23"/>
        <v>Efficient Spend</v>
      </c>
      <c r="AA445" t="str">
        <f>VLOOKUP(H445, Lookup_table!E:F,2,0)</f>
        <v>Medium</v>
      </c>
    </row>
    <row r="446" spans="1:27" ht="17.5" customHeight="1" x14ac:dyDescent="0.35">
      <c r="A446" s="1" t="s">
        <v>653</v>
      </c>
      <c r="B446" s="2">
        <v>45602</v>
      </c>
      <c r="C446" s="1" t="s">
        <v>654</v>
      </c>
      <c r="D446" s="1">
        <v>54</v>
      </c>
      <c r="E446" s="1" t="s">
        <v>29</v>
      </c>
      <c r="F446" s="1" t="s">
        <v>24</v>
      </c>
      <c r="G446" s="1" t="s">
        <v>46</v>
      </c>
      <c r="H446" s="1" t="s">
        <v>36</v>
      </c>
      <c r="I446" s="1">
        <v>1183.31</v>
      </c>
      <c r="J446" s="1">
        <v>14477</v>
      </c>
      <c r="K446" s="1">
        <v>3466</v>
      </c>
      <c r="L446" s="1">
        <v>306</v>
      </c>
      <c r="M446" s="1">
        <v>5</v>
      </c>
      <c r="N446" s="1">
        <v>23.94142433</v>
      </c>
      <c r="O446" s="1">
        <v>8.8286208889999997</v>
      </c>
      <c r="P446" s="1">
        <f t="shared" si="14"/>
        <v>5</v>
      </c>
      <c r="V446" t="str">
        <f t="shared" si="21"/>
        <v>Top Performer</v>
      </c>
      <c r="W446" t="e" cm="1">
        <f t="array" aca="1" ref="W446" ca="1">_xlfn.IFS(N446&gt;=20, "High",N446&gt;=10, "Medium", N446&lt;10, "Low")</f>
        <v>#NAME?</v>
      </c>
      <c r="X446" t="str">
        <f t="shared" si="22"/>
        <v>High Budget</v>
      </c>
      <c r="Y446" s="7">
        <f>VLOOKUP(G446, Lookup_table!B:C,2,0)</f>
        <v>0.75</v>
      </c>
      <c r="Z446" t="str">
        <f t="shared" si="23"/>
        <v>Efficient Spend</v>
      </c>
      <c r="AA446" t="str">
        <f>VLOOKUP(H446, Lookup_table!E:F,2,0)</f>
        <v>High</v>
      </c>
    </row>
    <row r="447" spans="1:27" ht="17.5" customHeight="1" x14ac:dyDescent="0.35">
      <c r="A447" s="1" t="s">
        <v>655</v>
      </c>
      <c r="B447" s="2">
        <v>45462</v>
      </c>
      <c r="C447" s="1" t="s">
        <v>570</v>
      </c>
      <c r="D447" s="1">
        <v>34</v>
      </c>
      <c r="E447" s="1" t="s">
        <v>35</v>
      </c>
      <c r="F447" s="1" t="s">
        <v>50</v>
      </c>
      <c r="G447" s="1" t="s">
        <v>42</v>
      </c>
      <c r="H447" s="1" t="s">
        <v>32</v>
      </c>
      <c r="I447" s="1">
        <v>1236.26</v>
      </c>
      <c r="J447" s="1">
        <v>18572</v>
      </c>
      <c r="K447" s="1">
        <v>3925</v>
      </c>
      <c r="L447" s="1">
        <v>273</v>
      </c>
      <c r="M447" s="1">
        <v>5</v>
      </c>
      <c r="N447" s="1">
        <v>21.133965109999998</v>
      </c>
      <c r="O447" s="1">
        <v>6.9554140130000004</v>
      </c>
      <c r="P447" s="1">
        <f t="shared" si="14"/>
        <v>5</v>
      </c>
      <c r="V447" t="str">
        <f t="shared" si="21"/>
        <v>Top Performer</v>
      </c>
      <c r="W447" t="e" cm="1">
        <f t="array" aca="1" ref="W447" ca="1">_xlfn.IFS(N447&gt;=20, "High",N447&gt;=10, "Medium", N447&lt;10, "Low")</f>
        <v>#NAME?</v>
      </c>
      <c r="X447" t="str">
        <f t="shared" si="22"/>
        <v>High Budget</v>
      </c>
      <c r="Y447" s="7">
        <f>VLOOKUP(G447, Lookup_table!B:C,2,0)</f>
        <v>0.3</v>
      </c>
      <c r="Z447" t="str">
        <f t="shared" si="23"/>
        <v>Inefficient Spend</v>
      </c>
      <c r="AA447" t="str">
        <f>VLOOKUP(H447, Lookup_table!E:F,2,0)</f>
        <v>Medium</v>
      </c>
    </row>
    <row r="448" spans="1:27" ht="17.5" customHeight="1" x14ac:dyDescent="0.35">
      <c r="A448" s="1" t="s">
        <v>656</v>
      </c>
      <c r="B448" s="2">
        <v>45542</v>
      </c>
      <c r="C448" s="1" t="s">
        <v>324</v>
      </c>
      <c r="D448" s="1">
        <v>23</v>
      </c>
      <c r="E448" s="1" t="s">
        <v>35</v>
      </c>
      <c r="F448" s="1" t="s">
        <v>24</v>
      </c>
      <c r="G448" s="1" t="s">
        <v>42</v>
      </c>
      <c r="H448" s="1" t="s">
        <v>62</v>
      </c>
      <c r="I448" s="1">
        <v>511.94</v>
      </c>
      <c r="J448" s="1">
        <v>20598</v>
      </c>
      <c r="K448" s="1">
        <v>3841</v>
      </c>
      <c r="L448" s="1">
        <v>99</v>
      </c>
      <c r="M448" s="1">
        <v>3</v>
      </c>
      <c r="N448" s="1">
        <v>18.647441499999999</v>
      </c>
      <c r="O448" s="1">
        <v>2.5774537880000001</v>
      </c>
      <c r="P448" s="1">
        <f t="shared" si="14"/>
        <v>3</v>
      </c>
      <c r="V448" t="str">
        <f t="shared" si="21"/>
        <v>Low Performer</v>
      </c>
      <c r="W448" t="e" cm="1">
        <f t="array" aca="1" ref="W448" ca="1">_xlfn.IFS(N448&gt;=20, "High",N448&gt;=10, "Medium", N448&lt;10, "Low")</f>
        <v>#NAME?</v>
      </c>
      <c r="X448" t="str">
        <f t="shared" si="22"/>
        <v>Medium Budget</v>
      </c>
      <c r="Y448" s="7">
        <f>VLOOKUP(G448, Lookup_table!B:C,2,0)</f>
        <v>0.3</v>
      </c>
      <c r="Z448" t="str">
        <f t="shared" si="23"/>
        <v>Efficient Spend</v>
      </c>
      <c r="AA448" t="str">
        <f>VLOOKUP(H448, Lookup_table!E:F,2,0)</f>
        <v>Medium</v>
      </c>
    </row>
    <row r="449" spans="1:27" ht="17.5" customHeight="1" x14ac:dyDescent="0.35">
      <c r="A449" s="1" t="s">
        <v>657</v>
      </c>
      <c r="B449" s="2">
        <v>45458</v>
      </c>
      <c r="C449" s="1" t="s">
        <v>658</v>
      </c>
      <c r="D449" s="1">
        <v>49</v>
      </c>
      <c r="E449" s="1" t="s">
        <v>23</v>
      </c>
      <c r="F449" s="1" t="s">
        <v>41</v>
      </c>
      <c r="G449" s="1" t="s">
        <v>46</v>
      </c>
      <c r="H449" s="1" t="s">
        <v>26</v>
      </c>
      <c r="I449" s="1">
        <v>90.85</v>
      </c>
      <c r="J449" s="1">
        <v>16084</v>
      </c>
      <c r="K449" s="1">
        <v>3568</v>
      </c>
      <c r="L449" s="1">
        <v>66</v>
      </c>
      <c r="M449" s="1">
        <v>4</v>
      </c>
      <c r="N449" s="1">
        <v>22.18353643</v>
      </c>
      <c r="O449" s="1">
        <v>1.8497757850000001</v>
      </c>
      <c r="P449" s="1">
        <f t="shared" si="14"/>
        <v>4</v>
      </c>
      <c r="V449" t="str">
        <f t="shared" si="21"/>
        <v>Low Performer</v>
      </c>
      <c r="W449" t="e" cm="1">
        <f t="array" aca="1" ref="W449" ca="1">_xlfn.IFS(N449&gt;=20, "High",N449&gt;=10, "Medium", N449&lt;10, "Low")</f>
        <v>#NAME?</v>
      </c>
      <c r="X449" t="str">
        <f t="shared" si="22"/>
        <v>Low Budget</v>
      </c>
      <c r="Y449" s="7">
        <f>VLOOKUP(G449, Lookup_table!B:C,2,0)</f>
        <v>0.75</v>
      </c>
      <c r="Z449" t="str">
        <f t="shared" si="23"/>
        <v>Efficient Spend</v>
      </c>
      <c r="AA449" t="str">
        <f>VLOOKUP(H449, Lookup_table!E:F,2,0)</f>
        <v>High</v>
      </c>
    </row>
    <row r="450" spans="1:27" ht="17.5" customHeight="1" x14ac:dyDescent="0.35">
      <c r="A450" s="1" t="s">
        <v>659</v>
      </c>
      <c r="B450" s="2">
        <v>45382</v>
      </c>
      <c r="C450" s="1" t="s">
        <v>660</v>
      </c>
      <c r="D450" s="1">
        <v>60</v>
      </c>
      <c r="E450" s="1" t="s">
        <v>23</v>
      </c>
      <c r="F450" s="1" t="s">
        <v>57</v>
      </c>
      <c r="G450" s="1" t="s">
        <v>25</v>
      </c>
      <c r="H450" s="1" t="s">
        <v>36</v>
      </c>
      <c r="I450" s="1">
        <v>135.41</v>
      </c>
      <c r="J450" s="1">
        <v>5520</v>
      </c>
      <c r="K450" s="1">
        <v>556</v>
      </c>
      <c r="L450" s="1">
        <v>227</v>
      </c>
      <c r="M450" s="1">
        <v>2</v>
      </c>
      <c r="N450" s="1">
        <v>10.072463770000001</v>
      </c>
      <c r="O450" s="1">
        <v>40.827338130000001</v>
      </c>
      <c r="P450" s="1">
        <f t="shared" si="14"/>
        <v>2</v>
      </c>
      <c r="V450" t="str">
        <f t="shared" ref="V450:V501" si="24">IF(AND(L450&gt;200,K450&gt;3000),"Top Performer", IF(AND(L450&gt;=100,K450&gt;=1000),"Average Performer","Low Performer"))</f>
        <v>Low Performer</v>
      </c>
      <c r="W450" t="e" cm="1">
        <f t="array" aca="1" ref="W450" ca="1">_xlfn.IFS(N450&gt;=20, "High",N450&gt;=10, "Medium", N450&lt;10, "Low")</f>
        <v>#NAME?</v>
      </c>
      <c r="X450" t="str">
        <f t="shared" ref="X450:X501" si="25">IF(I450&gt;1000, "High Budget",IF(I450&gt;=500, "Medium Budget", "Low Budget"))</f>
        <v>Low Budget</v>
      </c>
      <c r="Y450" s="7">
        <f>VLOOKUP(G450, Lookup_table!B:C,2,0)</f>
        <v>0.5</v>
      </c>
      <c r="Z450" t="str">
        <f t="shared" ref="Z450:Z501" si="26">IF(I450/K450&lt;Y450, "Efficient Spend", "Inefficient Spend")</f>
        <v>Efficient Spend</v>
      </c>
      <c r="AA450" t="str">
        <f>VLOOKUP(H450, Lookup_table!E:F,2,0)</f>
        <v>High</v>
      </c>
    </row>
    <row r="451" spans="1:27" ht="17.5" customHeight="1" x14ac:dyDescent="0.35">
      <c r="A451" s="1" t="s">
        <v>661</v>
      </c>
      <c r="B451" s="2">
        <v>45437</v>
      </c>
      <c r="C451" s="1" t="s">
        <v>423</v>
      </c>
      <c r="D451" s="1">
        <v>30</v>
      </c>
      <c r="E451" s="1" t="s">
        <v>23</v>
      </c>
      <c r="F451" s="1" t="s">
        <v>57</v>
      </c>
      <c r="G451" s="1" t="s">
        <v>31</v>
      </c>
      <c r="H451" s="1" t="s">
        <v>36</v>
      </c>
      <c r="I451" s="1">
        <v>477.25</v>
      </c>
      <c r="J451" s="1">
        <v>46902</v>
      </c>
      <c r="K451" s="1">
        <v>2366</v>
      </c>
      <c r="L451" s="1">
        <v>12</v>
      </c>
      <c r="N451" s="1">
        <v>5.0445609999999999</v>
      </c>
      <c r="O451" s="1">
        <v>0.50718512299999996</v>
      </c>
      <c r="P451" s="1">
        <f t="shared" si="14"/>
        <v>3</v>
      </c>
      <c r="V451" t="str">
        <f t="shared" si="24"/>
        <v>Low Performer</v>
      </c>
      <c r="W451" t="e" cm="1">
        <f t="array" aca="1" ref="W451" ca="1">_xlfn.IFS(N451&gt;=20, "High",N451&gt;=10, "Medium", N451&lt;10, "Low")</f>
        <v>#NAME?</v>
      </c>
      <c r="X451" t="str">
        <f t="shared" si="25"/>
        <v>Low Budget</v>
      </c>
      <c r="Y451" s="7">
        <f>VLOOKUP(G451, Lookup_table!B:C,2,0)</f>
        <v>1.2</v>
      </c>
      <c r="Z451" t="str">
        <f t="shared" si="26"/>
        <v>Efficient Spend</v>
      </c>
      <c r="AA451" t="str">
        <f>VLOOKUP(H451, Lookup_table!E:F,2,0)</f>
        <v>High</v>
      </c>
    </row>
    <row r="452" spans="1:27" ht="17.5" customHeight="1" x14ac:dyDescent="0.35">
      <c r="A452" s="1" t="s">
        <v>662</v>
      </c>
      <c r="B452" s="2">
        <v>45436</v>
      </c>
      <c r="C452" s="1" t="s">
        <v>663</v>
      </c>
      <c r="E452" s="1" t="s">
        <v>23</v>
      </c>
      <c r="G452" s="1" t="s">
        <v>31</v>
      </c>
      <c r="H452" s="1" t="s">
        <v>32</v>
      </c>
      <c r="I452" s="1">
        <v>585.29</v>
      </c>
      <c r="J452" s="1">
        <v>2617</v>
      </c>
      <c r="K452" s="1">
        <v>4791</v>
      </c>
      <c r="L452" s="1">
        <v>252</v>
      </c>
      <c r="N452" s="1">
        <v>183.07222010000001</v>
      </c>
      <c r="O452" s="1">
        <v>5.2598622419999996</v>
      </c>
      <c r="P452" s="1">
        <f t="shared" si="14"/>
        <v>3</v>
      </c>
      <c r="U452" s="1">
        <f>COUNTIF(N448:N1000, N452&gt;100)</f>
        <v>0</v>
      </c>
      <c r="V452" t="str">
        <f t="shared" si="24"/>
        <v>Top Performer</v>
      </c>
      <c r="W452" t="e" cm="1">
        <f t="array" aca="1" ref="W452" ca="1">_xlfn.IFS(N452&gt;=20, "High",N452&gt;=10, "Medium", N452&lt;10, "Low")</f>
        <v>#NAME?</v>
      </c>
      <c r="X452" t="str">
        <f t="shared" si="25"/>
        <v>Medium Budget</v>
      </c>
      <c r="Y452" s="7">
        <f>VLOOKUP(G452, Lookup_table!B:C,2,0)</f>
        <v>1.2</v>
      </c>
      <c r="Z452" t="str">
        <f t="shared" si="26"/>
        <v>Efficient Spend</v>
      </c>
      <c r="AA452" t="str">
        <f>VLOOKUP(H452, Lookup_table!E:F,2,0)</f>
        <v>Medium</v>
      </c>
    </row>
    <row r="453" spans="1:27" ht="17.5" customHeight="1" x14ac:dyDescent="0.35">
      <c r="A453" s="1" t="s">
        <v>664</v>
      </c>
      <c r="B453" s="2">
        <v>45363</v>
      </c>
      <c r="C453" s="1" t="s">
        <v>338</v>
      </c>
      <c r="D453" s="1">
        <v>37</v>
      </c>
      <c r="E453" s="1" t="s">
        <v>23</v>
      </c>
      <c r="F453" s="1" t="s">
        <v>57</v>
      </c>
      <c r="G453" s="1" t="s">
        <v>61</v>
      </c>
      <c r="H453" s="1" t="s">
        <v>26</v>
      </c>
      <c r="I453" s="1">
        <v>1402.95</v>
      </c>
      <c r="J453" s="1">
        <v>7974</v>
      </c>
      <c r="K453" s="1">
        <v>4910</v>
      </c>
      <c r="L453" s="1">
        <v>323</v>
      </c>
      <c r="M453" s="1">
        <v>1</v>
      </c>
      <c r="N453" s="1">
        <v>61.575119139999998</v>
      </c>
      <c r="O453" s="1">
        <v>6.5784114049999998</v>
      </c>
      <c r="P453" s="1">
        <f t="shared" si="14"/>
        <v>1</v>
      </c>
      <c r="V453" t="str">
        <f t="shared" si="24"/>
        <v>Top Performer</v>
      </c>
      <c r="W453" t="e" cm="1">
        <f t="array" aca="1" ref="W453" ca="1">_xlfn.IFS(N453&gt;=20, "High",N453&gt;=10, "Medium", N453&lt;10, "Low")</f>
        <v>#NAME?</v>
      </c>
      <c r="X453" t="str">
        <f t="shared" si="25"/>
        <v>High Budget</v>
      </c>
      <c r="Y453" s="7">
        <f>VLOOKUP(G453, Lookup_table!B:C,2,0)</f>
        <v>0.2</v>
      </c>
      <c r="Z453" t="str">
        <f t="shared" si="26"/>
        <v>Inefficient Spend</v>
      </c>
      <c r="AA453" t="str">
        <f>VLOOKUP(H453, Lookup_table!E:F,2,0)</f>
        <v>High</v>
      </c>
    </row>
    <row r="454" spans="1:27" ht="17.5" customHeight="1" x14ac:dyDescent="0.35">
      <c r="A454" s="1" t="s">
        <v>665</v>
      </c>
      <c r="B454" s="2">
        <v>45410</v>
      </c>
      <c r="C454" s="1" t="s">
        <v>40</v>
      </c>
      <c r="D454" s="1">
        <v>21</v>
      </c>
      <c r="E454" s="1" t="s">
        <v>23</v>
      </c>
      <c r="F454" s="1" t="s">
        <v>41</v>
      </c>
      <c r="G454" s="1" t="s">
        <v>25</v>
      </c>
      <c r="H454" s="1" t="s">
        <v>36</v>
      </c>
      <c r="I454" s="1">
        <v>1756.99</v>
      </c>
      <c r="J454" s="1">
        <v>29611</v>
      </c>
      <c r="K454" s="1">
        <v>3794</v>
      </c>
      <c r="L454" s="1">
        <v>379</v>
      </c>
      <c r="N454" s="1">
        <v>12.812806050000001</v>
      </c>
      <c r="O454" s="1">
        <v>9.9894570369999993</v>
      </c>
      <c r="P454" s="1">
        <f t="shared" si="14"/>
        <v>3</v>
      </c>
      <c r="V454" t="str">
        <f t="shared" si="24"/>
        <v>Top Performer</v>
      </c>
      <c r="W454" t="e" cm="1">
        <f t="array" aca="1" ref="W454" ca="1">_xlfn.IFS(N454&gt;=20, "High",N454&gt;=10, "Medium", N454&lt;10, "Low")</f>
        <v>#NAME?</v>
      </c>
      <c r="X454" t="str">
        <f t="shared" si="25"/>
        <v>High Budget</v>
      </c>
      <c r="Y454" s="7">
        <f>VLOOKUP(G454, Lookup_table!B:C,2,0)</f>
        <v>0.5</v>
      </c>
      <c r="Z454" t="str">
        <f t="shared" si="26"/>
        <v>Efficient Spend</v>
      </c>
      <c r="AA454" t="str">
        <f>VLOOKUP(H454, Lookup_table!E:F,2,0)</f>
        <v>High</v>
      </c>
    </row>
    <row r="455" spans="1:27" ht="17.5" customHeight="1" x14ac:dyDescent="0.35">
      <c r="A455" s="1" t="s">
        <v>666</v>
      </c>
      <c r="B455" s="2">
        <v>45348</v>
      </c>
      <c r="C455" s="1" t="s">
        <v>317</v>
      </c>
      <c r="D455" s="1">
        <v>30</v>
      </c>
      <c r="E455" s="1" t="s">
        <v>29</v>
      </c>
      <c r="F455" s="1" t="s">
        <v>50</v>
      </c>
      <c r="G455" s="1" t="s">
        <v>46</v>
      </c>
      <c r="H455" s="1" t="s">
        <v>32</v>
      </c>
      <c r="I455" s="1">
        <v>280.64999999999998</v>
      </c>
      <c r="J455" s="1">
        <v>35248</v>
      </c>
      <c r="K455" s="1">
        <v>3329</v>
      </c>
      <c r="L455" s="1">
        <v>156</v>
      </c>
      <c r="M455" s="1">
        <v>5</v>
      </c>
      <c r="N455" s="1">
        <v>9.4445074899999994</v>
      </c>
      <c r="O455" s="1">
        <v>4.6860919189999999</v>
      </c>
      <c r="P455" s="1">
        <f t="shared" si="14"/>
        <v>5</v>
      </c>
      <c r="V455" t="str">
        <f t="shared" si="24"/>
        <v>Average Performer</v>
      </c>
      <c r="W455" t="e" cm="1">
        <f t="array" aca="1" ref="W455" ca="1">_xlfn.IFS(N455&gt;=20, "High",N455&gt;=10, "Medium", N455&lt;10, "Low")</f>
        <v>#NAME?</v>
      </c>
      <c r="X455" t="str">
        <f t="shared" si="25"/>
        <v>Low Budget</v>
      </c>
      <c r="Y455" s="7">
        <f>VLOOKUP(G455, Lookup_table!B:C,2,0)</f>
        <v>0.75</v>
      </c>
      <c r="Z455" t="str">
        <f t="shared" si="26"/>
        <v>Efficient Spend</v>
      </c>
      <c r="AA455" t="str">
        <f>VLOOKUP(H455, Lookup_table!E:F,2,0)</f>
        <v>Medium</v>
      </c>
    </row>
    <row r="456" spans="1:27" ht="17.5" customHeight="1" x14ac:dyDescent="0.35">
      <c r="A456" s="1" t="s">
        <v>667</v>
      </c>
      <c r="B456" s="2">
        <v>45537</v>
      </c>
      <c r="C456" s="1" t="s">
        <v>660</v>
      </c>
      <c r="D456" s="1">
        <v>56</v>
      </c>
      <c r="E456" s="1" t="s">
        <v>29</v>
      </c>
      <c r="F456" s="1" t="s">
        <v>24</v>
      </c>
      <c r="G456" s="1" t="s">
        <v>25</v>
      </c>
      <c r="H456" s="1" t="s">
        <v>26</v>
      </c>
      <c r="I456" s="1">
        <v>1674.62</v>
      </c>
      <c r="J456" s="1">
        <v>26920</v>
      </c>
      <c r="K456" s="1">
        <v>2753</v>
      </c>
      <c r="L456" s="1">
        <v>138</v>
      </c>
      <c r="M456" s="1">
        <v>5</v>
      </c>
      <c r="N456" s="1">
        <v>10.226597330000001</v>
      </c>
      <c r="O456" s="1">
        <v>5.0127134040000003</v>
      </c>
      <c r="P456" s="1">
        <f t="shared" si="14"/>
        <v>5</v>
      </c>
      <c r="V456" t="str">
        <f t="shared" si="24"/>
        <v>Average Performer</v>
      </c>
      <c r="W456" t="e" cm="1">
        <f t="array" aca="1" ref="W456" ca="1">_xlfn.IFS(N456&gt;=20, "High",N456&gt;=10, "Medium", N456&lt;10, "Low")</f>
        <v>#NAME?</v>
      </c>
      <c r="X456" t="str">
        <f t="shared" si="25"/>
        <v>High Budget</v>
      </c>
      <c r="Y456" s="7">
        <f>VLOOKUP(G456, Lookup_table!B:C,2,0)</f>
        <v>0.5</v>
      </c>
      <c r="Z456" t="str">
        <f t="shared" si="26"/>
        <v>Inefficient Spend</v>
      </c>
      <c r="AA456" t="str">
        <f>VLOOKUP(H456, Lookup_table!E:F,2,0)</f>
        <v>High</v>
      </c>
    </row>
    <row r="457" spans="1:27" ht="17.5" customHeight="1" x14ac:dyDescent="0.35">
      <c r="A457" s="1" t="s">
        <v>668</v>
      </c>
      <c r="B457" s="2">
        <v>45552</v>
      </c>
      <c r="C457" s="1" t="s">
        <v>669</v>
      </c>
      <c r="D457" s="1">
        <v>30</v>
      </c>
      <c r="E457" s="1" t="s">
        <v>35</v>
      </c>
      <c r="F457" s="1" t="s">
        <v>50</v>
      </c>
      <c r="G457" s="1" t="s">
        <v>25</v>
      </c>
      <c r="H457" s="1" t="s">
        <v>26</v>
      </c>
      <c r="I457" s="1">
        <v>852.6</v>
      </c>
      <c r="J457" s="1">
        <v>38069</v>
      </c>
      <c r="K457" s="1">
        <v>2948</v>
      </c>
      <c r="L457" s="1">
        <v>286</v>
      </c>
      <c r="M457" s="1">
        <v>3</v>
      </c>
      <c r="N457" s="1">
        <v>7.7438335650000001</v>
      </c>
      <c r="O457" s="1">
        <v>9.701492537</v>
      </c>
      <c r="P457" s="1">
        <f t="shared" si="14"/>
        <v>3</v>
      </c>
      <c r="V457" t="str">
        <f t="shared" si="24"/>
        <v>Average Performer</v>
      </c>
      <c r="W457" t="e" cm="1">
        <f t="array" aca="1" ref="W457" ca="1">_xlfn.IFS(N457&gt;=20, "High",N457&gt;=10, "Medium", N457&lt;10, "Low")</f>
        <v>#NAME?</v>
      </c>
      <c r="X457" t="str">
        <f t="shared" si="25"/>
        <v>Medium Budget</v>
      </c>
      <c r="Y457" s="7">
        <f>VLOOKUP(G457, Lookup_table!B:C,2,0)</f>
        <v>0.5</v>
      </c>
      <c r="Z457" t="str">
        <f t="shared" si="26"/>
        <v>Efficient Spend</v>
      </c>
      <c r="AA457" t="str">
        <f>VLOOKUP(H457, Lookup_table!E:F,2,0)</f>
        <v>High</v>
      </c>
    </row>
    <row r="458" spans="1:27" ht="17.5" customHeight="1" x14ac:dyDescent="0.35">
      <c r="A458" s="1" t="s">
        <v>670</v>
      </c>
      <c r="B458" s="2">
        <v>45546</v>
      </c>
      <c r="C458" s="1" t="s">
        <v>671</v>
      </c>
      <c r="D458" s="1">
        <v>52</v>
      </c>
      <c r="E458" s="1" t="s">
        <v>29</v>
      </c>
      <c r="F458" s="1" t="s">
        <v>50</v>
      </c>
      <c r="G458" s="1" t="s">
        <v>61</v>
      </c>
      <c r="H458" s="1" t="s">
        <v>36</v>
      </c>
      <c r="I458" s="1">
        <v>152.69</v>
      </c>
      <c r="J458" s="1">
        <v>47524</v>
      </c>
      <c r="K458" s="1">
        <v>4929</v>
      </c>
      <c r="L458" s="1">
        <v>140</v>
      </c>
      <c r="M458" s="1">
        <v>3</v>
      </c>
      <c r="N458" s="1">
        <v>10.371601719999999</v>
      </c>
      <c r="O458" s="1">
        <v>2.8403327250000001</v>
      </c>
      <c r="P458" s="1">
        <f t="shared" si="14"/>
        <v>3</v>
      </c>
      <c r="V458" t="str">
        <f t="shared" si="24"/>
        <v>Average Performer</v>
      </c>
      <c r="W458" t="e" cm="1">
        <f t="array" aca="1" ref="W458" ca="1">_xlfn.IFS(N458&gt;=20, "High",N458&gt;=10, "Medium", N458&lt;10, "Low")</f>
        <v>#NAME?</v>
      </c>
      <c r="X458" t="str">
        <f t="shared" si="25"/>
        <v>Low Budget</v>
      </c>
      <c r="Y458" s="7">
        <f>VLOOKUP(G458, Lookup_table!B:C,2,0)</f>
        <v>0.2</v>
      </c>
      <c r="Z458" t="str">
        <f t="shared" si="26"/>
        <v>Efficient Spend</v>
      </c>
      <c r="AA458" t="str">
        <f>VLOOKUP(H458, Lookup_table!E:F,2,0)</f>
        <v>High</v>
      </c>
    </row>
    <row r="459" spans="1:27" ht="17.5" customHeight="1" x14ac:dyDescent="0.35">
      <c r="A459" s="1" t="s">
        <v>672</v>
      </c>
      <c r="B459" s="2">
        <v>45466</v>
      </c>
      <c r="C459" s="1" t="s">
        <v>157</v>
      </c>
      <c r="D459" s="1">
        <v>23</v>
      </c>
      <c r="E459" s="1" t="s">
        <v>35</v>
      </c>
      <c r="F459" s="1" t="s">
        <v>24</v>
      </c>
      <c r="G459" s="1" t="s">
        <v>42</v>
      </c>
      <c r="H459" s="1" t="s">
        <v>26</v>
      </c>
      <c r="I459" s="1">
        <v>1469.59</v>
      </c>
      <c r="J459" s="1">
        <v>15095</v>
      </c>
      <c r="K459" s="1">
        <v>1056</v>
      </c>
      <c r="L459" s="1">
        <v>391</v>
      </c>
      <c r="M459" s="1">
        <v>5</v>
      </c>
      <c r="N459" s="1">
        <v>6.9956939379999996</v>
      </c>
      <c r="O459" s="1">
        <v>37.026515150000002</v>
      </c>
      <c r="P459" s="1">
        <f t="shared" si="14"/>
        <v>5</v>
      </c>
      <c r="V459" t="str">
        <f t="shared" si="24"/>
        <v>Average Performer</v>
      </c>
      <c r="W459" t="e" cm="1">
        <f t="array" aca="1" ref="W459" ca="1">_xlfn.IFS(N459&gt;=20, "High",N459&gt;=10, "Medium", N459&lt;10, "Low")</f>
        <v>#NAME?</v>
      </c>
      <c r="X459" t="str">
        <f t="shared" si="25"/>
        <v>High Budget</v>
      </c>
      <c r="Y459" s="7">
        <f>VLOOKUP(G459, Lookup_table!B:C,2,0)</f>
        <v>0.3</v>
      </c>
      <c r="Z459" t="str">
        <f t="shared" si="26"/>
        <v>Inefficient Spend</v>
      </c>
      <c r="AA459" t="str">
        <f>VLOOKUP(H459, Lookup_table!E:F,2,0)</f>
        <v>High</v>
      </c>
    </row>
    <row r="460" spans="1:27" ht="17.5" customHeight="1" x14ac:dyDescent="0.35">
      <c r="A460" s="1" t="s">
        <v>673</v>
      </c>
      <c r="B460" s="2">
        <v>45359</v>
      </c>
      <c r="C460" s="1" t="s">
        <v>409</v>
      </c>
      <c r="D460" s="1">
        <v>34</v>
      </c>
      <c r="E460" s="1" t="s">
        <v>29</v>
      </c>
      <c r="F460" s="1" t="s">
        <v>24</v>
      </c>
      <c r="G460" s="1" t="s">
        <v>61</v>
      </c>
      <c r="H460" s="1" t="s">
        <v>26</v>
      </c>
      <c r="I460" s="1">
        <v>1906.86</v>
      </c>
      <c r="J460" s="1">
        <v>36437</v>
      </c>
      <c r="K460" s="1">
        <v>1266</v>
      </c>
      <c r="L460" s="1">
        <v>180</v>
      </c>
      <c r="N460" s="1">
        <v>3.474490216</v>
      </c>
      <c r="O460" s="1">
        <v>14.218009479999999</v>
      </c>
      <c r="P460" s="1">
        <f t="shared" si="14"/>
        <v>3</v>
      </c>
      <c r="V460" t="str">
        <f t="shared" si="24"/>
        <v>Average Performer</v>
      </c>
      <c r="W460" t="e" cm="1">
        <f t="array" aca="1" ref="W460" ca="1">_xlfn.IFS(N460&gt;=20, "High",N460&gt;=10, "Medium", N460&lt;10, "Low")</f>
        <v>#NAME?</v>
      </c>
      <c r="X460" t="str">
        <f t="shared" si="25"/>
        <v>High Budget</v>
      </c>
      <c r="Y460" s="7">
        <f>VLOOKUP(G460, Lookup_table!B:C,2,0)</f>
        <v>0.2</v>
      </c>
      <c r="Z460" t="str">
        <f t="shared" si="26"/>
        <v>Inefficient Spend</v>
      </c>
      <c r="AA460" t="str">
        <f>VLOOKUP(H460, Lookup_table!E:F,2,0)</f>
        <v>High</v>
      </c>
    </row>
    <row r="461" spans="1:27" ht="17.5" customHeight="1" x14ac:dyDescent="0.35">
      <c r="A461" s="1" t="s">
        <v>674</v>
      </c>
      <c r="B461" s="2">
        <v>45532</v>
      </c>
      <c r="C461" s="1" t="s">
        <v>162</v>
      </c>
      <c r="D461" s="1">
        <v>53</v>
      </c>
      <c r="E461" s="1" t="s">
        <v>35</v>
      </c>
      <c r="F461" s="1" t="s">
        <v>57</v>
      </c>
      <c r="G461" s="1" t="s">
        <v>42</v>
      </c>
      <c r="H461" s="1" t="s">
        <v>32</v>
      </c>
      <c r="I461" s="1">
        <v>286.62</v>
      </c>
      <c r="J461" s="1">
        <v>42967</v>
      </c>
      <c r="K461" s="1">
        <v>3745</v>
      </c>
      <c r="L461" s="1">
        <v>316</v>
      </c>
      <c r="M461" s="1">
        <v>5</v>
      </c>
      <c r="N461" s="1">
        <v>8.7159913420000006</v>
      </c>
      <c r="O461" s="1">
        <v>8.4379172229999995</v>
      </c>
      <c r="P461" s="1">
        <f t="shared" si="14"/>
        <v>5</v>
      </c>
      <c r="V461" t="str">
        <f t="shared" si="24"/>
        <v>Top Performer</v>
      </c>
      <c r="W461" t="e" cm="1">
        <f t="array" aca="1" ref="W461" ca="1">_xlfn.IFS(N461&gt;=20, "High",N461&gt;=10, "Medium", N461&lt;10, "Low")</f>
        <v>#NAME?</v>
      </c>
      <c r="X461" t="str">
        <f t="shared" si="25"/>
        <v>Low Budget</v>
      </c>
      <c r="Y461" s="7">
        <f>VLOOKUP(G461, Lookup_table!B:C,2,0)</f>
        <v>0.3</v>
      </c>
      <c r="Z461" t="str">
        <f t="shared" si="26"/>
        <v>Efficient Spend</v>
      </c>
      <c r="AA461" t="str">
        <f>VLOOKUP(H461, Lookup_table!E:F,2,0)</f>
        <v>Medium</v>
      </c>
    </row>
    <row r="462" spans="1:27" ht="17.5" customHeight="1" x14ac:dyDescent="0.35">
      <c r="A462" s="1" t="s">
        <v>675</v>
      </c>
      <c r="B462" s="2">
        <v>45507</v>
      </c>
      <c r="C462" s="1" t="s">
        <v>281</v>
      </c>
      <c r="D462" s="1">
        <v>22</v>
      </c>
      <c r="E462" s="1" t="s">
        <v>35</v>
      </c>
      <c r="F462" s="1" t="s">
        <v>45</v>
      </c>
      <c r="G462" s="1" t="s">
        <v>42</v>
      </c>
      <c r="H462" s="1" t="s">
        <v>62</v>
      </c>
      <c r="I462" s="1">
        <v>1233.83</v>
      </c>
      <c r="J462" s="1">
        <v>24663</v>
      </c>
      <c r="K462" s="1">
        <v>4645</v>
      </c>
      <c r="L462" s="1">
        <v>237</v>
      </c>
      <c r="N462" s="1">
        <v>18.833880709999999</v>
      </c>
      <c r="O462" s="1">
        <v>5.1022604950000003</v>
      </c>
      <c r="P462" s="1">
        <f t="shared" si="14"/>
        <v>3</v>
      </c>
      <c r="V462" t="str">
        <f t="shared" si="24"/>
        <v>Top Performer</v>
      </c>
      <c r="W462" t="e" cm="1">
        <f t="array" aca="1" ref="W462" ca="1">_xlfn.IFS(N462&gt;=20, "High",N462&gt;=10, "Medium", N462&lt;10, "Low")</f>
        <v>#NAME?</v>
      </c>
      <c r="X462" t="str">
        <f t="shared" si="25"/>
        <v>High Budget</v>
      </c>
      <c r="Y462" s="7">
        <f>VLOOKUP(G462, Lookup_table!B:C,2,0)</f>
        <v>0.3</v>
      </c>
      <c r="Z462" t="str">
        <f t="shared" si="26"/>
        <v>Efficient Spend</v>
      </c>
      <c r="AA462" t="str">
        <f>VLOOKUP(H462, Lookup_table!E:F,2,0)</f>
        <v>Medium</v>
      </c>
    </row>
    <row r="463" spans="1:27" ht="17.5" customHeight="1" x14ac:dyDescent="0.35">
      <c r="A463" s="1" t="s">
        <v>676</v>
      </c>
      <c r="B463" s="2">
        <v>45576</v>
      </c>
      <c r="C463" s="1" t="s">
        <v>579</v>
      </c>
      <c r="D463" s="1">
        <v>44</v>
      </c>
      <c r="E463" s="1" t="s">
        <v>23</v>
      </c>
      <c r="F463" s="1" t="s">
        <v>45</v>
      </c>
      <c r="G463" s="1" t="s">
        <v>46</v>
      </c>
      <c r="H463" s="1" t="s">
        <v>32</v>
      </c>
      <c r="I463" s="1">
        <v>364.32</v>
      </c>
      <c r="J463" s="1">
        <v>11840</v>
      </c>
      <c r="K463" s="1">
        <v>87</v>
      </c>
      <c r="L463" s="1">
        <v>365</v>
      </c>
      <c r="M463" s="1">
        <v>4</v>
      </c>
      <c r="N463" s="1">
        <v>0.73479729699999996</v>
      </c>
      <c r="O463" s="1">
        <v>419.54022989999999</v>
      </c>
      <c r="P463" s="1">
        <f t="shared" si="14"/>
        <v>4</v>
      </c>
      <c r="V463" t="str">
        <f t="shared" si="24"/>
        <v>Low Performer</v>
      </c>
      <c r="W463" t="e" cm="1">
        <f t="array" aca="1" ref="W463" ca="1">_xlfn.IFS(N463&gt;=20, "High",N463&gt;=10, "Medium", N463&lt;10, "Low")</f>
        <v>#NAME?</v>
      </c>
      <c r="X463" t="str">
        <f t="shared" si="25"/>
        <v>Low Budget</v>
      </c>
      <c r="Y463" s="7">
        <f>VLOOKUP(G463, Lookup_table!B:C,2,0)</f>
        <v>0.75</v>
      </c>
      <c r="Z463" t="str">
        <f t="shared" si="26"/>
        <v>Inefficient Spend</v>
      </c>
      <c r="AA463" t="str">
        <f>VLOOKUP(H463, Lookup_table!E:F,2,0)</f>
        <v>Medium</v>
      </c>
    </row>
    <row r="464" spans="1:27" ht="17.5" customHeight="1" x14ac:dyDescent="0.35">
      <c r="A464" s="1" t="s">
        <v>677</v>
      </c>
      <c r="B464" s="2">
        <v>45464</v>
      </c>
      <c r="C464" s="1" t="s">
        <v>162</v>
      </c>
      <c r="D464" s="1">
        <v>63</v>
      </c>
      <c r="E464" s="1" t="s">
        <v>23</v>
      </c>
      <c r="F464" s="1" t="s">
        <v>57</v>
      </c>
      <c r="G464" s="1" t="s">
        <v>42</v>
      </c>
      <c r="H464" s="1" t="s">
        <v>26</v>
      </c>
      <c r="I464" s="1">
        <v>1537.13</v>
      </c>
      <c r="J464" s="1">
        <v>3337</v>
      </c>
      <c r="K464" s="1">
        <v>1281</v>
      </c>
      <c r="L464" s="1">
        <v>335</v>
      </c>
      <c r="N464" s="1">
        <v>38.387773449999997</v>
      </c>
      <c r="O464" s="1">
        <v>26.151444179999999</v>
      </c>
      <c r="P464" s="1">
        <f t="shared" si="14"/>
        <v>3</v>
      </c>
      <c r="V464" t="str">
        <f t="shared" si="24"/>
        <v>Average Performer</v>
      </c>
      <c r="W464" t="e" cm="1">
        <f t="array" aca="1" ref="W464" ca="1">_xlfn.IFS(N464&gt;=20, "High",N464&gt;=10, "Medium", N464&lt;10, "Low")</f>
        <v>#NAME?</v>
      </c>
      <c r="X464" t="str">
        <f t="shared" si="25"/>
        <v>High Budget</v>
      </c>
      <c r="Y464" s="7">
        <f>VLOOKUP(G464, Lookup_table!B:C,2,0)</f>
        <v>0.3</v>
      </c>
      <c r="Z464" t="str">
        <f t="shared" si="26"/>
        <v>Inefficient Spend</v>
      </c>
      <c r="AA464" t="str">
        <f>VLOOKUP(H464, Lookup_table!E:F,2,0)</f>
        <v>High</v>
      </c>
    </row>
    <row r="465" spans="1:27" ht="17.5" customHeight="1" x14ac:dyDescent="0.35">
      <c r="A465" s="1" t="s">
        <v>678</v>
      </c>
      <c r="B465" s="2">
        <v>45584</v>
      </c>
      <c r="C465" s="1" t="s">
        <v>201</v>
      </c>
      <c r="D465" s="1">
        <v>35</v>
      </c>
      <c r="E465" s="1" t="s">
        <v>29</v>
      </c>
      <c r="F465" s="1" t="s">
        <v>50</v>
      </c>
      <c r="G465" s="1" t="s">
        <v>31</v>
      </c>
      <c r="H465" s="1" t="s">
        <v>26</v>
      </c>
      <c r="I465" s="1">
        <v>601.66</v>
      </c>
      <c r="J465" s="1">
        <v>23181</v>
      </c>
      <c r="K465" s="1">
        <v>444</v>
      </c>
      <c r="L465" s="1">
        <v>342</v>
      </c>
      <c r="M465" s="1">
        <v>4</v>
      </c>
      <c r="N465" s="1">
        <v>1.9153617190000001</v>
      </c>
      <c r="O465" s="1">
        <v>77.027027029999999</v>
      </c>
      <c r="P465" s="1">
        <f t="shared" si="14"/>
        <v>4</v>
      </c>
      <c r="V465" t="str">
        <f t="shared" si="24"/>
        <v>Low Performer</v>
      </c>
      <c r="W465" t="e" cm="1">
        <f t="array" aca="1" ref="W465" ca="1">_xlfn.IFS(N465&gt;=20, "High",N465&gt;=10, "Medium", N465&lt;10, "Low")</f>
        <v>#NAME?</v>
      </c>
      <c r="X465" t="str">
        <f t="shared" si="25"/>
        <v>Medium Budget</v>
      </c>
      <c r="Y465" s="7">
        <f>VLOOKUP(G465, Lookup_table!B:C,2,0)</f>
        <v>1.2</v>
      </c>
      <c r="Z465" t="str">
        <f t="shared" si="26"/>
        <v>Inefficient Spend</v>
      </c>
      <c r="AA465" t="str">
        <f>VLOOKUP(H465, Lookup_table!E:F,2,0)</f>
        <v>High</v>
      </c>
    </row>
    <row r="466" spans="1:27" ht="17.5" customHeight="1" x14ac:dyDescent="0.35">
      <c r="A466" s="1" t="s">
        <v>679</v>
      </c>
      <c r="B466" s="2">
        <v>45323</v>
      </c>
      <c r="C466" s="1" t="s">
        <v>473</v>
      </c>
      <c r="D466" s="1">
        <v>58</v>
      </c>
      <c r="E466" s="1" t="s">
        <v>23</v>
      </c>
      <c r="F466" s="1" t="s">
        <v>45</v>
      </c>
      <c r="G466" s="1" t="s">
        <v>25</v>
      </c>
      <c r="H466" s="1" t="s">
        <v>62</v>
      </c>
      <c r="I466" s="1">
        <v>1609.82</v>
      </c>
      <c r="J466" s="1">
        <v>12077</v>
      </c>
      <c r="K466" s="1">
        <v>4168</v>
      </c>
      <c r="L466" s="1">
        <v>79</v>
      </c>
      <c r="M466" s="1">
        <v>4</v>
      </c>
      <c r="N466" s="1">
        <v>34.51188209</v>
      </c>
      <c r="O466" s="1">
        <v>1.895393474</v>
      </c>
      <c r="P466" s="1">
        <f t="shared" si="14"/>
        <v>4</v>
      </c>
      <c r="V466" t="str">
        <f t="shared" si="24"/>
        <v>Low Performer</v>
      </c>
      <c r="W466" t="e" cm="1">
        <f t="array" aca="1" ref="W466" ca="1">_xlfn.IFS(N466&gt;=20, "High",N466&gt;=10, "Medium", N466&lt;10, "Low")</f>
        <v>#NAME?</v>
      </c>
      <c r="X466" t="str">
        <f t="shared" si="25"/>
        <v>High Budget</v>
      </c>
      <c r="Y466" s="7">
        <f>VLOOKUP(G466, Lookup_table!B:C,2,0)</f>
        <v>0.5</v>
      </c>
      <c r="Z466" t="str">
        <f t="shared" si="26"/>
        <v>Efficient Spend</v>
      </c>
      <c r="AA466" t="str">
        <f>VLOOKUP(H466, Lookup_table!E:F,2,0)</f>
        <v>Medium</v>
      </c>
    </row>
    <row r="467" spans="1:27" ht="17.5" customHeight="1" x14ac:dyDescent="0.35">
      <c r="A467" s="1" t="s">
        <v>680</v>
      </c>
      <c r="B467" s="2">
        <v>45596</v>
      </c>
      <c r="C467" s="1" t="s">
        <v>128</v>
      </c>
      <c r="D467" s="1">
        <v>39</v>
      </c>
      <c r="E467" s="1" t="s">
        <v>29</v>
      </c>
      <c r="F467" s="1" t="s">
        <v>45</v>
      </c>
      <c r="G467" s="1" t="s">
        <v>31</v>
      </c>
      <c r="H467" s="1" t="s">
        <v>36</v>
      </c>
      <c r="I467" s="1">
        <v>543.67999999999995</v>
      </c>
      <c r="J467" s="1">
        <v>10803</v>
      </c>
      <c r="K467" s="1">
        <v>2408</v>
      </c>
      <c r="L467" s="1">
        <v>80</v>
      </c>
      <c r="N467" s="1">
        <v>22.290104599999999</v>
      </c>
      <c r="O467" s="1">
        <v>3.322259136</v>
      </c>
      <c r="P467" s="1">
        <f t="shared" si="14"/>
        <v>3</v>
      </c>
      <c r="V467" t="str">
        <f t="shared" si="24"/>
        <v>Low Performer</v>
      </c>
      <c r="W467" t="e" cm="1">
        <f t="array" aca="1" ref="W467" ca="1">_xlfn.IFS(N467&gt;=20, "High",N467&gt;=10, "Medium", N467&lt;10, "Low")</f>
        <v>#NAME?</v>
      </c>
      <c r="X467" t="str">
        <f t="shared" si="25"/>
        <v>Medium Budget</v>
      </c>
      <c r="Y467" s="7">
        <f>VLOOKUP(G467, Lookup_table!B:C,2,0)</f>
        <v>1.2</v>
      </c>
      <c r="Z467" t="str">
        <f t="shared" si="26"/>
        <v>Efficient Spend</v>
      </c>
      <c r="AA467" t="str">
        <f>VLOOKUP(H467, Lookup_table!E:F,2,0)</f>
        <v>High</v>
      </c>
    </row>
    <row r="468" spans="1:27" ht="17.5" customHeight="1" x14ac:dyDescent="0.35">
      <c r="A468" s="1" t="s">
        <v>681</v>
      </c>
      <c r="B468" s="2">
        <v>45332</v>
      </c>
      <c r="C468" s="1" t="s">
        <v>64</v>
      </c>
      <c r="D468" s="1">
        <v>22</v>
      </c>
      <c r="E468" s="1" t="s">
        <v>23</v>
      </c>
      <c r="F468" s="1" t="s">
        <v>30</v>
      </c>
      <c r="G468" s="1" t="s">
        <v>42</v>
      </c>
      <c r="H468" s="1" t="s">
        <v>32</v>
      </c>
      <c r="I468" s="1">
        <v>249</v>
      </c>
      <c r="J468" s="1">
        <v>7290</v>
      </c>
      <c r="K468" s="1">
        <v>271</v>
      </c>
      <c r="L468" s="1">
        <v>388</v>
      </c>
      <c r="M468" s="1">
        <v>2</v>
      </c>
      <c r="N468" s="1">
        <v>3.717421125</v>
      </c>
      <c r="O468" s="1">
        <v>143.17343170000001</v>
      </c>
      <c r="P468" s="1">
        <f t="shared" si="14"/>
        <v>2</v>
      </c>
      <c r="V468" t="str">
        <f t="shared" si="24"/>
        <v>Low Performer</v>
      </c>
      <c r="W468" t="e" cm="1">
        <f t="array" aca="1" ref="W468" ca="1">_xlfn.IFS(N468&gt;=20, "High",N468&gt;=10, "Medium", N468&lt;10, "Low")</f>
        <v>#NAME?</v>
      </c>
      <c r="X468" t="str">
        <f t="shared" si="25"/>
        <v>Low Budget</v>
      </c>
      <c r="Y468" s="7">
        <f>VLOOKUP(G468, Lookup_table!B:C,2,0)</f>
        <v>0.3</v>
      </c>
      <c r="Z468" t="str">
        <f t="shared" si="26"/>
        <v>Inefficient Spend</v>
      </c>
      <c r="AA468" t="str">
        <f>VLOOKUP(H468, Lookup_table!E:F,2,0)</f>
        <v>Medium</v>
      </c>
    </row>
    <row r="469" spans="1:27" ht="17.5" customHeight="1" x14ac:dyDescent="0.35">
      <c r="A469" s="1" t="s">
        <v>682</v>
      </c>
      <c r="B469" s="2">
        <v>45414</v>
      </c>
      <c r="C469" s="1" t="s">
        <v>366</v>
      </c>
      <c r="D469" s="1">
        <v>36</v>
      </c>
      <c r="E469" s="1" t="s">
        <v>35</v>
      </c>
      <c r="F469" s="1" t="s">
        <v>41</v>
      </c>
      <c r="G469" s="1" t="s">
        <v>61</v>
      </c>
      <c r="H469" s="1" t="s">
        <v>26</v>
      </c>
      <c r="I469" s="1">
        <v>100.32</v>
      </c>
      <c r="J469" s="1">
        <v>4883</v>
      </c>
      <c r="K469" s="1">
        <v>4918</v>
      </c>
      <c r="L469" s="1">
        <v>88</v>
      </c>
      <c r="M469" s="1">
        <v>1</v>
      </c>
      <c r="N469" s="1">
        <v>100.7167725</v>
      </c>
      <c r="O469" s="1">
        <v>1.7893452620000001</v>
      </c>
      <c r="P469" s="1">
        <f t="shared" si="14"/>
        <v>1</v>
      </c>
      <c r="V469" t="str">
        <f t="shared" si="24"/>
        <v>Low Performer</v>
      </c>
      <c r="W469" t="e" cm="1">
        <f t="array" aca="1" ref="W469" ca="1">_xlfn.IFS(N469&gt;=20, "High",N469&gt;=10, "Medium", N469&lt;10, "Low")</f>
        <v>#NAME?</v>
      </c>
      <c r="X469" t="str">
        <f t="shared" si="25"/>
        <v>Low Budget</v>
      </c>
      <c r="Y469" s="7">
        <f>VLOOKUP(G469, Lookup_table!B:C,2,0)</f>
        <v>0.2</v>
      </c>
      <c r="Z469" t="str">
        <f t="shared" si="26"/>
        <v>Efficient Spend</v>
      </c>
      <c r="AA469" t="str">
        <f>VLOOKUP(H469, Lookup_table!E:F,2,0)</f>
        <v>High</v>
      </c>
    </row>
    <row r="470" spans="1:27" ht="17.5" customHeight="1" x14ac:dyDescent="0.35">
      <c r="A470" s="1" t="s">
        <v>683</v>
      </c>
      <c r="B470" s="2">
        <v>45479</v>
      </c>
      <c r="C470" s="1" t="s">
        <v>28</v>
      </c>
      <c r="D470" s="1">
        <v>51</v>
      </c>
      <c r="E470" s="1" t="s">
        <v>23</v>
      </c>
      <c r="F470" s="1" t="s">
        <v>50</v>
      </c>
      <c r="G470" s="1" t="s">
        <v>61</v>
      </c>
      <c r="H470" s="1" t="s">
        <v>32</v>
      </c>
      <c r="I470" s="1">
        <v>735.41</v>
      </c>
      <c r="J470" s="1">
        <v>4469</v>
      </c>
      <c r="K470" s="1">
        <v>671</v>
      </c>
      <c r="L470" s="1">
        <v>45</v>
      </c>
      <c r="M470" s="1">
        <v>3</v>
      </c>
      <c r="N470" s="1">
        <v>15.01454464</v>
      </c>
      <c r="O470" s="1">
        <v>6.7064083459999999</v>
      </c>
      <c r="P470" s="1">
        <f t="shared" si="14"/>
        <v>3</v>
      </c>
      <c r="V470" t="str">
        <f t="shared" si="24"/>
        <v>Low Performer</v>
      </c>
      <c r="W470" t="e" cm="1">
        <f t="array" aca="1" ref="W470" ca="1">_xlfn.IFS(N470&gt;=20, "High",N470&gt;=10, "Medium", N470&lt;10, "Low")</f>
        <v>#NAME?</v>
      </c>
      <c r="X470" t="str">
        <f t="shared" si="25"/>
        <v>Medium Budget</v>
      </c>
      <c r="Y470" s="7">
        <f>VLOOKUP(G470, Lookup_table!B:C,2,0)</f>
        <v>0.2</v>
      </c>
      <c r="Z470" t="str">
        <f t="shared" si="26"/>
        <v>Inefficient Spend</v>
      </c>
      <c r="AA470" t="str">
        <f>VLOOKUP(H470, Lookup_table!E:F,2,0)</f>
        <v>Medium</v>
      </c>
    </row>
    <row r="471" spans="1:27" ht="17.5" customHeight="1" x14ac:dyDescent="0.35">
      <c r="A471" s="1" t="s">
        <v>684</v>
      </c>
      <c r="B471" s="2">
        <v>45547</v>
      </c>
      <c r="C471" s="1" t="s">
        <v>217</v>
      </c>
      <c r="D471" s="1">
        <v>21</v>
      </c>
      <c r="E471" s="1" t="s">
        <v>29</v>
      </c>
      <c r="F471" s="1" t="s">
        <v>30</v>
      </c>
      <c r="G471" s="1" t="s">
        <v>61</v>
      </c>
      <c r="H471" s="1" t="s">
        <v>36</v>
      </c>
      <c r="I471" s="1">
        <v>424.94</v>
      </c>
      <c r="J471" s="1">
        <v>28471</v>
      </c>
      <c r="K471" s="1">
        <v>1738</v>
      </c>
      <c r="L471" s="1">
        <v>16</v>
      </c>
      <c r="M471" s="1">
        <v>3</v>
      </c>
      <c r="N471" s="1">
        <v>6.1044571669999996</v>
      </c>
      <c r="O471" s="1">
        <v>0.92059838900000002</v>
      </c>
      <c r="P471" s="1">
        <f t="shared" si="14"/>
        <v>3</v>
      </c>
      <c r="V471" t="str">
        <f t="shared" si="24"/>
        <v>Low Performer</v>
      </c>
      <c r="W471" t="e" cm="1">
        <f t="array" aca="1" ref="W471" ca="1">_xlfn.IFS(N471&gt;=20, "High",N471&gt;=10, "Medium", N471&lt;10, "Low")</f>
        <v>#NAME?</v>
      </c>
      <c r="X471" t="str">
        <f t="shared" si="25"/>
        <v>Low Budget</v>
      </c>
      <c r="Y471" s="7">
        <f>VLOOKUP(G471, Lookup_table!B:C,2,0)</f>
        <v>0.2</v>
      </c>
      <c r="Z471" t="str">
        <f t="shared" si="26"/>
        <v>Inefficient Spend</v>
      </c>
      <c r="AA471" t="str">
        <f>VLOOKUP(H471, Lookup_table!E:F,2,0)</f>
        <v>High</v>
      </c>
    </row>
    <row r="472" spans="1:27" ht="17.5" customHeight="1" x14ac:dyDescent="0.35">
      <c r="A472" s="1" t="s">
        <v>685</v>
      </c>
      <c r="B472" s="2">
        <v>45612</v>
      </c>
      <c r="C472" s="1" t="s">
        <v>279</v>
      </c>
      <c r="D472" s="1">
        <v>32</v>
      </c>
      <c r="E472" s="1" t="s">
        <v>29</v>
      </c>
      <c r="F472" s="1" t="s">
        <v>45</v>
      </c>
      <c r="G472" s="1" t="s">
        <v>25</v>
      </c>
      <c r="H472" s="1" t="s">
        <v>26</v>
      </c>
      <c r="I472" s="1">
        <v>763.76</v>
      </c>
      <c r="J472" s="1">
        <v>27895</v>
      </c>
      <c r="K472" s="1">
        <v>3565</v>
      </c>
      <c r="L472" s="1">
        <v>42</v>
      </c>
      <c r="M472" s="1">
        <v>5</v>
      </c>
      <c r="N472" s="1">
        <v>12.78006811</v>
      </c>
      <c r="O472" s="1">
        <v>1.178120617</v>
      </c>
      <c r="P472" s="1">
        <f t="shared" si="14"/>
        <v>5</v>
      </c>
      <c r="V472" t="str">
        <f t="shared" si="24"/>
        <v>Low Performer</v>
      </c>
      <c r="W472" t="e" cm="1">
        <f t="array" aca="1" ref="W472" ca="1">_xlfn.IFS(N472&gt;=20, "High",N472&gt;=10, "Medium", N472&lt;10, "Low")</f>
        <v>#NAME?</v>
      </c>
      <c r="X472" t="str">
        <f t="shared" si="25"/>
        <v>Medium Budget</v>
      </c>
      <c r="Y472" s="7">
        <f>VLOOKUP(G472, Lookup_table!B:C,2,0)</f>
        <v>0.5</v>
      </c>
      <c r="Z472" t="str">
        <f t="shared" si="26"/>
        <v>Efficient Spend</v>
      </c>
      <c r="AA472" t="str">
        <f>VLOOKUP(H472, Lookup_table!E:F,2,0)</f>
        <v>High</v>
      </c>
    </row>
    <row r="473" spans="1:27" ht="17.5" customHeight="1" x14ac:dyDescent="0.35">
      <c r="A473" s="1" t="s">
        <v>686</v>
      </c>
      <c r="B473" s="2">
        <v>45320</v>
      </c>
      <c r="C473" s="1" t="s">
        <v>384</v>
      </c>
      <c r="D473" s="1">
        <v>21</v>
      </c>
      <c r="E473" s="1" t="s">
        <v>29</v>
      </c>
      <c r="F473" s="1" t="s">
        <v>45</v>
      </c>
      <c r="G473" s="1" t="s">
        <v>42</v>
      </c>
      <c r="H473" s="1" t="s">
        <v>26</v>
      </c>
      <c r="I473" s="1">
        <v>873.27</v>
      </c>
      <c r="J473" s="1">
        <v>11048</v>
      </c>
      <c r="K473" s="1">
        <v>4528</v>
      </c>
      <c r="L473" s="1">
        <v>219</v>
      </c>
      <c r="M473" s="1">
        <v>1</v>
      </c>
      <c r="N473" s="1">
        <v>40.984793629999999</v>
      </c>
      <c r="O473" s="1">
        <v>4.8365724380000001</v>
      </c>
      <c r="P473" s="1">
        <f t="shared" si="14"/>
        <v>1</v>
      </c>
      <c r="V473" t="str">
        <f t="shared" si="24"/>
        <v>Top Performer</v>
      </c>
      <c r="W473" t="e" cm="1">
        <f t="array" aca="1" ref="W473" ca="1">_xlfn.IFS(N473&gt;=20, "High",N473&gt;=10, "Medium", N473&lt;10, "Low")</f>
        <v>#NAME?</v>
      </c>
      <c r="X473" t="str">
        <f t="shared" si="25"/>
        <v>Medium Budget</v>
      </c>
      <c r="Y473" s="7">
        <f>VLOOKUP(G473, Lookup_table!B:C,2,0)</f>
        <v>0.3</v>
      </c>
      <c r="Z473" t="str">
        <f t="shared" si="26"/>
        <v>Efficient Spend</v>
      </c>
      <c r="AA473" t="str">
        <f>VLOOKUP(H473, Lookup_table!E:F,2,0)</f>
        <v>High</v>
      </c>
    </row>
    <row r="474" spans="1:27" ht="17.5" customHeight="1" x14ac:dyDescent="0.35">
      <c r="A474" s="1" t="s">
        <v>687</v>
      </c>
      <c r="B474" s="2">
        <v>45299</v>
      </c>
      <c r="C474" s="1" t="s">
        <v>688</v>
      </c>
      <c r="D474" s="1">
        <v>24</v>
      </c>
      <c r="E474" s="1" t="s">
        <v>35</v>
      </c>
      <c r="F474" s="1" t="s">
        <v>57</v>
      </c>
      <c r="G474" s="1" t="s">
        <v>46</v>
      </c>
      <c r="H474" s="1" t="s">
        <v>36</v>
      </c>
      <c r="I474" s="1">
        <v>559.04</v>
      </c>
      <c r="J474" s="1">
        <v>48184</v>
      </c>
      <c r="K474" s="1">
        <v>676</v>
      </c>
      <c r="L474" s="1">
        <v>55</v>
      </c>
      <c r="M474" s="1">
        <v>5</v>
      </c>
      <c r="N474" s="1">
        <v>1.4029553379999999</v>
      </c>
      <c r="O474" s="1">
        <v>8.1360946750000007</v>
      </c>
      <c r="P474" s="1">
        <f t="shared" si="14"/>
        <v>5</v>
      </c>
      <c r="V474" t="str">
        <f t="shared" si="24"/>
        <v>Low Performer</v>
      </c>
      <c r="W474" t="e" cm="1">
        <f t="array" aca="1" ref="W474" ca="1">_xlfn.IFS(N474&gt;=20, "High",N474&gt;=10, "Medium", N474&lt;10, "Low")</f>
        <v>#NAME?</v>
      </c>
      <c r="X474" t="str">
        <f t="shared" si="25"/>
        <v>Medium Budget</v>
      </c>
      <c r="Y474" s="7">
        <f>VLOOKUP(G474, Lookup_table!B:C,2,0)</f>
        <v>0.75</v>
      </c>
      <c r="Z474" t="str">
        <f t="shared" si="26"/>
        <v>Inefficient Spend</v>
      </c>
      <c r="AA474" t="str">
        <f>VLOOKUP(H474, Lookup_table!E:F,2,0)</f>
        <v>High</v>
      </c>
    </row>
    <row r="475" spans="1:27" ht="17.5" customHeight="1" x14ac:dyDescent="0.35">
      <c r="A475" s="1" t="s">
        <v>689</v>
      </c>
      <c r="B475" s="2">
        <v>45335</v>
      </c>
      <c r="C475" s="1" t="s">
        <v>299</v>
      </c>
      <c r="D475" s="1">
        <v>40</v>
      </c>
      <c r="E475" s="1" t="s">
        <v>29</v>
      </c>
      <c r="F475" s="1" t="s">
        <v>30</v>
      </c>
      <c r="G475" s="1" t="s">
        <v>46</v>
      </c>
      <c r="H475" s="1" t="s">
        <v>26</v>
      </c>
      <c r="I475" s="1">
        <v>1729.99</v>
      </c>
      <c r="J475" s="1">
        <v>37883</v>
      </c>
      <c r="K475" s="1">
        <v>4156</v>
      </c>
      <c r="L475" s="1">
        <v>286</v>
      </c>
      <c r="M475" s="1">
        <v>5</v>
      </c>
      <c r="N475" s="1">
        <v>10.970620070000001</v>
      </c>
      <c r="O475" s="1">
        <v>6.8816169389999997</v>
      </c>
      <c r="P475" s="1">
        <f t="shared" si="14"/>
        <v>5</v>
      </c>
      <c r="V475" t="str">
        <f t="shared" si="24"/>
        <v>Top Performer</v>
      </c>
      <c r="W475" t="e" cm="1">
        <f t="array" aca="1" ref="W475" ca="1">_xlfn.IFS(N475&gt;=20, "High",N475&gt;=10, "Medium", N475&lt;10, "Low")</f>
        <v>#NAME?</v>
      </c>
      <c r="X475" t="str">
        <f t="shared" si="25"/>
        <v>High Budget</v>
      </c>
      <c r="Y475" s="7">
        <f>VLOOKUP(G475, Lookup_table!B:C,2,0)</f>
        <v>0.75</v>
      </c>
      <c r="Z475" t="str">
        <f t="shared" si="26"/>
        <v>Efficient Spend</v>
      </c>
      <c r="AA475" t="str">
        <f>VLOOKUP(H475, Lookup_table!E:F,2,0)</f>
        <v>High</v>
      </c>
    </row>
    <row r="476" spans="1:27" ht="17.5" customHeight="1" x14ac:dyDescent="0.35">
      <c r="A476" s="1" t="s">
        <v>690</v>
      </c>
      <c r="B476" s="2">
        <v>45638</v>
      </c>
      <c r="C476" s="1" t="s">
        <v>81</v>
      </c>
      <c r="D476" s="1">
        <v>47</v>
      </c>
      <c r="E476" s="1" t="s">
        <v>35</v>
      </c>
      <c r="F476" s="1" t="s">
        <v>41</v>
      </c>
      <c r="G476" s="1" t="s">
        <v>61</v>
      </c>
      <c r="H476" s="1" t="s">
        <v>32</v>
      </c>
      <c r="I476" s="1">
        <v>1396.64</v>
      </c>
      <c r="J476" s="1">
        <v>48853</v>
      </c>
      <c r="K476" s="1">
        <v>1265</v>
      </c>
      <c r="L476" s="1">
        <v>168</v>
      </c>
      <c r="M476" s="1">
        <v>1</v>
      </c>
      <c r="N476" s="1">
        <v>2.5894008560000001</v>
      </c>
      <c r="O476" s="1">
        <v>13.280632410000001</v>
      </c>
      <c r="P476" s="1">
        <f t="shared" si="14"/>
        <v>1</v>
      </c>
      <c r="V476" t="str">
        <f t="shared" si="24"/>
        <v>Average Performer</v>
      </c>
      <c r="W476" t="e" cm="1">
        <f t="array" aca="1" ref="W476" ca="1">_xlfn.IFS(N476&gt;=20, "High",N476&gt;=10, "Medium", N476&lt;10, "Low")</f>
        <v>#NAME?</v>
      </c>
      <c r="X476" t="str">
        <f t="shared" si="25"/>
        <v>High Budget</v>
      </c>
      <c r="Y476" s="7">
        <f>VLOOKUP(G476, Lookup_table!B:C,2,0)</f>
        <v>0.2</v>
      </c>
      <c r="Z476" t="str">
        <f t="shared" si="26"/>
        <v>Inefficient Spend</v>
      </c>
      <c r="AA476" t="str">
        <f>VLOOKUP(H476, Lookup_table!E:F,2,0)</f>
        <v>Medium</v>
      </c>
    </row>
    <row r="477" spans="1:27" ht="17.5" customHeight="1" x14ac:dyDescent="0.35">
      <c r="A477" s="1" t="s">
        <v>691</v>
      </c>
      <c r="B477" s="2">
        <v>45425</v>
      </c>
      <c r="C477" s="1" t="s">
        <v>220</v>
      </c>
      <c r="D477" s="1">
        <v>25</v>
      </c>
      <c r="E477" s="1" t="s">
        <v>23</v>
      </c>
      <c r="F477" s="1" t="s">
        <v>24</v>
      </c>
      <c r="G477" s="1" t="s">
        <v>31</v>
      </c>
      <c r="H477" s="1" t="s">
        <v>26</v>
      </c>
      <c r="I477" s="1">
        <v>1639.47</v>
      </c>
      <c r="J477" s="1">
        <v>34488</v>
      </c>
      <c r="K477" s="1">
        <v>288</v>
      </c>
      <c r="L477" s="1">
        <v>12</v>
      </c>
      <c r="M477" s="1">
        <v>2</v>
      </c>
      <c r="N477" s="1">
        <v>0.835073069</v>
      </c>
      <c r="O477" s="1">
        <v>4.1666666670000003</v>
      </c>
      <c r="P477" s="1">
        <f t="shared" si="14"/>
        <v>2</v>
      </c>
      <c r="V477" t="str">
        <f t="shared" si="24"/>
        <v>Low Performer</v>
      </c>
      <c r="W477" t="e" cm="1">
        <f t="array" aca="1" ref="W477" ca="1">_xlfn.IFS(N477&gt;=20, "High",N477&gt;=10, "Medium", N477&lt;10, "Low")</f>
        <v>#NAME?</v>
      </c>
      <c r="X477" t="str">
        <f t="shared" si="25"/>
        <v>High Budget</v>
      </c>
      <c r="Y477" s="7">
        <f>VLOOKUP(G477, Lookup_table!B:C,2,0)</f>
        <v>1.2</v>
      </c>
      <c r="Z477" t="str">
        <f t="shared" si="26"/>
        <v>Inefficient Spend</v>
      </c>
      <c r="AA477" t="str">
        <f>VLOOKUP(H477, Lookup_table!E:F,2,0)</f>
        <v>High</v>
      </c>
    </row>
    <row r="478" spans="1:27" ht="17.5" customHeight="1" x14ac:dyDescent="0.35">
      <c r="A478" s="1" t="s">
        <v>692</v>
      </c>
      <c r="B478" s="2">
        <v>45624</v>
      </c>
      <c r="C478" s="1" t="s">
        <v>598</v>
      </c>
      <c r="D478" s="1">
        <v>19</v>
      </c>
      <c r="E478" s="1" t="s">
        <v>29</v>
      </c>
      <c r="F478" s="1" t="s">
        <v>30</v>
      </c>
      <c r="G478" s="1" t="s">
        <v>61</v>
      </c>
      <c r="H478" s="1" t="s">
        <v>32</v>
      </c>
      <c r="I478" s="1">
        <v>1118.92</v>
      </c>
      <c r="J478" s="1">
        <v>13713</v>
      </c>
      <c r="K478" s="1">
        <v>4502</v>
      </c>
      <c r="L478" s="1">
        <v>199</v>
      </c>
      <c r="M478" s="1">
        <v>1</v>
      </c>
      <c r="N478" s="1">
        <v>32.830161160000003</v>
      </c>
      <c r="O478" s="1">
        <v>4.4202576630000001</v>
      </c>
      <c r="P478" s="1">
        <f t="shared" si="14"/>
        <v>1</v>
      </c>
      <c r="V478" t="str">
        <f t="shared" si="24"/>
        <v>Average Performer</v>
      </c>
      <c r="W478" t="e" cm="1">
        <f t="array" aca="1" ref="W478" ca="1">_xlfn.IFS(N478&gt;=20, "High",N478&gt;=10, "Medium", N478&lt;10, "Low")</f>
        <v>#NAME?</v>
      </c>
      <c r="X478" t="str">
        <f t="shared" si="25"/>
        <v>High Budget</v>
      </c>
      <c r="Y478" s="7">
        <f>VLOOKUP(G478, Lookup_table!B:C,2,0)</f>
        <v>0.2</v>
      </c>
      <c r="Z478" t="str">
        <f t="shared" si="26"/>
        <v>Inefficient Spend</v>
      </c>
      <c r="AA478" t="str">
        <f>VLOOKUP(H478, Lookup_table!E:F,2,0)</f>
        <v>Medium</v>
      </c>
    </row>
    <row r="479" spans="1:27" ht="17.5" customHeight="1" x14ac:dyDescent="0.35">
      <c r="A479" s="1" t="s">
        <v>693</v>
      </c>
      <c r="B479" s="2">
        <v>45613</v>
      </c>
      <c r="C479" s="1" t="s">
        <v>119</v>
      </c>
      <c r="D479" s="1">
        <v>31</v>
      </c>
      <c r="E479" s="1" t="s">
        <v>35</v>
      </c>
      <c r="F479" s="1" t="s">
        <v>30</v>
      </c>
      <c r="G479" s="1" t="s">
        <v>31</v>
      </c>
      <c r="H479" s="1" t="s">
        <v>26</v>
      </c>
      <c r="I479" s="1">
        <v>345.88</v>
      </c>
      <c r="J479" s="1">
        <v>1064</v>
      </c>
      <c r="K479" s="1">
        <v>1285</v>
      </c>
      <c r="L479" s="1">
        <v>15</v>
      </c>
      <c r="M479" s="1">
        <v>3</v>
      </c>
      <c r="N479" s="1">
        <v>120.7706767</v>
      </c>
      <c r="O479" s="1">
        <v>1.1673151749999999</v>
      </c>
      <c r="P479" s="1">
        <f t="shared" si="14"/>
        <v>3</v>
      </c>
      <c r="U479" s="1">
        <f>COUNTIF(N475:N1000, N479&gt;100)</f>
        <v>0</v>
      </c>
      <c r="V479" t="str">
        <f t="shared" si="24"/>
        <v>Low Performer</v>
      </c>
      <c r="W479" t="e" cm="1">
        <f t="array" aca="1" ref="W479" ca="1">_xlfn.IFS(N479&gt;=20, "High",N479&gt;=10, "Medium", N479&lt;10, "Low")</f>
        <v>#NAME?</v>
      </c>
      <c r="X479" t="str">
        <f t="shared" si="25"/>
        <v>Low Budget</v>
      </c>
      <c r="Y479" s="7">
        <f>VLOOKUP(G479, Lookup_table!B:C,2,0)</f>
        <v>1.2</v>
      </c>
      <c r="Z479" t="str">
        <f t="shared" si="26"/>
        <v>Efficient Spend</v>
      </c>
      <c r="AA479" t="str">
        <f>VLOOKUP(H479, Lookup_table!E:F,2,0)</f>
        <v>High</v>
      </c>
    </row>
    <row r="480" spans="1:27" ht="17.5" customHeight="1" x14ac:dyDescent="0.35">
      <c r="A480" s="1" t="s">
        <v>694</v>
      </c>
      <c r="B480" s="2">
        <v>45505</v>
      </c>
      <c r="C480" s="1" t="s">
        <v>461</v>
      </c>
      <c r="D480" s="1">
        <v>37</v>
      </c>
      <c r="E480" s="1" t="s">
        <v>23</v>
      </c>
      <c r="F480" s="1" t="s">
        <v>30</v>
      </c>
      <c r="G480" s="1" t="s">
        <v>25</v>
      </c>
      <c r="H480" s="1" t="s">
        <v>62</v>
      </c>
      <c r="I480" s="1">
        <v>1399.6</v>
      </c>
      <c r="J480" s="1">
        <v>20146</v>
      </c>
      <c r="K480" s="1">
        <v>4092</v>
      </c>
      <c r="L480" s="1">
        <v>396</v>
      </c>
      <c r="M480" s="1">
        <v>1</v>
      </c>
      <c r="N480" s="1">
        <v>20.31172441</v>
      </c>
      <c r="O480" s="1">
        <v>9.6774193549999996</v>
      </c>
      <c r="P480" s="1">
        <f t="shared" si="14"/>
        <v>1</v>
      </c>
      <c r="V480" t="str">
        <f t="shared" si="24"/>
        <v>Top Performer</v>
      </c>
      <c r="W480" t="e" cm="1">
        <f t="array" aca="1" ref="W480" ca="1">_xlfn.IFS(N480&gt;=20, "High",N480&gt;=10, "Medium", N480&lt;10, "Low")</f>
        <v>#NAME?</v>
      </c>
      <c r="X480" t="str">
        <f t="shared" si="25"/>
        <v>High Budget</v>
      </c>
      <c r="Y480" s="7">
        <f>VLOOKUP(G480, Lookup_table!B:C,2,0)</f>
        <v>0.5</v>
      </c>
      <c r="Z480" t="str">
        <f t="shared" si="26"/>
        <v>Efficient Spend</v>
      </c>
      <c r="AA480" t="str">
        <f>VLOOKUP(H480, Lookup_table!E:F,2,0)</f>
        <v>Medium</v>
      </c>
    </row>
    <row r="481" spans="1:27" ht="17.5" customHeight="1" x14ac:dyDescent="0.35">
      <c r="A481" s="1" t="s">
        <v>695</v>
      </c>
      <c r="B481" s="2">
        <v>45381</v>
      </c>
      <c r="C481" s="1" t="s">
        <v>361</v>
      </c>
      <c r="D481" s="1">
        <v>56</v>
      </c>
      <c r="E481" s="1" t="s">
        <v>23</v>
      </c>
      <c r="F481" s="1" t="s">
        <v>41</v>
      </c>
      <c r="G481" s="1" t="s">
        <v>46</v>
      </c>
      <c r="H481" s="1" t="s">
        <v>32</v>
      </c>
      <c r="I481" s="1">
        <v>1495.4</v>
      </c>
      <c r="J481" s="1">
        <v>29712</v>
      </c>
      <c r="K481" s="1">
        <v>2236</v>
      </c>
      <c r="L481" s="1">
        <v>110</v>
      </c>
      <c r="M481" s="1">
        <v>4</v>
      </c>
      <c r="N481" s="1">
        <v>7.5255788910000003</v>
      </c>
      <c r="O481" s="1">
        <v>4.919499106</v>
      </c>
      <c r="P481" s="1">
        <f t="shared" si="14"/>
        <v>4</v>
      </c>
      <c r="V481" t="str">
        <f t="shared" si="24"/>
        <v>Average Performer</v>
      </c>
      <c r="W481" t="e" cm="1">
        <f t="array" aca="1" ref="W481" ca="1">_xlfn.IFS(N481&gt;=20, "High",N481&gt;=10, "Medium", N481&lt;10, "Low")</f>
        <v>#NAME?</v>
      </c>
      <c r="X481" t="str">
        <f t="shared" si="25"/>
        <v>High Budget</v>
      </c>
      <c r="Y481" s="7">
        <f>VLOOKUP(G481, Lookup_table!B:C,2,0)</f>
        <v>0.75</v>
      </c>
      <c r="Z481" t="str">
        <f t="shared" si="26"/>
        <v>Efficient Spend</v>
      </c>
      <c r="AA481" t="str">
        <f>VLOOKUP(H481, Lookup_table!E:F,2,0)</f>
        <v>Medium</v>
      </c>
    </row>
    <row r="482" spans="1:27" ht="17.5" customHeight="1" x14ac:dyDescent="0.35">
      <c r="A482" s="1" t="s">
        <v>696</v>
      </c>
      <c r="B482" s="2">
        <v>45472</v>
      </c>
      <c r="C482" s="1" t="s">
        <v>281</v>
      </c>
      <c r="D482" s="1">
        <v>22</v>
      </c>
      <c r="E482" s="1" t="s">
        <v>29</v>
      </c>
      <c r="F482" s="1" t="s">
        <v>45</v>
      </c>
      <c r="G482" s="1" t="s">
        <v>25</v>
      </c>
      <c r="H482" s="1" t="s">
        <v>26</v>
      </c>
      <c r="I482" s="1">
        <v>1275.81</v>
      </c>
      <c r="J482" s="1">
        <v>34527</v>
      </c>
      <c r="K482" s="1">
        <v>1341</v>
      </c>
      <c r="L482" s="1">
        <v>81</v>
      </c>
      <c r="M482" s="1">
        <v>1</v>
      </c>
      <c r="N482" s="1">
        <v>3.8839169349999998</v>
      </c>
      <c r="O482" s="1">
        <v>6.0402684559999997</v>
      </c>
      <c r="P482" s="1">
        <f t="shared" si="14"/>
        <v>1</v>
      </c>
      <c r="V482" t="str">
        <f t="shared" si="24"/>
        <v>Low Performer</v>
      </c>
      <c r="W482" t="e" cm="1">
        <f t="array" aca="1" ref="W482" ca="1">_xlfn.IFS(N482&gt;=20, "High",N482&gt;=10, "Medium", N482&lt;10, "Low")</f>
        <v>#NAME?</v>
      </c>
      <c r="X482" t="str">
        <f t="shared" si="25"/>
        <v>High Budget</v>
      </c>
      <c r="Y482" s="7">
        <f>VLOOKUP(G482, Lookup_table!B:C,2,0)</f>
        <v>0.5</v>
      </c>
      <c r="Z482" t="str">
        <f t="shared" si="26"/>
        <v>Inefficient Spend</v>
      </c>
      <c r="AA482" t="str">
        <f>VLOOKUP(H482, Lookup_table!E:F,2,0)</f>
        <v>High</v>
      </c>
    </row>
    <row r="483" spans="1:27" ht="17.5" customHeight="1" x14ac:dyDescent="0.35">
      <c r="A483" s="1" t="s">
        <v>697</v>
      </c>
      <c r="B483" s="2">
        <v>45381</v>
      </c>
      <c r="C483" s="1" t="s">
        <v>492</v>
      </c>
      <c r="D483" s="1">
        <v>34</v>
      </c>
      <c r="E483" s="1" t="s">
        <v>29</v>
      </c>
      <c r="F483" s="1" t="s">
        <v>24</v>
      </c>
      <c r="G483" s="1" t="s">
        <v>31</v>
      </c>
      <c r="H483" s="1" t="s">
        <v>36</v>
      </c>
      <c r="I483" s="1">
        <v>1447.21</v>
      </c>
      <c r="J483" s="1">
        <v>23239</v>
      </c>
      <c r="K483" s="1">
        <v>1637</v>
      </c>
      <c r="L483" s="1">
        <v>286</v>
      </c>
      <c r="M483" s="1">
        <v>4</v>
      </c>
      <c r="N483" s="1">
        <v>7.0441929520000004</v>
      </c>
      <c r="O483" s="1">
        <v>17.47098351</v>
      </c>
      <c r="P483" s="1">
        <f t="shared" si="14"/>
        <v>4</v>
      </c>
      <c r="V483" t="str">
        <f t="shared" si="24"/>
        <v>Average Performer</v>
      </c>
      <c r="W483" t="e" cm="1">
        <f t="array" aca="1" ref="W483" ca="1">_xlfn.IFS(N483&gt;=20, "High",N483&gt;=10, "Medium", N483&lt;10, "Low")</f>
        <v>#NAME?</v>
      </c>
      <c r="X483" t="str">
        <f t="shared" si="25"/>
        <v>High Budget</v>
      </c>
      <c r="Y483" s="7">
        <f>VLOOKUP(G483, Lookup_table!B:C,2,0)</f>
        <v>1.2</v>
      </c>
      <c r="Z483" t="str">
        <f t="shared" si="26"/>
        <v>Efficient Spend</v>
      </c>
      <c r="AA483" t="str">
        <f>VLOOKUP(H483, Lookup_table!E:F,2,0)</f>
        <v>High</v>
      </c>
    </row>
    <row r="484" spans="1:27" ht="17.5" customHeight="1" x14ac:dyDescent="0.35">
      <c r="A484" s="1" t="s">
        <v>698</v>
      </c>
      <c r="B484" s="2">
        <v>45313</v>
      </c>
      <c r="C484" s="1" t="s">
        <v>409</v>
      </c>
      <c r="D484" s="1">
        <v>54</v>
      </c>
      <c r="E484" s="1" t="s">
        <v>23</v>
      </c>
      <c r="F484" s="1" t="s">
        <v>57</v>
      </c>
      <c r="G484" s="1" t="s">
        <v>61</v>
      </c>
      <c r="H484" s="1" t="s">
        <v>62</v>
      </c>
      <c r="I484" s="1">
        <v>1807.33</v>
      </c>
      <c r="J484" s="1">
        <v>4303</v>
      </c>
      <c r="K484" s="1">
        <v>3197</v>
      </c>
      <c r="L484" s="1">
        <v>124</v>
      </c>
      <c r="M484" s="1">
        <v>4</v>
      </c>
      <c r="N484" s="1">
        <v>74.297002090000007</v>
      </c>
      <c r="O484" s="1">
        <v>3.8786362209999998</v>
      </c>
      <c r="P484" s="1">
        <f t="shared" si="14"/>
        <v>4</v>
      </c>
      <c r="V484" t="str">
        <f t="shared" si="24"/>
        <v>Average Performer</v>
      </c>
      <c r="W484" t="e" cm="1">
        <f t="array" aca="1" ref="W484" ca="1">_xlfn.IFS(N484&gt;=20, "High",N484&gt;=10, "Medium", N484&lt;10, "Low")</f>
        <v>#NAME?</v>
      </c>
      <c r="X484" t="str">
        <f t="shared" si="25"/>
        <v>High Budget</v>
      </c>
      <c r="Y484" s="7">
        <f>VLOOKUP(G484, Lookup_table!B:C,2,0)</f>
        <v>0.2</v>
      </c>
      <c r="Z484" t="str">
        <f t="shared" si="26"/>
        <v>Inefficient Spend</v>
      </c>
      <c r="AA484" t="str">
        <f>VLOOKUP(H484, Lookup_table!E:F,2,0)</f>
        <v>Medium</v>
      </c>
    </row>
    <row r="485" spans="1:27" ht="17.5" customHeight="1" x14ac:dyDescent="0.35">
      <c r="A485" s="1" t="s">
        <v>699</v>
      </c>
      <c r="B485" s="2">
        <v>45394</v>
      </c>
      <c r="C485" s="1" t="s">
        <v>115</v>
      </c>
      <c r="D485" s="1">
        <v>29</v>
      </c>
      <c r="E485" s="1" t="s">
        <v>29</v>
      </c>
      <c r="F485" s="1" t="s">
        <v>45</v>
      </c>
      <c r="G485" s="1" t="s">
        <v>42</v>
      </c>
      <c r="H485" s="1" t="s">
        <v>62</v>
      </c>
      <c r="I485" s="1">
        <v>279.16000000000003</v>
      </c>
      <c r="J485" s="1">
        <v>46212</v>
      </c>
      <c r="K485" s="1">
        <v>4540</v>
      </c>
      <c r="L485" s="1">
        <v>90</v>
      </c>
      <c r="N485" s="1">
        <v>9.8242880639999992</v>
      </c>
      <c r="O485" s="1">
        <v>1.9823788550000001</v>
      </c>
      <c r="P485" s="1">
        <f t="shared" si="14"/>
        <v>3</v>
      </c>
      <c r="V485" t="str">
        <f t="shared" si="24"/>
        <v>Low Performer</v>
      </c>
      <c r="W485" t="e" cm="1">
        <f t="array" aca="1" ref="W485" ca="1">_xlfn.IFS(N485&gt;=20, "High",N485&gt;=10, "Medium", N485&lt;10, "Low")</f>
        <v>#NAME?</v>
      </c>
      <c r="X485" t="str">
        <f t="shared" si="25"/>
        <v>Low Budget</v>
      </c>
      <c r="Y485" s="7">
        <f>VLOOKUP(G485, Lookup_table!B:C,2,0)</f>
        <v>0.3</v>
      </c>
      <c r="Z485" t="str">
        <f t="shared" si="26"/>
        <v>Efficient Spend</v>
      </c>
      <c r="AA485" t="str">
        <f>VLOOKUP(H485, Lookup_table!E:F,2,0)</f>
        <v>Medium</v>
      </c>
    </row>
    <row r="486" spans="1:27" ht="17.5" customHeight="1" x14ac:dyDescent="0.35">
      <c r="A486" s="1" t="s">
        <v>700</v>
      </c>
      <c r="B486" s="2">
        <v>45399</v>
      </c>
      <c r="C486" s="1" t="s">
        <v>134</v>
      </c>
      <c r="E486" s="1" t="s">
        <v>23</v>
      </c>
      <c r="G486" s="1" t="s">
        <v>42</v>
      </c>
      <c r="H486" s="1" t="s">
        <v>62</v>
      </c>
      <c r="I486" s="1">
        <v>569.16</v>
      </c>
      <c r="J486" s="1">
        <v>8704</v>
      </c>
      <c r="K486" s="1">
        <v>4318</v>
      </c>
      <c r="L486" s="1">
        <v>34</v>
      </c>
      <c r="N486" s="1">
        <v>49.609375</v>
      </c>
      <c r="O486" s="1">
        <v>0.78740157499999996</v>
      </c>
      <c r="P486" s="1">
        <f t="shared" si="14"/>
        <v>3</v>
      </c>
      <c r="V486" t="str">
        <f t="shared" si="24"/>
        <v>Low Performer</v>
      </c>
      <c r="W486" t="e" cm="1">
        <f t="array" aca="1" ref="W486" ca="1">_xlfn.IFS(N486&gt;=20, "High",N486&gt;=10, "Medium", N486&lt;10, "Low")</f>
        <v>#NAME?</v>
      </c>
      <c r="X486" t="str">
        <f t="shared" si="25"/>
        <v>Medium Budget</v>
      </c>
      <c r="Y486" s="7">
        <f>VLOOKUP(G486, Lookup_table!B:C,2,0)</f>
        <v>0.3</v>
      </c>
      <c r="Z486" t="str">
        <f t="shared" si="26"/>
        <v>Efficient Spend</v>
      </c>
      <c r="AA486" t="str">
        <f>VLOOKUP(H486, Lookup_table!E:F,2,0)</f>
        <v>Medium</v>
      </c>
    </row>
    <row r="487" spans="1:27" ht="17.5" customHeight="1" x14ac:dyDescent="0.35">
      <c r="A487" s="1" t="s">
        <v>701</v>
      </c>
      <c r="B487" s="2">
        <v>45457</v>
      </c>
      <c r="C487" s="1" t="s">
        <v>157</v>
      </c>
      <c r="D487" s="1">
        <v>26</v>
      </c>
      <c r="E487" s="1" t="s">
        <v>23</v>
      </c>
      <c r="F487" s="1" t="s">
        <v>24</v>
      </c>
      <c r="G487" s="1" t="s">
        <v>46</v>
      </c>
      <c r="H487" s="1" t="s">
        <v>26</v>
      </c>
      <c r="I487" s="1">
        <v>427.94</v>
      </c>
      <c r="J487" s="1">
        <v>31240</v>
      </c>
      <c r="K487" s="1">
        <v>2206</v>
      </c>
      <c r="L487" s="1">
        <v>270</v>
      </c>
      <c r="M487" s="1">
        <v>4</v>
      </c>
      <c r="N487" s="1">
        <v>7.0614596670000003</v>
      </c>
      <c r="O487" s="1">
        <v>12.23934723</v>
      </c>
      <c r="P487" s="1">
        <f t="shared" si="14"/>
        <v>4</v>
      </c>
      <c r="V487" t="str">
        <f t="shared" si="24"/>
        <v>Average Performer</v>
      </c>
      <c r="W487" t="e" cm="1">
        <f t="array" aca="1" ref="W487" ca="1">_xlfn.IFS(N487&gt;=20, "High",N487&gt;=10, "Medium", N487&lt;10, "Low")</f>
        <v>#NAME?</v>
      </c>
      <c r="X487" t="str">
        <f t="shared" si="25"/>
        <v>Low Budget</v>
      </c>
      <c r="Y487" s="7">
        <f>VLOOKUP(G487, Lookup_table!B:C,2,0)</f>
        <v>0.75</v>
      </c>
      <c r="Z487" t="str">
        <f t="shared" si="26"/>
        <v>Efficient Spend</v>
      </c>
      <c r="AA487" t="str">
        <f>VLOOKUP(H487, Lookup_table!E:F,2,0)</f>
        <v>High</v>
      </c>
    </row>
    <row r="488" spans="1:27" ht="17.5" customHeight="1" x14ac:dyDescent="0.35">
      <c r="A488" s="1" t="s">
        <v>702</v>
      </c>
      <c r="B488" s="2">
        <v>45573</v>
      </c>
      <c r="C488" s="1" t="s">
        <v>160</v>
      </c>
      <c r="D488" s="1">
        <v>52</v>
      </c>
      <c r="E488" s="1" t="s">
        <v>35</v>
      </c>
      <c r="F488" s="1" t="s">
        <v>50</v>
      </c>
      <c r="G488" s="1" t="s">
        <v>42</v>
      </c>
      <c r="H488" s="1" t="s">
        <v>26</v>
      </c>
      <c r="I488" s="1">
        <v>1073.06</v>
      </c>
      <c r="J488" s="1">
        <v>35650</v>
      </c>
      <c r="K488" s="1">
        <v>309</v>
      </c>
      <c r="L488" s="1">
        <v>131</v>
      </c>
      <c r="M488" s="1">
        <v>3</v>
      </c>
      <c r="N488" s="1">
        <v>0.866760168</v>
      </c>
      <c r="O488" s="1">
        <v>42.394822009999999</v>
      </c>
      <c r="P488" s="1">
        <f t="shared" si="14"/>
        <v>3</v>
      </c>
      <c r="V488" t="str">
        <f t="shared" si="24"/>
        <v>Low Performer</v>
      </c>
      <c r="W488" t="e" cm="1">
        <f t="array" aca="1" ref="W488" ca="1">_xlfn.IFS(N488&gt;=20, "High",N488&gt;=10, "Medium", N488&lt;10, "Low")</f>
        <v>#NAME?</v>
      </c>
      <c r="X488" t="str">
        <f t="shared" si="25"/>
        <v>High Budget</v>
      </c>
      <c r="Y488" s="7">
        <f>VLOOKUP(G488, Lookup_table!B:C,2,0)</f>
        <v>0.3</v>
      </c>
      <c r="Z488" t="str">
        <f t="shared" si="26"/>
        <v>Inefficient Spend</v>
      </c>
      <c r="AA488" t="str">
        <f>VLOOKUP(H488, Lookup_table!E:F,2,0)</f>
        <v>High</v>
      </c>
    </row>
    <row r="489" spans="1:27" ht="17.5" customHeight="1" x14ac:dyDescent="0.35">
      <c r="A489" s="1" t="s">
        <v>703</v>
      </c>
      <c r="B489" s="2">
        <v>45360</v>
      </c>
      <c r="C489" s="1" t="s">
        <v>191</v>
      </c>
      <c r="D489" s="1">
        <v>33</v>
      </c>
      <c r="E489" s="1" t="s">
        <v>35</v>
      </c>
      <c r="F489" s="1" t="s">
        <v>57</v>
      </c>
      <c r="G489" s="1" t="s">
        <v>25</v>
      </c>
      <c r="H489" s="1" t="s">
        <v>36</v>
      </c>
      <c r="I489" s="1">
        <v>1095.5899999999999</v>
      </c>
      <c r="J489" s="1">
        <v>8097</v>
      </c>
      <c r="K489" s="1">
        <v>4780</v>
      </c>
      <c r="L489" s="1">
        <v>337</v>
      </c>
      <c r="M489" s="1">
        <v>2</v>
      </c>
      <c r="N489" s="1">
        <v>59.034210199999997</v>
      </c>
      <c r="O489" s="1">
        <v>7.0502092049999998</v>
      </c>
      <c r="P489" s="1">
        <f t="shared" si="14"/>
        <v>2</v>
      </c>
      <c r="V489" t="str">
        <f t="shared" si="24"/>
        <v>Top Performer</v>
      </c>
      <c r="W489" t="e" cm="1">
        <f t="array" aca="1" ref="W489" ca="1">_xlfn.IFS(N489&gt;=20, "High",N489&gt;=10, "Medium", N489&lt;10, "Low")</f>
        <v>#NAME?</v>
      </c>
      <c r="X489" t="str">
        <f t="shared" si="25"/>
        <v>High Budget</v>
      </c>
      <c r="Y489" s="7">
        <f>VLOOKUP(G489, Lookup_table!B:C,2,0)</f>
        <v>0.5</v>
      </c>
      <c r="Z489" t="str">
        <f t="shared" si="26"/>
        <v>Efficient Spend</v>
      </c>
      <c r="AA489" t="str">
        <f>VLOOKUP(H489, Lookup_table!E:F,2,0)</f>
        <v>High</v>
      </c>
    </row>
    <row r="490" spans="1:27" ht="17.5" customHeight="1" x14ac:dyDescent="0.35">
      <c r="A490" s="1" t="s">
        <v>704</v>
      </c>
      <c r="B490" s="2">
        <v>45442</v>
      </c>
      <c r="C490" s="1" t="s">
        <v>409</v>
      </c>
      <c r="D490" s="1">
        <v>58</v>
      </c>
      <c r="E490" s="1" t="s">
        <v>35</v>
      </c>
      <c r="F490" s="1" t="s">
        <v>30</v>
      </c>
      <c r="G490" s="1" t="s">
        <v>42</v>
      </c>
      <c r="H490" s="1" t="s">
        <v>36</v>
      </c>
      <c r="I490" s="1">
        <v>1616.83</v>
      </c>
      <c r="J490" s="1">
        <v>48262</v>
      </c>
      <c r="K490" s="1">
        <v>2065</v>
      </c>
      <c r="L490" s="1">
        <v>16</v>
      </c>
      <c r="M490" s="1">
        <v>3</v>
      </c>
      <c r="N490" s="1">
        <v>4.2787286059999996</v>
      </c>
      <c r="O490" s="1">
        <v>0.77481840199999996</v>
      </c>
      <c r="P490" s="1">
        <f t="shared" si="14"/>
        <v>3</v>
      </c>
      <c r="V490" t="str">
        <f t="shared" si="24"/>
        <v>Low Performer</v>
      </c>
      <c r="W490" t="e" cm="1">
        <f t="array" aca="1" ref="W490" ca="1">_xlfn.IFS(N490&gt;=20, "High",N490&gt;=10, "Medium", N490&lt;10, "Low")</f>
        <v>#NAME?</v>
      </c>
      <c r="X490" t="str">
        <f t="shared" si="25"/>
        <v>High Budget</v>
      </c>
      <c r="Y490" s="7">
        <f>VLOOKUP(G490, Lookup_table!B:C,2,0)</f>
        <v>0.3</v>
      </c>
      <c r="Z490" t="str">
        <f t="shared" si="26"/>
        <v>Inefficient Spend</v>
      </c>
      <c r="AA490" t="str">
        <f>VLOOKUP(H490, Lookup_table!E:F,2,0)</f>
        <v>High</v>
      </c>
    </row>
    <row r="491" spans="1:27" ht="17.5" customHeight="1" x14ac:dyDescent="0.35">
      <c r="A491" s="1" t="s">
        <v>705</v>
      </c>
      <c r="B491" s="2">
        <v>45324</v>
      </c>
      <c r="C491" s="1" t="s">
        <v>706</v>
      </c>
      <c r="D491" s="1">
        <v>44</v>
      </c>
      <c r="E491" s="1" t="s">
        <v>35</v>
      </c>
      <c r="F491" s="1" t="s">
        <v>50</v>
      </c>
      <c r="G491" s="1" t="s">
        <v>61</v>
      </c>
      <c r="H491" s="1" t="s">
        <v>32</v>
      </c>
      <c r="I491" s="1">
        <v>1635.95</v>
      </c>
      <c r="J491" s="1">
        <v>7197</v>
      </c>
      <c r="K491" s="1">
        <v>1788</v>
      </c>
      <c r="L491" s="1">
        <v>24</v>
      </c>
      <c r="M491" s="1">
        <v>2</v>
      </c>
      <c r="N491" s="1">
        <v>24.843684870000001</v>
      </c>
      <c r="O491" s="1">
        <v>1.342281879</v>
      </c>
      <c r="P491" s="1">
        <f t="shared" si="14"/>
        <v>2</v>
      </c>
      <c r="V491" t="str">
        <f t="shared" si="24"/>
        <v>Low Performer</v>
      </c>
      <c r="W491" t="e" cm="1">
        <f t="array" aca="1" ref="W491" ca="1">_xlfn.IFS(N491&gt;=20, "High",N491&gt;=10, "Medium", N491&lt;10, "Low")</f>
        <v>#NAME?</v>
      </c>
      <c r="X491" t="str">
        <f t="shared" si="25"/>
        <v>High Budget</v>
      </c>
      <c r="Y491" s="7">
        <f>VLOOKUP(G491, Lookup_table!B:C,2,0)</f>
        <v>0.2</v>
      </c>
      <c r="Z491" t="str">
        <f t="shared" si="26"/>
        <v>Inefficient Spend</v>
      </c>
      <c r="AA491" t="str">
        <f>VLOOKUP(H491, Lookup_table!E:F,2,0)</f>
        <v>Medium</v>
      </c>
    </row>
    <row r="492" spans="1:27" ht="17.5" customHeight="1" x14ac:dyDescent="0.35">
      <c r="A492" s="1" t="s">
        <v>707</v>
      </c>
      <c r="B492" s="2">
        <v>45611</v>
      </c>
      <c r="C492" s="1" t="s">
        <v>261</v>
      </c>
      <c r="E492" s="1" t="s">
        <v>23</v>
      </c>
      <c r="G492" s="1" t="s">
        <v>42</v>
      </c>
      <c r="H492" s="1" t="s">
        <v>62</v>
      </c>
      <c r="I492" s="1">
        <v>446.63</v>
      </c>
      <c r="J492" s="1">
        <v>31137</v>
      </c>
      <c r="K492" s="1">
        <v>3898</v>
      </c>
      <c r="L492" s="1">
        <v>269</v>
      </c>
      <c r="N492" s="1">
        <v>12.518868230000001</v>
      </c>
      <c r="O492" s="1">
        <v>6.9009748589999997</v>
      </c>
      <c r="P492" s="1">
        <f t="shared" si="14"/>
        <v>3</v>
      </c>
      <c r="V492" t="str">
        <f t="shared" si="24"/>
        <v>Top Performer</v>
      </c>
      <c r="W492" t="e" cm="1">
        <f t="array" aca="1" ref="W492" ca="1">_xlfn.IFS(N492&gt;=20, "High",N492&gt;=10, "Medium", N492&lt;10, "Low")</f>
        <v>#NAME?</v>
      </c>
      <c r="X492" t="str">
        <f t="shared" si="25"/>
        <v>Low Budget</v>
      </c>
      <c r="Y492" s="7">
        <f>VLOOKUP(G492, Lookup_table!B:C,2,0)</f>
        <v>0.3</v>
      </c>
      <c r="Z492" t="str">
        <f t="shared" si="26"/>
        <v>Efficient Spend</v>
      </c>
      <c r="AA492" t="str">
        <f>VLOOKUP(H492, Lookup_table!E:F,2,0)</f>
        <v>Medium</v>
      </c>
    </row>
    <row r="493" spans="1:27" ht="17.5" customHeight="1" x14ac:dyDescent="0.35">
      <c r="A493" s="1" t="s">
        <v>708</v>
      </c>
      <c r="B493" s="2">
        <v>45518</v>
      </c>
      <c r="C493" s="1" t="s">
        <v>175</v>
      </c>
      <c r="D493" s="1">
        <v>43</v>
      </c>
      <c r="E493" s="1" t="s">
        <v>23</v>
      </c>
      <c r="F493" s="1" t="s">
        <v>45</v>
      </c>
      <c r="G493" s="1" t="s">
        <v>46</v>
      </c>
      <c r="H493" s="1" t="s">
        <v>32</v>
      </c>
      <c r="I493" s="1">
        <v>1926.85</v>
      </c>
      <c r="J493" s="1">
        <v>45461</v>
      </c>
      <c r="K493" s="1">
        <v>3777</v>
      </c>
      <c r="L493" s="1">
        <v>258</v>
      </c>
      <c r="M493" s="1">
        <v>4</v>
      </c>
      <c r="N493" s="1">
        <v>8.3082202330000001</v>
      </c>
      <c r="O493" s="1">
        <v>6.8308181100000001</v>
      </c>
      <c r="P493" s="1">
        <f t="shared" si="14"/>
        <v>4</v>
      </c>
      <c r="V493" t="str">
        <f t="shared" si="24"/>
        <v>Top Performer</v>
      </c>
      <c r="W493" t="e" cm="1">
        <f t="array" aca="1" ref="W493" ca="1">_xlfn.IFS(N493&gt;=20, "High",N493&gt;=10, "Medium", N493&lt;10, "Low")</f>
        <v>#NAME?</v>
      </c>
      <c r="X493" t="str">
        <f t="shared" si="25"/>
        <v>High Budget</v>
      </c>
      <c r="Y493" s="7">
        <f>VLOOKUP(G493, Lookup_table!B:C,2,0)</f>
        <v>0.75</v>
      </c>
      <c r="Z493" t="str">
        <f t="shared" si="26"/>
        <v>Efficient Spend</v>
      </c>
      <c r="AA493" t="str">
        <f>VLOOKUP(H493, Lookup_table!E:F,2,0)</f>
        <v>Medium</v>
      </c>
    </row>
    <row r="494" spans="1:27" ht="17.5" customHeight="1" x14ac:dyDescent="0.35">
      <c r="A494" s="1" t="s">
        <v>709</v>
      </c>
      <c r="B494" s="2">
        <v>45302</v>
      </c>
      <c r="C494" s="1" t="s">
        <v>289</v>
      </c>
      <c r="D494" s="1">
        <v>46</v>
      </c>
      <c r="E494" s="1" t="s">
        <v>23</v>
      </c>
      <c r="F494" s="1" t="s">
        <v>30</v>
      </c>
      <c r="G494" s="1" t="s">
        <v>25</v>
      </c>
      <c r="H494" s="1" t="s">
        <v>26</v>
      </c>
      <c r="I494" s="1">
        <v>1472.98</v>
      </c>
      <c r="J494" s="1">
        <v>42049</v>
      </c>
      <c r="K494" s="1">
        <v>779</v>
      </c>
      <c r="L494" s="1">
        <v>64</v>
      </c>
      <c r="M494" s="1">
        <v>3</v>
      </c>
      <c r="N494" s="1">
        <v>1.852600537</v>
      </c>
      <c r="O494" s="1">
        <v>8.2156611040000005</v>
      </c>
      <c r="P494" s="1">
        <f t="shared" si="14"/>
        <v>3</v>
      </c>
      <c r="V494" t="str">
        <f t="shared" si="24"/>
        <v>Low Performer</v>
      </c>
      <c r="W494" t="e" cm="1">
        <f t="array" aca="1" ref="W494" ca="1">_xlfn.IFS(N494&gt;=20, "High",N494&gt;=10, "Medium", N494&lt;10, "Low")</f>
        <v>#NAME?</v>
      </c>
      <c r="X494" t="str">
        <f t="shared" si="25"/>
        <v>High Budget</v>
      </c>
      <c r="Y494" s="7">
        <f>VLOOKUP(G494, Lookup_table!B:C,2,0)</f>
        <v>0.5</v>
      </c>
      <c r="Z494" t="str">
        <f t="shared" si="26"/>
        <v>Inefficient Spend</v>
      </c>
      <c r="AA494" t="str">
        <f>VLOOKUP(H494, Lookup_table!E:F,2,0)</f>
        <v>High</v>
      </c>
    </row>
    <row r="495" spans="1:27" ht="17.5" customHeight="1" x14ac:dyDescent="0.35">
      <c r="A495" s="1" t="s">
        <v>710</v>
      </c>
      <c r="B495" s="2">
        <v>45625</v>
      </c>
      <c r="C495" s="1" t="s">
        <v>505</v>
      </c>
      <c r="D495" s="1">
        <v>20</v>
      </c>
      <c r="E495" s="1" t="s">
        <v>29</v>
      </c>
      <c r="F495" s="1" t="s">
        <v>24</v>
      </c>
      <c r="G495" s="1" t="s">
        <v>61</v>
      </c>
      <c r="H495" s="1" t="s">
        <v>62</v>
      </c>
      <c r="I495" s="1">
        <v>656.89</v>
      </c>
      <c r="J495" s="1">
        <v>935</v>
      </c>
      <c r="K495" s="1">
        <v>3128</v>
      </c>
      <c r="L495" s="1">
        <v>248</v>
      </c>
      <c r="N495" s="1">
        <v>334.54545450000001</v>
      </c>
      <c r="O495" s="1">
        <v>7.9283887469999996</v>
      </c>
      <c r="P495" s="1">
        <f t="shared" si="14"/>
        <v>3</v>
      </c>
      <c r="U495" s="1">
        <f>COUNTIF(N491:N1000, N495&gt;100)</f>
        <v>0</v>
      </c>
      <c r="V495" t="str">
        <f t="shared" si="24"/>
        <v>Top Performer</v>
      </c>
      <c r="W495" t="e" cm="1">
        <f t="array" aca="1" ref="W495" ca="1">_xlfn.IFS(N495&gt;=20, "High",N495&gt;=10, "Medium", N495&lt;10, "Low")</f>
        <v>#NAME?</v>
      </c>
      <c r="X495" t="str">
        <f t="shared" si="25"/>
        <v>Medium Budget</v>
      </c>
      <c r="Y495" s="7">
        <f>VLOOKUP(G495, Lookup_table!B:C,2,0)</f>
        <v>0.2</v>
      </c>
      <c r="Z495" t="str">
        <f t="shared" si="26"/>
        <v>Inefficient Spend</v>
      </c>
      <c r="AA495" t="str">
        <f>VLOOKUP(H495, Lookup_table!E:F,2,0)</f>
        <v>Medium</v>
      </c>
    </row>
    <row r="496" spans="1:27" ht="17.5" customHeight="1" x14ac:dyDescent="0.35">
      <c r="A496" s="1" t="s">
        <v>711</v>
      </c>
      <c r="B496" s="2">
        <v>45455</v>
      </c>
      <c r="C496" s="1" t="s">
        <v>567</v>
      </c>
      <c r="D496" s="1">
        <v>51</v>
      </c>
      <c r="E496" s="1" t="s">
        <v>35</v>
      </c>
      <c r="F496" s="1" t="s">
        <v>30</v>
      </c>
      <c r="G496" s="1" t="s">
        <v>42</v>
      </c>
      <c r="H496" s="1" t="s">
        <v>26</v>
      </c>
      <c r="I496" s="1">
        <v>553.27</v>
      </c>
      <c r="J496" s="1">
        <v>44864</v>
      </c>
      <c r="K496" s="1">
        <v>4157</v>
      </c>
      <c r="L496" s="1">
        <v>130</v>
      </c>
      <c r="M496" s="1">
        <v>3</v>
      </c>
      <c r="N496" s="1">
        <v>9.2657810269999992</v>
      </c>
      <c r="O496" s="1">
        <v>3.127255232</v>
      </c>
      <c r="P496" s="1">
        <f t="shared" si="14"/>
        <v>3</v>
      </c>
      <c r="V496" t="str">
        <f t="shared" si="24"/>
        <v>Average Performer</v>
      </c>
      <c r="W496" t="e" cm="1">
        <f t="array" aca="1" ref="W496" ca="1">_xlfn.IFS(N496&gt;=20, "High",N496&gt;=10, "Medium", N496&lt;10, "Low")</f>
        <v>#NAME?</v>
      </c>
      <c r="X496" t="str">
        <f t="shared" si="25"/>
        <v>Medium Budget</v>
      </c>
      <c r="Y496" s="7">
        <f>VLOOKUP(G496, Lookup_table!B:C,2,0)</f>
        <v>0.3</v>
      </c>
      <c r="Z496" t="str">
        <f t="shared" si="26"/>
        <v>Efficient Spend</v>
      </c>
      <c r="AA496" t="str">
        <f>VLOOKUP(H496, Lookup_table!E:F,2,0)</f>
        <v>High</v>
      </c>
    </row>
    <row r="497" spans="1:27" ht="17.5" customHeight="1" x14ac:dyDescent="0.35">
      <c r="A497" s="1" t="s">
        <v>712</v>
      </c>
      <c r="B497" s="2">
        <v>45330</v>
      </c>
      <c r="C497" s="1" t="s">
        <v>130</v>
      </c>
      <c r="D497" s="1">
        <v>59</v>
      </c>
      <c r="E497" s="1" t="s">
        <v>23</v>
      </c>
      <c r="F497" s="1" t="s">
        <v>41</v>
      </c>
      <c r="G497" s="1" t="s">
        <v>25</v>
      </c>
      <c r="H497" s="1" t="s">
        <v>26</v>
      </c>
      <c r="I497" s="1">
        <v>398.14</v>
      </c>
      <c r="J497" s="1">
        <v>21016</v>
      </c>
      <c r="K497" s="1">
        <v>1705</v>
      </c>
      <c r="L497" s="1">
        <v>384</v>
      </c>
      <c r="M497" s="1">
        <v>2</v>
      </c>
      <c r="N497" s="1">
        <v>8.1128663880000005</v>
      </c>
      <c r="O497" s="1">
        <v>22.52199413</v>
      </c>
      <c r="P497" s="1">
        <f t="shared" si="14"/>
        <v>2</v>
      </c>
      <c r="V497" t="str">
        <f t="shared" si="24"/>
        <v>Average Performer</v>
      </c>
      <c r="W497" t="e" cm="1">
        <f t="array" aca="1" ref="W497" ca="1">_xlfn.IFS(N497&gt;=20, "High",N497&gt;=10, "Medium", N497&lt;10, "Low")</f>
        <v>#NAME?</v>
      </c>
      <c r="X497" t="str">
        <f t="shared" si="25"/>
        <v>Low Budget</v>
      </c>
      <c r="Y497" s="7">
        <f>VLOOKUP(G497, Lookup_table!B:C,2,0)</f>
        <v>0.5</v>
      </c>
      <c r="Z497" t="str">
        <f t="shared" si="26"/>
        <v>Efficient Spend</v>
      </c>
      <c r="AA497" t="str">
        <f>VLOOKUP(H497, Lookup_table!E:F,2,0)</f>
        <v>High</v>
      </c>
    </row>
    <row r="498" spans="1:27" ht="17.5" customHeight="1" x14ac:dyDescent="0.35">
      <c r="A498" s="1" t="s">
        <v>713</v>
      </c>
      <c r="B498" s="2">
        <v>45651</v>
      </c>
      <c r="C498" s="1" t="s">
        <v>714</v>
      </c>
      <c r="D498" s="1">
        <v>61</v>
      </c>
      <c r="E498" s="1" t="s">
        <v>29</v>
      </c>
      <c r="F498" s="1" t="s">
        <v>50</v>
      </c>
      <c r="G498" s="1" t="s">
        <v>46</v>
      </c>
      <c r="H498" s="1" t="s">
        <v>36</v>
      </c>
      <c r="I498" s="1">
        <v>1709.65</v>
      </c>
      <c r="J498" s="1">
        <v>12991</v>
      </c>
      <c r="K498" s="1">
        <v>3816</v>
      </c>
      <c r="L498" s="1">
        <v>394</v>
      </c>
      <c r="N498" s="1">
        <v>29.374182130000001</v>
      </c>
      <c r="O498" s="1">
        <v>10.324947590000001</v>
      </c>
      <c r="P498" s="1">
        <f t="shared" si="14"/>
        <v>3</v>
      </c>
      <c r="V498" t="str">
        <f t="shared" si="24"/>
        <v>Top Performer</v>
      </c>
      <c r="W498" t="e" cm="1">
        <f t="array" aca="1" ref="W498" ca="1">_xlfn.IFS(N498&gt;=20, "High",N498&gt;=10, "Medium", N498&lt;10, "Low")</f>
        <v>#NAME?</v>
      </c>
      <c r="X498" t="str">
        <f t="shared" si="25"/>
        <v>High Budget</v>
      </c>
      <c r="Y498" s="7">
        <f>VLOOKUP(G498, Lookup_table!B:C,2,0)</f>
        <v>0.75</v>
      </c>
      <c r="Z498" t="str">
        <f t="shared" si="26"/>
        <v>Efficient Spend</v>
      </c>
      <c r="AA498" t="str">
        <f>VLOOKUP(H498, Lookup_table!E:F,2,0)</f>
        <v>High</v>
      </c>
    </row>
    <row r="499" spans="1:27" ht="17.5" customHeight="1" x14ac:dyDescent="0.35">
      <c r="A499" s="1" t="s">
        <v>715</v>
      </c>
      <c r="B499" s="2">
        <v>45404</v>
      </c>
      <c r="C499" s="1" t="s">
        <v>64</v>
      </c>
      <c r="D499" s="1">
        <v>48</v>
      </c>
      <c r="E499" s="1" t="s">
        <v>23</v>
      </c>
      <c r="F499" s="1" t="s">
        <v>24</v>
      </c>
      <c r="G499" s="1" t="s">
        <v>31</v>
      </c>
      <c r="H499" s="1" t="s">
        <v>36</v>
      </c>
      <c r="I499" s="1">
        <v>1638.68</v>
      </c>
      <c r="J499" s="1">
        <v>35229</v>
      </c>
      <c r="K499" s="1">
        <v>4750</v>
      </c>
      <c r="L499" s="1">
        <v>174</v>
      </c>
      <c r="M499" s="1">
        <v>1</v>
      </c>
      <c r="N499" s="1">
        <v>13.483209860000001</v>
      </c>
      <c r="O499" s="1">
        <v>3.6631578949999999</v>
      </c>
      <c r="P499" s="1">
        <f t="shared" si="14"/>
        <v>1</v>
      </c>
      <c r="V499" t="str">
        <f t="shared" si="24"/>
        <v>Average Performer</v>
      </c>
      <c r="W499" t="e" cm="1">
        <f t="array" aca="1" ref="W499" ca="1">_xlfn.IFS(N499&gt;=20, "High",N499&gt;=10, "Medium", N499&lt;10, "Low")</f>
        <v>#NAME?</v>
      </c>
      <c r="X499" t="str">
        <f t="shared" si="25"/>
        <v>High Budget</v>
      </c>
      <c r="Y499" s="7">
        <f>VLOOKUP(G499, Lookup_table!B:C,2,0)</f>
        <v>1.2</v>
      </c>
      <c r="Z499" t="str">
        <f t="shared" si="26"/>
        <v>Efficient Spend</v>
      </c>
      <c r="AA499" t="str">
        <f>VLOOKUP(H499, Lookup_table!E:F,2,0)</f>
        <v>High</v>
      </c>
    </row>
    <row r="500" spans="1:27" ht="17.5" customHeight="1" x14ac:dyDescent="0.35">
      <c r="A500" s="1" t="s">
        <v>716</v>
      </c>
      <c r="B500" s="2">
        <v>45292</v>
      </c>
      <c r="C500" s="1" t="s">
        <v>369</v>
      </c>
      <c r="D500" s="1">
        <v>40</v>
      </c>
      <c r="E500" s="1" t="s">
        <v>29</v>
      </c>
      <c r="F500" s="1" t="s">
        <v>57</v>
      </c>
      <c r="G500" s="1" t="s">
        <v>31</v>
      </c>
      <c r="H500" s="1" t="s">
        <v>32</v>
      </c>
      <c r="I500" s="1">
        <v>1560.04</v>
      </c>
      <c r="J500" s="1">
        <v>4611</v>
      </c>
      <c r="K500" s="1">
        <v>2522</v>
      </c>
      <c r="L500" s="1">
        <v>308</v>
      </c>
      <c r="M500" s="1">
        <v>1</v>
      </c>
      <c r="N500" s="1">
        <v>54.69529386</v>
      </c>
      <c r="O500" s="1">
        <v>12.212529740000001</v>
      </c>
      <c r="P500" s="1">
        <f t="shared" si="14"/>
        <v>1</v>
      </c>
      <c r="V500" t="str">
        <f t="shared" si="24"/>
        <v>Average Performer</v>
      </c>
      <c r="W500" t="e" cm="1">
        <f t="array" aca="1" ref="W500" ca="1">_xlfn.IFS(N500&gt;=20, "High",N500&gt;=10, "Medium", N500&lt;10, "Low")</f>
        <v>#NAME?</v>
      </c>
      <c r="X500" t="str">
        <f t="shared" si="25"/>
        <v>High Budget</v>
      </c>
      <c r="Y500" s="7">
        <f>VLOOKUP(G500, Lookup_table!B:C,2,0)</f>
        <v>1.2</v>
      </c>
      <c r="Z500" t="str">
        <f t="shared" si="26"/>
        <v>Efficient Spend</v>
      </c>
      <c r="AA500" t="str">
        <f>VLOOKUP(H500, Lookup_table!E:F,2,0)</f>
        <v>Medium</v>
      </c>
    </row>
    <row r="501" spans="1:27" ht="17.5" customHeight="1" x14ac:dyDescent="0.35">
      <c r="A501" s="1" t="s">
        <v>717</v>
      </c>
      <c r="B501" s="2">
        <v>45374</v>
      </c>
      <c r="C501" s="1" t="s">
        <v>456</v>
      </c>
      <c r="D501" s="1">
        <v>43</v>
      </c>
      <c r="E501" s="1" t="s">
        <v>35</v>
      </c>
      <c r="F501" s="1" t="s">
        <v>24</v>
      </c>
      <c r="G501" s="1" t="s">
        <v>46</v>
      </c>
      <c r="H501" s="1" t="s">
        <v>26</v>
      </c>
      <c r="I501" s="1">
        <v>767.66</v>
      </c>
      <c r="J501" s="1">
        <v>753</v>
      </c>
      <c r="K501" s="1">
        <v>627</v>
      </c>
      <c r="L501" s="1">
        <v>301</v>
      </c>
      <c r="N501" s="1">
        <v>83.266932269999998</v>
      </c>
      <c r="O501" s="1">
        <v>48.006379590000002</v>
      </c>
      <c r="P501" s="1">
        <f t="shared" si="14"/>
        <v>3</v>
      </c>
      <c r="V501" t="str">
        <f t="shared" si="24"/>
        <v>Low Performer</v>
      </c>
      <c r="W501" t="e" cm="1">
        <f t="array" aca="1" ref="W501" ca="1">_xlfn.IFS(N501&gt;=20, "High",N501&gt;=10, "Medium", N501&lt;10, "Low")</f>
        <v>#NAME?</v>
      </c>
      <c r="X501" t="str">
        <f t="shared" si="25"/>
        <v>Medium Budget</v>
      </c>
      <c r="Y501" s="7">
        <f>VLOOKUP(G501, Lookup_table!B:C,2,0)</f>
        <v>0.75</v>
      </c>
      <c r="Z501" t="str">
        <f t="shared" si="26"/>
        <v>Inefficient Spend</v>
      </c>
      <c r="AA501" t="str">
        <f>VLOOKUP(H501, Lookup_table!E:F,2,0)</f>
        <v>High</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
  <sheetViews>
    <sheetView workbookViewId="0"/>
  </sheetViews>
  <sheetFormatPr defaultColWidth="14.453125" defaultRowHeight="15" customHeight="1" x14ac:dyDescent="0.35"/>
  <cols>
    <col min="1" max="1" width="20.7265625" customWidth="1"/>
  </cols>
  <sheetData>
    <row r="1" spans="1:2" x14ac:dyDescent="0.35">
      <c r="A1" s="1" t="s">
        <v>718</v>
      </c>
      <c r="B1" s="1" t="s">
        <v>719</v>
      </c>
    </row>
    <row r="2" spans="1:2" x14ac:dyDescent="0.35">
      <c r="A2" s="1" t="s">
        <v>720</v>
      </c>
      <c r="B2" s="1" t="e" vm="1">
        <f>AVERAGE([1]marketing_campaign_dataset_500_!M:M)</f>
        <v>#VALUE!</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E8" sqref="E8"/>
    </sheetView>
  </sheetViews>
  <sheetFormatPr defaultColWidth="19.6328125" defaultRowHeight="14.5" x14ac:dyDescent="0.35"/>
  <cols>
    <col min="3" max="3" width="19.6328125" style="5"/>
  </cols>
  <sheetData>
    <row r="1" spans="1:6" x14ac:dyDescent="0.35">
      <c r="A1" t="s">
        <v>721</v>
      </c>
      <c r="B1" t="s">
        <v>722</v>
      </c>
      <c r="C1" s="5" t="s">
        <v>723</v>
      </c>
      <c r="E1" s="8" t="s">
        <v>732</v>
      </c>
      <c r="F1" s="8" t="s">
        <v>733</v>
      </c>
    </row>
    <row r="2" spans="1:6" x14ac:dyDescent="0.35">
      <c r="A2" t="s">
        <v>724</v>
      </c>
      <c r="B2" t="s">
        <v>25</v>
      </c>
      <c r="C2" s="5">
        <v>0.5</v>
      </c>
      <c r="E2" s="8" t="s">
        <v>26</v>
      </c>
      <c r="F2" s="8" t="s">
        <v>735</v>
      </c>
    </row>
    <row r="3" spans="1:6" x14ac:dyDescent="0.35">
      <c r="A3" t="s">
        <v>725</v>
      </c>
      <c r="B3" t="s">
        <v>31</v>
      </c>
      <c r="C3" s="5">
        <v>1.2</v>
      </c>
      <c r="E3" s="8" t="s">
        <v>32</v>
      </c>
      <c r="F3" s="8" t="s">
        <v>736</v>
      </c>
    </row>
    <row r="4" spans="1:6" x14ac:dyDescent="0.35">
      <c r="A4" t="s">
        <v>726</v>
      </c>
      <c r="B4" s="8" t="s">
        <v>46</v>
      </c>
      <c r="C4" s="5">
        <v>0.75</v>
      </c>
      <c r="E4" s="8" t="s">
        <v>36</v>
      </c>
      <c r="F4" s="8" t="s">
        <v>735</v>
      </c>
    </row>
    <row r="5" spans="1:6" x14ac:dyDescent="0.35">
      <c r="A5" t="s">
        <v>727</v>
      </c>
      <c r="B5" t="s">
        <v>42</v>
      </c>
      <c r="C5" s="5">
        <v>0.3</v>
      </c>
      <c r="E5" s="8" t="s">
        <v>734</v>
      </c>
      <c r="F5" s="8" t="s">
        <v>736</v>
      </c>
    </row>
    <row r="6" spans="1:6" x14ac:dyDescent="0.35">
      <c r="A6" t="s">
        <v>728</v>
      </c>
      <c r="B6" t="s">
        <v>61</v>
      </c>
      <c r="C6" s="5">
        <v>0.2</v>
      </c>
      <c r="E6" s="8" t="s">
        <v>35</v>
      </c>
      <c r="F6" s="8" t="s">
        <v>737</v>
      </c>
    </row>
    <row r="7" spans="1:6" x14ac:dyDescent="0.35">
      <c r="E7" s="8" t="s">
        <v>62</v>
      </c>
      <c r="F7" s="8" t="s">
        <v>736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activeCell="B12" sqref="B12"/>
    </sheetView>
  </sheetViews>
  <sheetFormatPr defaultColWidth="19.6328125" defaultRowHeight="14.5" x14ac:dyDescent="0.35"/>
  <cols>
    <col min="5" max="6" width="19.6328125" style="5"/>
  </cols>
  <sheetData>
    <row r="1" spans="1:6" x14ac:dyDescent="0.35">
      <c r="A1" t="s">
        <v>6</v>
      </c>
      <c r="B1" t="s">
        <v>738</v>
      </c>
      <c r="C1" t="s">
        <v>739</v>
      </c>
      <c r="D1" t="s">
        <v>740</v>
      </c>
      <c r="E1" s="5" t="s">
        <v>741</v>
      </c>
      <c r="F1" s="5" t="s">
        <v>742</v>
      </c>
    </row>
    <row r="2" spans="1:6" x14ac:dyDescent="0.35">
      <c r="A2" t="s">
        <v>25</v>
      </c>
      <c r="B2">
        <f>COUNTIF(marketing_campaign_dataset_500_!G:G,A2)</f>
        <v>101</v>
      </c>
      <c r="C2">
        <f>SUMIF(marketing_campaign_dataset_500_!G:G,A2,marketing_campaign_dataset_500_!L:L)</f>
        <v>18835</v>
      </c>
      <c r="D2">
        <f>SUMIF(marketing_campaign_dataset_500_!G:G,A2,marketing_campaign_dataset_500_!I:I)</f>
        <v>109367.45999999998</v>
      </c>
      <c r="E2" s="5">
        <f>AVERAGEIF(marketing_campaign_dataset_500_!G:G,A2,marketing_campaign_dataset_500_!N:N)</f>
        <v>17.592855787999994</v>
      </c>
      <c r="F2" s="5">
        <f>IFERROR(AVERAGEIF(marketing_campaign_dataset_500_!G:G,A2,marketing_campaign_dataset_500_!P:P),0)</f>
        <v>2.8514851485148514</v>
      </c>
    </row>
    <row r="3" spans="1:6" x14ac:dyDescent="0.35">
      <c r="A3" t="s">
        <v>31</v>
      </c>
      <c r="B3">
        <f>COUNTIF(marketing_campaign_dataset_500_!G:G,A3)</f>
        <v>101</v>
      </c>
      <c r="C3">
        <f>SUMIF(marketing_campaign_dataset_500_!G:G,A3,marketing_campaign_dataset_500_!L:L)</f>
        <v>20533</v>
      </c>
      <c r="D3">
        <f>SUMIF(marketing_campaign_dataset_500_!G:G,A3,marketing_campaign_dataset_500_!I:I)</f>
        <v>102540.64999999997</v>
      </c>
      <c r="E3" s="5">
        <f>AVERAGEIF(marketing_campaign_dataset_500_!G:G,A3,marketing_campaign_dataset_500_!N:N)</f>
        <v>32.836177043445552</v>
      </c>
      <c r="F3" s="5">
        <f>IFERROR(AVERAGEIF(marketing_campaign_dataset_500_!G:G,A3,marketing_campaign_dataset_500_!P:P),0)</f>
        <v>2.7623762376237622</v>
      </c>
    </row>
    <row r="4" spans="1:6" x14ac:dyDescent="0.35">
      <c r="A4" t="s">
        <v>46</v>
      </c>
      <c r="B4">
        <f>COUNTIF(marketing_campaign_dataset_500_!G:G,A4)</f>
        <v>110</v>
      </c>
      <c r="C4">
        <f>SUMIF(marketing_campaign_dataset_500_!G:G,A4,marketing_campaign_dataset_500_!L:L)</f>
        <v>22625</v>
      </c>
      <c r="D4">
        <f>SUMIF(marketing_campaign_dataset_500_!G:G,A4,marketing_campaign_dataset_500_!I:I)</f>
        <v>114210.10000000002</v>
      </c>
      <c r="E4" s="5">
        <f>AVERAGEIF(marketing_campaign_dataset_500_!G:G,A4,marketing_campaign_dataset_500_!N:N)</f>
        <v>26.721512816409085</v>
      </c>
      <c r="F4" s="5">
        <f>IFERROR(AVERAGEIF(marketing_campaign_dataset_500_!G:G,A4,marketing_campaign_dataset_500_!P:P),0)</f>
        <v>3.3545454545454545</v>
      </c>
    </row>
    <row r="5" spans="1:6" x14ac:dyDescent="0.35">
      <c r="A5" t="s">
        <v>42</v>
      </c>
      <c r="B5">
        <f>COUNTIF(marketing_campaign_dataset_500_!G:G,A5)</f>
        <v>100</v>
      </c>
      <c r="C5">
        <f>SUMIF(marketing_campaign_dataset_500_!G:G,A5,marketing_campaign_dataset_500_!L:L)</f>
        <v>20318</v>
      </c>
      <c r="D5">
        <f>SUMIF(marketing_campaign_dataset_500_!G:G,A5,marketing_campaign_dataset_500_!I:I)</f>
        <v>106296.51000000004</v>
      </c>
      <c r="E5" s="5">
        <f>AVERAGEIF(marketing_campaign_dataset_500_!G:G,A5,marketing_campaign_dataset_500_!N:N)</f>
        <v>25.130390064969994</v>
      </c>
      <c r="F5" s="5">
        <f>IFERROR(AVERAGEIF(marketing_campaign_dataset_500_!G:G,A5,marketing_campaign_dataset_500_!P:P),0)</f>
        <v>3.09</v>
      </c>
    </row>
    <row r="6" spans="1:6" x14ac:dyDescent="0.35">
      <c r="A6" t="s">
        <v>61</v>
      </c>
      <c r="B6">
        <f>COUNTIF(marketing_campaign_dataset_500_!G:G,A6)</f>
        <v>88</v>
      </c>
      <c r="C6">
        <f>SUMIF(marketing_campaign_dataset_500_!G:G,A6,marketing_campaign_dataset_500_!L:L)</f>
        <v>15640</v>
      </c>
      <c r="D6">
        <f>SUMIF(marketing_campaign_dataset_500_!G:G,A6,marketing_campaign_dataset_500_!I:I)</f>
        <v>86773.240000000034</v>
      </c>
      <c r="E6" s="5">
        <f>AVERAGEIF(marketing_campaign_dataset_500_!G:G,A6,marketing_campaign_dataset_500_!N:N)</f>
        <v>29.815667721011366</v>
      </c>
      <c r="F6" s="5">
        <f>IFERROR(AVERAGEIF(marketing_campaign_dataset_500_!G:G,A6,marketing_campaign_dataset_500_!P:P),0)</f>
        <v>3.0568181818181817</v>
      </c>
    </row>
    <row r="8" spans="1:6" x14ac:dyDescent="0.35">
      <c r="A8" t="s">
        <v>743</v>
      </c>
    </row>
    <row r="9" spans="1:6" x14ac:dyDescent="0.35">
      <c r="A9" t="s">
        <v>744</v>
      </c>
      <c r="B9" t="str">
        <f>INDEX(A2:A6, MATCH(MAX(C2:C6), C2:C6,0))</f>
        <v>Instagram</v>
      </c>
    </row>
    <row r="10" spans="1:6" x14ac:dyDescent="0.35">
      <c r="A10" t="s">
        <v>745</v>
      </c>
      <c r="B10" t="str">
        <f>INDEX(A2:A6, MATCH(MAX(B2:B6),B2:B6,0))</f>
        <v>Instagram</v>
      </c>
    </row>
    <row r="11" spans="1:6" x14ac:dyDescent="0.35">
      <c r="A11" t="s">
        <v>746</v>
      </c>
      <c r="B11" t="str">
        <f>INDEX(A2:A6,MATCH(MIN(D2:D6),D2:D6,0))</f>
        <v>Email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01"/>
  <sheetViews>
    <sheetView workbookViewId="0">
      <selection activeCell="T2" sqref="T2"/>
    </sheetView>
  </sheetViews>
  <sheetFormatPr defaultColWidth="16.7265625" defaultRowHeight="14.5" x14ac:dyDescent="0.35"/>
  <cols>
    <col min="13" max="13" width="20.7265625" customWidth="1"/>
    <col min="16" max="16" width="18.26953125" customWidth="1"/>
    <col min="25" max="25" width="23.08984375" customWidth="1"/>
    <col min="26" max="26" width="27.08984375" customWidth="1"/>
    <col min="27" max="27" width="17.90625" customWidth="1"/>
    <col min="30" max="30" width="20.7265625" customWidth="1"/>
  </cols>
  <sheetData>
    <row r="1" spans="1:31" s="4" customFormat="1" ht="17.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4" t="s">
        <v>749</v>
      </c>
      <c r="R1" s="4" t="s">
        <v>750</v>
      </c>
      <c r="S1" s="3" t="s">
        <v>16</v>
      </c>
      <c r="T1" s="4" t="s">
        <v>751</v>
      </c>
      <c r="U1" s="3" t="s">
        <v>17</v>
      </c>
      <c r="V1" s="4" t="s">
        <v>18</v>
      </c>
      <c r="W1" s="4" t="s">
        <v>19</v>
      </c>
      <c r="X1" s="4" t="s">
        <v>20</v>
      </c>
      <c r="Y1" s="6" t="s">
        <v>729</v>
      </c>
      <c r="Z1" s="6" t="s">
        <v>730</v>
      </c>
      <c r="AA1" s="6" t="s">
        <v>731</v>
      </c>
      <c r="AD1" s="4" t="s">
        <v>748</v>
      </c>
    </row>
    <row r="2" spans="1:31" ht="17.5" customHeight="1" x14ac:dyDescent="0.35">
      <c r="A2" s="1" t="s">
        <v>21</v>
      </c>
      <c r="B2" s="2">
        <v>45467</v>
      </c>
      <c r="C2" s="1" t="s">
        <v>22</v>
      </c>
      <c r="D2" s="1">
        <v>27</v>
      </c>
      <c r="E2" s="1" t="s">
        <v>23</v>
      </c>
      <c r="F2" s="1" t="s">
        <v>24</v>
      </c>
      <c r="G2" s="1" t="s">
        <v>25</v>
      </c>
      <c r="H2" s="1" t="s">
        <v>26</v>
      </c>
      <c r="I2" s="1">
        <v>1779.52</v>
      </c>
      <c r="J2" s="1">
        <v>35715</v>
      </c>
      <c r="K2" s="1">
        <v>3140</v>
      </c>
      <c r="L2" s="1">
        <v>274</v>
      </c>
      <c r="M2" s="1">
        <v>2</v>
      </c>
      <c r="N2" s="1">
        <v>8.7918241639999994</v>
      </c>
      <c r="O2" s="1">
        <v>8.7261146499999995</v>
      </c>
      <c r="P2" s="1">
        <f t="shared" ref="P2:P256" si="0">IF(ISBLANK(M2), $S$2, M2)</f>
        <v>2</v>
      </c>
      <c r="S2" s="1">
        <f>ROUND(AVERAGE(M:M),0)</f>
        <v>3</v>
      </c>
      <c r="U2" s="1">
        <f>COUNTIF(N2:N1000, N2&gt;100)</f>
        <v>0</v>
      </c>
      <c r="V2" t="str">
        <f t="shared" ref="V2:V65" si="1">IF(AND(L2&gt;200,K2&gt;3000),"Top Performer", IF(AND(L2&gt;=100,K2&gt;=1000),"Average Performer","Low Performer"))</f>
        <v>Top Performer</v>
      </c>
      <c r="W2" t="e" cm="1">
        <f t="array" aca="1" ref="W2" ca="1">_xlfn.IFS(N2&gt;=20, "High",N2&gt;=10, "Medium", N2&lt;10, "Low")</f>
        <v>#NAME?</v>
      </c>
      <c r="X2" t="str">
        <f t="shared" ref="X2:X65" si="2">IF(I2&gt;1000, "High Budget",IF(I2&gt;=500, "Medium Budget", "Low Budget"))</f>
        <v>High Budget</v>
      </c>
      <c r="Y2" s="7">
        <f>VLOOKUP(G2, Lookup_table!B:C,2,0)</f>
        <v>0.5</v>
      </c>
      <c r="Z2" t="str">
        <f t="shared" ref="Z2:Z65" si="3">IF(I2/K2&lt;Y2, "Efficient Spend", "Inefficient Spend")</f>
        <v>Inefficient Spend</v>
      </c>
      <c r="AA2" t="str">
        <f>VLOOKUP(H2, Lookup_table!E:F,2,0)</f>
        <v>High</v>
      </c>
      <c r="AC2" t="s">
        <v>747</v>
      </c>
      <c r="AD2" t="s">
        <v>3</v>
      </c>
      <c r="AE2">
        <f>COUNTBLANK(Cleaned_data!D2:D501)</f>
        <v>0</v>
      </c>
    </row>
    <row r="3" spans="1:31" ht="17.5" customHeight="1" x14ac:dyDescent="0.35">
      <c r="A3" s="1" t="s">
        <v>27</v>
      </c>
      <c r="B3" s="2">
        <v>45488</v>
      </c>
      <c r="C3" s="1" t="s">
        <v>28</v>
      </c>
      <c r="D3" s="1">
        <v>24</v>
      </c>
      <c r="E3" s="1" t="s">
        <v>29</v>
      </c>
      <c r="F3" s="1" t="s">
        <v>30</v>
      </c>
      <c r="G3" s="1" t="s">
        <v>31</v>
      </c>
      <c r="H3" s="1" t="s">
        <v>32</v>
      </c>
      <c r="I3" s="1">
        <v>464.78</v>
      </c>
      <c r="J3" s="1">
        <v>13758</v>
      </c>
      <c r="K3" s="1">
        <v>3324</v>
      </c>
      <c r="L3" s="1">
        <v>5</v>
      </c>
      <c r="M3" s="1">
        <v>3</v>
      </c>
      <c r="N3" s="1">
        <v>24.160488440000002</v>
      </c>
      <c r="O3" s="1">
        <v>0.15042117899999999</v>
      </c>
      <c r="P3" s="1">
        <f t="shared" si="0"/>
        <v>3</v>
      </c>
      <c r="U3" s="1">
        <f>COUNTIF(N3:N1001, N3&gt;100)</f>
        <v>0</v>
      </c>
      <c r="V3" t="str">
        <f t="shared" si="1"/>
        <v>Low Performer</v>
      </c>
      <c r="W3" t="e" cm="1">
        <f t="array" aca="1" ref="W3" ca="1">_xlfn.IFS(N3&gt;=20, "High",N3&gt;=10, "Medium", N3&lt;10, "Low")</f>
        <v>#NAME?</v>
      </c>
      <c r="X3" t="str">
        <f t="shared" si="2"/>
        <v>Low Budget</v>
      </c>
      <c r="Y3" s="7">
        <f>VLOOKUP(G3, Lookup_table!B:C,2,0)</f>
        <v>1.2</v>
      </c>
      <c r="Z3" t="str">
        <f t="shared" si="3"/>
        <v>Efficient Spend</v>
      </c>
      <c r="AA3" t="str">
        <f>VLOOKUP(H3, Lookup_table!E:F,2,0)</f>
        <v>Medium</v>
      </c>
      <c r="AC3">
        <f>COUNTIF($A$2:$A2,A2)</f>
        <v>1</v>
      </c>
      <c r="AD3" t="s">
        <v>4</v>
      </c>
      <c r="AE3">
        <f>COUNTBLANK(Cleaned_data!E2:E501)</f>
        <v>0</v>
      </c>
    </row>
    <row r="4" spans="1:31" ht="17.5" customHeight="1" x14ac:dyDescent="0.35">
      <c r="A4" s="1" t="s">
        <v>33</v>
      </c>
      <c r="B4" s="2">
        <v>45317</v>
      </c>
      <c r="C4" s="1" t="s">
        <v>34</v>
      </c>
      <c r="D4" s="1">
        <v>35</v>
      </c>
      <c r="E4" s="1" t="s">
        <v>35</v>
      </c>
      <c r="F4" s="1" t="s">
        <v>24</v>
      </c>
      <c r="G4" s="1" t="s">
        <v>25</v>
      </c>
      <c r="H4" s="1" t="s">
        <v>36</v>
      </c>
      <c r="I4" s="1">
        <v>561.14</v>
      </c>
      <c r="J4" s="1">
        <v>48381</v>
      </c>
      <c r="K4" s="1">
        <v>321</v>
      </c>
      <c r="L4" s="1">
        <v>163</v>
      </c>
      <c r="N4" s="1">
        <v>0.66348359899999998</v>
      </c>
      <c r="O4" s="1">
        <v>50.778816200000001</v>
      </c>
      <c r="P4" s="1">
        <f t="shared" si="0"/>
        <v>3</v>
      </c>
      <c r="V4" t="str">
        <f t="shared" si="1"/>
        <v>Low Performer</v>
      </c>
      <c r="W4" t="e" cm="1">
        <f t="array" aca="1" ref="W4" ca="1">_xlfn.IFS(N4&gt;=20, "High",N4&gt;=10, "Medium", N4&lt;10, "Low")</f>
        <v>#NAME?</v>
      </c>
      <c r="X4" t="str">
        <f t="shared" si="2"/>
        <v>Medium Budget</v>
      </c>
      <c r="Y4" s="7">
        <f>VLOOKUP(G4, Lookup_table!B:C,2,0)</f>
        <v>0.5</v>
      </c>
      <c r="Z4" t="str">
        <f t="shared" si="3"/>
        <v>Inefficient Spend</v>
      </c>
      <c r="AA4" t="str">
        <f>VLOOKUP(H4, Lookup_table!E:F,2,0)</f>
        <v>High</v>
      </c>
      <c r="AD4" t="s">
        <v>11</v>
      </c>
      <c r="AE4">
        <f>COUNTBLANK(Cleaned_data!L2:L501)</f>
        <v>0</v>
      </c>
    </row>
    <row r="5" spans="1:31" ht="17.5" customHeight="1" x14ac:dyDescent="0.35">
      <c r="A5" s="1" t="s">
        <v>37</v>
      </c>
      <c r="B5" s="2">
        <v>45359</v>
      </c>
      <c r="C5" s="1" t="s">
        <v>38</v>
      </c>
      <c r="D5" s="1">
        <v>20</v>
      </c>
      <c r="E5" s="1" t="s">
        <v>23</v>
      </c>
      <c r="F5" s="1" t="s">
        <v>30</v>
      </c>
      <c r="G5" s="1" t="s">
        <v>25</v>
      </c>
      <c r="H5" s="1" t="s">
        <v>32</v>
      </c>
      <c r="I5" s="1">
        <v>297.57</v>
      </c>
      <c r="J5" s="1">
        <v>15697</v>
      </c>
      <c r="K5" s="1">
        <v>3375</v>
      </c>
      <c r="L5" s="1">
        <v>280</v>
      </c>
      <c r="M5" s="1">
        <v>5</v>
      </c>
      <c r="N5" s="1">
        <v>21.500923740000001</v>
      </c>
      <c r="O5" s="1">
        <v>8.2962962959999995</v>
      </c>
      <c r="P5" s="1">
        <f t="shared" si="0"/>
        <v>5</v>
      </c>
      <c r="U5" s="1">
        <f t="shared" ref="U5:U14" si="4">COUNTIF(N5:N1000, N5&gt;100)</f>
        <v>0</v>
      </c>
      <c r="V5" t="str">
        <f t="shared" si="1"/>
        <v>Top Performer</v>
      </c>
      <c r="W5" t="e" cm="1">
        <f t="array" aca="1" ref="W5" ca="1">_xlfn.IFS(N5&gt;=20, "High",N5&gt;=10, "Medium", N5&lt;10, "Low")</f>
        <v>#NAME?</v>
      </c>
      <c r="X5" t="str">
        <f t="shared" si="2"/>
        <v>Low Budget</v>
      </c>
      <c r="Y5" s="7">
        <f>VLOOKUP(G5, Lookup_table!B:C,2,0)</f>
        <v>0.5</v>
      </c>
      <c r="Z5" t="str">
        <f t="shared" si="3"/>
        <v>Efficient Spend</v>
      </c>
      <c r="AA5" t="str">
        <f>VLOOKUP(H5, Lookup_table!E:F,2,0)</f>
        <v>Medium</v>
      </c>
      <c r="AD5" t="s">
        <v>12</v>
      </c>
      <c r="AE5">
        <f>COUNTBLANK(Cleaned_data!P2:P501)</f>
        <v>0</v>
      </c>
    </row>
    <row r="6" spans="1:31" ht="17.5" customHeight="1" x14ac:dyDescent="0.35">
      <c r="A6" s="1" t="s">
        <v>39</v>
      </c>
      <c r="B6" s="2">
        <v>45503</v>
      </c>
      <c r="C6" s="1" t="s">
        <v>40</v>
      </c>
      <c r="D6" s="1">
        <v>32</v>
      </c>
      <c r="E6" s="1" t="s">
        <v>29</v>
      </c>
      <c r="F6" s="1" t="s">
        <v>41</v>
      </c>
      <c r="G6" s="1" t="s">
        <v>42</v>
      </c>
      <c r="H6" s="1" t="s">
        <v>36</v>
      </c>
      <c r="I6" s="1">
        <v>1074.8599999999999</v>
      </c>
      <c r="J6" s="1">
        <v>2245</v>
      </c>
      <c r="K6" s="1">
        <v>4858</v>
      </c>
      <c r="L6" s="1">
        <v>373</v>
      </c>
      <c r="M6" s="1">
        <v>2</v>
      </c>
      <c r="N6" s="1">
        <v>216.3919822</v>
      </c>
      <c r="O6" s="1">
        <v>7.6780568139999996</v>
      </c>
      <c r="P6" s="1">
        <f t="shared" si="0"/>
        <v>2</v>
      </c>
      <c r="U6" s="1">
        <f t="shared" si="4"/>
        <v>0</v>
      </c>
      <c r="V6" t="str">
        <f t="shared" si="1"/>
        <v>Top Performer</v>
      </c>
      <c r="W6" t="e" cm="1">
        <f t="array" aca="1" ref="W6" ca="1">_xlfn.IFS(N6&gt;=20, "High",N6&gt;=10, "Medium", N6&lt;10, "Low")</f>
        <v>#NAME?</v>
      </c>
      <c r="X6" t="str">
        <f t="shared" si="2"/>
        <v>High Budget</v>
      </c>
      <c r="Y6" s="7">
        <f>VLOOKUP(G6, Lookup_table!B:C,2,0)</f>
        <v>0.3</v>
      </c>
      <c r="Z6" t="str">
        <f t="shared" si="3"/>
        <v>Efficient Spend</v>
      </c>
      <c r="AA6" t="str">
        <f>VLOOKUP(H6, Lookup_table!E:F,2,0)</f>
        <v>High</v>
      </c>
    </row>
    <row r="7" spans="1:31" ht="17.5" customHeight="1" x14ac:dyDescent="0.35">
      <c r="A7" s="1" t="s">
        <v>43</v>
      </c>
      <c r="B7" s="2">
        <v>45395</v>
      </c>
      <c r="C7" s="1" t="s">
        <v>44</v>
      </c>
      <c r="D7" s="1">
        <v>64</v>
      </c>
      <c r="E7" s="1" t="s">
        <v>35</v>
      </c>
      <c r="F7" s="1" t="s">
        <v>45</v>
      </c>
      <c r="G7" s="1" t="s">
        <v>46</v>
      </c>
      <c r="H7" s="1" t="s">
        <v>32</v>
      </c>
      <c r="I7" s="1">
        <v>665.19</v>
      </c>
      <c r="J7" s="1">
        <v>10209</v>
      </c>
      <c r="K7" s="1">
        <v>2859</v>
      </c>
      <c r="L7" s="1">
        <v>149</v>
      </c>
      <c r="M7" s="1">
        <v>5</v>
      </c>
      <c r="N7" s="1">
        <v>28.004701730000001</v>
      </c>
      <c r="O7" s="1">
        <v>5.2116124519999998</v>
      </c>
      <c r="P7" s="1">
        <f t="shared" si="0"/>
        <v>5</v>
      </c>
      <c r="U7" s="1">
        <f t="shared" si="4"/>
        <v>0</v>
      </c>
      <c r="V7" t="str">
        <f t="shared" si="1"/>
        <v>Average Performer</v>
      </c>
      <c r="W7" t="e" cm="1">
        <f t="array" aca="1" ref="W7" ca="1">_xlfn.IFS(N7&gt;=20, "High",N7&gt;=10, "Medium", N7&lt;10, "Low")</f>
        <v>#NAME?</v>
      </c>
      <c r="X7" t="str">
        <f t="shared" si="2"/>
        <v>Medium Budget</v>
      </c>
      <c r="Y7" s="7">
        <f>VLOOKUP(G7, Lookup_table!B:C,2,0)</f>
        <v>0.75</v>
      </c>
      <c r="Z7" t="str">
        <f t="shared" si="3"/>
        <v>Efficient Spend</v>
      </c>
      <c r="AA7" t="str">
        <f>VLOOKUP(H7, Lookup_table!E:F,2,0)</f>
        <v>Medium</v>
      </c>
    </row>
    <row r="8" spans="1:31" ht="17.5" customHeight="1" x14ac:dyDescent="0.35">
      <c r="A8" s="1" t="s">
        <v>47</v>
      </c>
      <c r="B8" s="2">
        <v>45640</v>
      </c>
      <c r="C8" s="1" t="s">
        <v>48</v>
      </c>
      <c r="D8" s="1">
        <v>20</v>
      </c>
      <c r="E8" s="1" t="s">
        <v>35</v>
      </c>
      <c r="F8" s="1" t="s">
        <v>41</v>
      </c>
      <c r="G8" s="1" t="s">
        <v>46</v>
      </c>
      <c r="H8" s="1" t="s">
        <v>36</v>
      </c>
      <c r="I8" s="1">
        <v>514.58000000000004</v>
      </c>
      <c r="J8" s="1">
        <v>11892</v>
      </c>
      <c r="K8" s="1">
        <v>367</v>
      </c>
      <c r="L8" s="1">
        <v>293</v>
      </c>
      <c r="M8" s="1">
        <v>4</v>
      </c>
      <c r="N8" s="1">
        <v>3.086108308</v>
      </c>
      <c r="O8" s="1">
        <v>79.836512260000006</v>
      </c>
      <c r="P8" s="1">
        <f t="shared" si="0"/>
        <v>4</v>
      </c>
      <c r="U8" s="1">
        <f t="shared" si="4"/>
        <v>0</v>
      </c>
      <c r="V8" t="str">
        <f t="shared" si="1"/>
        <v>Low Performer</v>
      </c>
      <c r="W8" t="e" cm="1">
        <f t="array" aca="1" ref="W8" ca="1">_xlfn.IFS(N8&gt;=20, "High",N8&gt;=10, "Medium", N8&lt;10, "Low")</f>
        <v>#NAME?</v>
      </c>
      <c r="X8" t="str">
        <f t="shared" si="2"/>
        <v>Medium Budget</v>
      </c>
      <c r="Y8" s="7">
        <f>VLOOKUP(G8, Lookup_table!B:C,2,0)</f>
        <v>0.75</v>
      </c>
      <c r="Z8" t="str">
        <f t="shared" si="3"/>
        <v>Inefficient Spend</v>
      </c>
      <c r="AA8" t="str">
        <f>VLOOKUP(H8, Lookup_table!E:F,2,0)</f>
        <v>High</v>
      </c>
    </row>
    <row r="9" spans="1:31" ht="17.5" customHeight="1" x14ac:dyDescent="0.35">
      <c r="A9" s="1" t="s">
        <v>49</v>
      </c>
      <c r="B9" s="2">
        <v>45477</v>
      </c>
      <c r="C9" s="1" t="s">
        <v>48</v>
      </c>
      <c r="D9" s="1">
        <v>49</v>
      </c>
      <c r="E9" s="1" t="s">
        <v>35</v>
      </c>
      <c r="F9" s="1" t="s">
        <v>50</v>
      </c>
      <c r="G9" s="1" t="s">
        <v>42</v>
      </c>
      <c r="H9" s="1" t="s">
        <v>36</v>
      </c>
      <c r="I9" s="1">
        <v>187.7</v>
      </c>
      <c r="J9" s="1">
        <v>34575</v>
      </c>
      <c r="K9" s="1">
        <v>4519</v>
      </c>
      <c r="L9" s="1">
        <v>6</v>
      </c>
      <c r="M9" s="1">
        <v>3</v>
      </c>
      <c r="N9" s="1">
        <v>13.07013738</v>
      </c>
      <c r="O9" s="1">
        <v>0.132772737</v>
      </c>
      <c r="P9" s="1">
        <f t="shared" si="0"/>
        <v>3</v>
      </c>
      <c r="U9" s="1">
        <f t="shared" si="4"/>
        <v>0</v>
      </c>
      <c r="V9" t="str">
        <f t="shared" si="1"/>
        <v>Low Performer</v>
      </c>
      <c r="W9" t="e" cm="1">
        <f t="array" aca="1" ref="W9" ca="1">_xlfn.IFS(N9&gt;=20, "High",N9&gt;=10, "Medium", N9&lt;10, "Low")</f>
        <v>#NAME?</v>
      </c>
      <c r="X9" t="str">
        <f t="shared" si="2"/>
        <v>Low Budget</v>
      </c>
      <c r="Y9" s="7">
        <f>VLOOKUP(G9, Lookup_table!B:C,2,0)</f>
        <v>0.3</v>
      </c>
      <c r="Z9" t="str">
        <f t="shared" si="3"/>
        <v>Efficient Spend</v>
      </c>
      <c r="AA9" t="str">
        <f>VLOOKUP(H9, Lookup_table!E:F,2,0)</f>
        <v>High</v>
      </c>
    </row>
    <row r="10" spans="1:31" ht="17.5" customHeight="1" x14ac:dyDescent="0.35">
      <c r="A10" s="1" t="s">
        <v>51</v>
      </c>
      <c r="B10" s="2">
        <v>45315</v>
      </c>
      <c r="C10" s="1" t="s">
        <v>52</v>
      </c>
      <c r="D10" s="1">
        <v>26</v>
      </c>
      <c r="E10" s="1" t="s">
        <v>29</v>
      </c>
      <c r="F10" s="1" t="s">
        <v>50</v>
      </c>
      <c r="G10" s="1" t="s">
        <v>25</v>
      </c>
      <c r="H10" s="1" t="s">
        <v>26</v>
      </c>
      <c r="I10" s="1">
        <v>1985.97</v>
      </c>
      <c r="J10" s="1">
        <v>26045</v>
      </c>
      <c r="K10" s="1">
        <v>2084</v>
      </c>
      <c r="L10" s="1">
        <v>240</v>
      </c>
      <c r="M10" s="1">
        <v>4</v>
      </c>
      <c r="N10" s="1">
        <v>8.0015358029999994</v>
      </c>
      <c r="O10" s="1">
        <v>11.51631478</v>
      </c>
      <c r="P10" s="1">
        <f t="shared" si="0"/>
        <v>4</v>
      </c>
      <c r="U10" s="1">
        <f t="shared" si="4"/>
        <v>0</v>
      </c>
      <c r="V10" t="str">
        <f t="shared" si="1"/>
        <v>Average Performer</v>
      </c>
      <c r="W10" t="e" cm="1">
        <f t="array" aca="1" ref="W10" ca="1">_xlfn.IFS(N10&gt;=20, "High",N10&gt;=10, "Medium", N10&lt;10, "Low")</f>
        <v>#NAME?</v>
      </c>
      <c r="X10" t="str">
        <f t="shared" si="2"/>
        <v>High Budget</v>
      </c>
      <c r="Y10" s="7">
        <f>VLOOKUP(G10, Lookup_table!B:C,2,0)</f>
        <v>0.5</v>
      </c>
      <c r="Z10" t="str">
        <f t="shared" si="3"/>
        <v>Inefficient Spend</v>
      </c>
      <c r="AA10" t="str">
        <f>VLOOKUP(H10, Lookup_table!E:F,2,0)</f>
        <v>High</v>
      </c>
    </row>
    <row r="11" spans="1:31" ht="17.5" customHeight="1" x14ac:dyDescent="0.35">
      <c r="A11" s="1" t="s">
        <v>53</v>
      </c>
      <c r="B11" s="2">
        <v>45364</v>
      </c>
      <c r="C11" s="1" t="s">
        <v>54</v>
      </c>
      <c r="D11" s="1">
        <v>31</v>
      </c>
      <c r="E11" s="1" t="s">
        <v>35</v>
      </c>
      <c r="F11" s="1" t="s">
        <v>30</v>
      </c>
      <c r="G11" s="1" t="s">
        <v>46</v>
      </c>
      <c r="H11" s="1" t="s">
        <v>32</v>
      </c>
      <c r="I11" s="1">
        <v>1642.32</v>
      </c>
      <c r="J11" s="1">
        <v>8802</v>
      </c>
      <c r="K11" s="1">
        <v>735</v>
      </c>
      <c r="L11" s="1">
        <v>220</v>
      </c>
      <c r="M11" s="1">
        <v>5</v>
      </c>
      <c r="N11" s="1">
        <v>8.3503749149999997</v>
      </c>
      <c r="O11" s="1">
        <v>29.93197279</v>
      </c>
      <c r="P11" s="1">
        <f t="shared" si="0"/>
        <v>5</v>
      </c>
      <c r="U11" s="1">
        <f t="shared" si="4"/>
        <v>0</v>
      </c>
      <c r="V11" t="str">
        <f t="shared" si="1"/>
        <v>Low Performer</v>
      </c>
      <c r="W11" t="e" cm="1">
        <f t="array" aca="1" ref="W11" ca="1">_xlfn.IFS(N11&gt;=20, "High",N11&gt;=10, "Medium", N11&lt;10, "Low")</f>
        <v>#NAME?</v>
      </c>
      <c r="X11" t="str">
        <f t="shared" si="2"/>
        <v>High Budget</v>
      </c>
      <c r="Y11" s="7">
        <f>VLOOKUP(G11, Lookup_table!B:C,2,0)</f>
        <v>0.75</v>
      </c>
      <c r="Z11" t="str">
        <f t="shared" si="3"/>
        <v>Inefficient Spend</v>
      </c>
      <c r="AA11" t="str">
        <f>VLOOKUP(H11, Lookup_table!E:F,2,0)</f>
        <v>Medium</v>
      </c>
    </row>
    <row r="12" spans="1:31" ht="17.5" customHeight="1" x14ac:dyDescent="0.35">
      <c r="A12" s="1" t="s">
        <v>55</v>
      </c>
      <c r="B12" s="2">
        <v>45637</v>
      </c>
      <c r="C12" s="1" t="s">
        <v>56</v>
      </c>
      <c r="D12" s="1">
        <v>46</v>
      </c>
      <c r="E12" s="1" t="s">
        <v>23</v>
      </c>
      <c r="F12" s="1" t="s">
        <v>57</v>
      </c>
      <c r="G12" s="1" t="s">
        <v>42</v>
      </c>
      <c r="H12" s="1" t="s">
        <v>26</v>
      </c>
      <c r="I12" s="1">
        <v>686.5</v>
      </c>
      <c r="J12" s="1">
        <v>8134</v>
      </c>
      <c r="K12" s="1">
        <v>1108</v>
      </c>
      <c r="L12" s="1">
        <v>140</v>
      </c>
      <c r="M12" s="1">
        <v>1</v>
      </c>
      <c r="N12" s="1">
        <v>13.62183428</v>
      </c>
      <c r="O12" s="1">
        <v>12.63537906</v>
      </c>
      <c r="P12" s="1">
        <f t="shared" si="0"/>
        <v>1</v>
      </c>
      <c r="U12" s="1">
        <f t="shared" si="4"/>
        <v>0</v>
      </c>
      <c r="V12" t="str">
        <f t="shared" si="1"/>
        <v>Average Performer</v>
      </c>
      <c r="W12" t="e" cm="1">
        <f t="array" aca="1" ref="W12" ca="1">_xlfn.IFS(N12&gt;=20, "High",N12&gt;=10, "Medium", N12&lt;10, "Low")</f>
        <v>#NAME?</v>
      </c>
      <c r="X12" t="str">
        <f t="shared" si="2"/>
        <v>Medium Budget</v>
      </c>
      <c r="Y12" s="7">
        <f>VLOOKUP(G12, Lookup_table!B:C,2,0)</f>
        <v>0.3</v>
      </c>
      <c r="Z12" t="str">
        <f t="shared" si="3"/>
        <v>Inefficient Spend</v>
      </c>
      <c r="AA12" t="str">
        <f>VLOOKUP(H12, Lookup_table!E:F,2,0)</f>
        <v>High</v>
      </c>
    </row>
    <row r="13" spans="1:31" ht="17.5" customHeight="1" x14ac:dyDescent="0.35">
      <c r="A13" s="1" t="s">
        <v>58</v>
      </c>
      <c r="B13" s="2">
        <v>45334</v>
      </c>
      <c r="C13" s="1" t="s">
        <v>59</v>
      </c>
      <c r="D13" s="1">
        <v>59</v>
      </c>
      <c r="E13" s="1" t="s">
        <v>35</v>
      </c>
      <c r="F13" s="1" t="s">
        <v>50</v>
      </c>
      <c r="G13" s="1" t="s">
        <v>31</v>
      </c>
      <c r="H13" s="1" t="s">
        <v>26</v>
      </c>
      <c r="I13" s="1">
        <v>847.08</v>
      </c>
      <c r="J13" s="1">
        <v>24160</v>
      </c>
      <c r="K13" s="1">
        <v>4205</v>
      </c>
      <c r="L13" s="1">
        <v>211</v>
      </c>
      <c r="M13" s="1">
        <v>5</v>
      </c>
      <c r="N13" s="1">
        <v>17.404801320000001</v>
      </c>
      <c r="O13" s="1">
        <v>5.0178359099999996</v>
      </c>
      <c r="P13" s="1">
        <f t="shared" si="0"/>
        <v>5</v>
      </c>
      <c r="U13" s="1">
        <f t="shared" si="4"/>
        <v>0</v>
      </c>
      <c r="V13" t="str">
        <f t="shared" si="1"/>
        <v>Top Performer</v>
      </c>
      <c r="W13" t="e" cm="1">
        <f t="array" aca="1" ref="W13" ca="1">_xlfn.IFS(N13&gt;=20, "High",N13&gt;=10, "Medium", N13&lt;10, "Low")</f>
        <v>#NAME?</v>
      </c>
      <c r="X13" t="str">
        <f t="shared" si="2"/>
        <v>Medium Budget</v>
      </c>
      <c r="Y13" s="7">
        <f>VLOOKUP(G13, Lookup_table!B:C,2,0)</f>
        <v>1.2</v>
      </c>
      <c r="Z13" t="str">
        <f t="shared" si="3"/>
        <v>Efficient Spend</v>
      </c>
      <c r="AA13" t="str">
        <f>VLOOKUP(H13, Lookup_table!E:F,2,0)</f>
        <v>High</v>
      </c>
    </row>
    <row r="14" spans="1:31" ht="17.5" customHeight="1" x14ac:dyDescent="0.35">
      <c r="A14" s="1" t="s">
        <v>60</v>
      </c>
      <c r="B14" s="2">
        <v>45510</v>
      </c>
      <c r="C14" s="1" t="s">
        <v>28</v>
      </c>
      <c r="D14" s="1">
        <v>44</v>
      </c>
      <c r="E14" s="1" t="s">
        <v>35</v>
      </c>
      <c r="F14" s="1" t="s">
        <v>30</v>
      </c>
      <c r="G14" s="1" t="s">
        <v>61</v>
      </c>
      <c r="H14" s="1" t="s">
        <v>62</v>
      </c>
      <c r="I14" s="1">
        <v>1143.3599999999999</v>
      </c>
      <c r="J14" s="1">
        <v>8173</v>
      </c>
      <c r="K14" s="1">
        <v>825</v>
      </c>
      <c r="L14" s="1">
        <v>16</v>
      </c>
      <c r="N14" s="1">
        <v>10.094212649999999</v>
      </c>
      <c r="O14" s="1">
        <v>1.9393939389999999</v>
      </c>
      <c r="P14" s="1">
        <f t="shared" si="0"/>
        <v>3</v>
      </c>
      <c r="U14" s="1">
        <f t="shared" si="4"/>
        <v>0</v>
      </c>
      <c r="V14" t="str">
        <f t="shared" si="1"/>
        <v>Low Performer</v>
      </c>
      <c r="W14" t="e" cm="1">
        <f t="array" aca="1" ref="W14" ca="1">_xlfn.IFS(N14&gt;=20, "High",N14&gt;=10, "Medium", N14&lt;10, "Low")</f>
        <v>#NAME?</v>
      </c>
      <c r="X14" t="str">
        <f t="shared" si="2"/>
        <v>High Budget</v>
      </c>
      <c r="Y14" s="7">
        <f>VLOOKUP(G14, Lookup_table!B:C,2,0)</f>
        <v>0.2</v>
      </c>
      <c r="Z14" t="str">
        <f t="shared" si="3"/>
        <v>Inefficient Spend</v>
      </c>
      <c r="AA14" t="str">
        <f>VLOOKUP(H14, Lookup_table!E:F,2,0)</f>
        <v>Medium</v>
      </c>
    </row>
    <row r="15" spans="1:31" ht="17.5" customHeight="1" x14ac:dyDescent="0.35">
      <c r="A15" s="1" t="s">
        <v>63</v>
      </c>
      <c r="B15" s="2">
        <v>45459</v>
      </c>
      <c r="C15" s="1" t="s">
        <v>64</v>
      </c>
      <c r="D15" s="1">
        <v>57</v>
      </c>
      <c r="E15" s="1" t="s">
        <v>23</v>
      </c>
      <c r="F15" s="1" t="s">
        <v>50</v>
      </c>
      <c r="G15" s="1" t="s">
        <v>25</v>
      </c>
      <c r="H15" s="1" t="s">
        <v>62</v>
      </c>
      <c r="I15" s="1">
        <v>151.38</v>
      </c>
      <c r="J15" s="1">
        <v>11942</v>
      </c>
      <c r="K15" s="1">
        <v>4640</v>
      </c>
      <c r="L15" s="1">
        <v>59</v>
      </c>
      <c r="M15" s="1">
        <v>3</v>
      </c>
      <c r="N15" s="1">
        <v>38.854463240000001</v>
      </c>
      <c r="O15" s="1">
        <v>1.271551724</v>
      </c>
      <c r="P15" s="1">
        <f t="shared" si="0"/>
        <v>3</v>
      </c>
      <c r="V15" t="str">
        <f t="shared" si="1"/>
        <v>Low Performer</v>
      </c>
      <c r="W15" t="e" cm="1">
        <f t="array" aca="1" ref="W15" ca="1">_xlfn.IFS(N15&gt;=20, "High",N15&gt;=10, "Medium", N15&lt;10, "Low")</f>
        <v>#NAME?</v>
      </c>
      <c r="X15" t="str">
        <f t="shared" si="2"/>
        <v>Low Budget</v>
      </c>
      <c r="Y15" s="7">
        <f>VLOOKUP(G15, Lookup_table!B:C,2,0)</f>
        <v>0.5</v>
      </c>
      <c r="Z15" t="str">
        <f t="shared" si="3"/>
        <v>Efficient Spend</v>
      </c>
      <c r="AA15" t="str">
        <f>VLOOKUP(H15, Lookup_table!E:F,2,0)</f>
        <v>Medium</v>
      </c>
    </row>
    <row r="16" spans="1:31" ht="17.5" customHeight="1" x14ac:dyDescent="0.35">
      <c r="A16" s="1" t="s">
        <v>65</v>
      </c>
      <c r="B16" s="2">
        <v>45360</v>
      </c>
      <c r="C16" s="1" t="s">
        <v>66</v>
      </c>
      <c r="D16" s="1">
        <v>36</v>
      </c>
      <c r="E16" s="1" t="s">
        <v>29</v>
      </c>
      <c r="F16" s="1" t="s">
        <v>24</v>
      </c>
      <c r="G16" s="1" t="s">
        <v>25</v>
      </c>
      <c r="H16" s="1" t="s">
        <v>62</v>
      </c>
      <c r="I16" s="1">
        <v>782.56</v>
      </c>
      <c r="J16" s="1">
        <v>9132</v>
      </c>
      <c r="K16" s="1">
        <v>1618</v>
      </c>
      <c r="L16" s="1">
        <v>74</v>
      </c>
      <c r="M16" s="1">
        <v>1</v>
      </c>
      <c r="N16" s="1">
        <v>17.71791502</v>
      </c>
      <c r="O16" s="1">
        <v>4.5735475900000004</v>
      </c>
      <c r="P16" s="1">
        <f t="shared" si="0"/>
        <v>1</v>
      </c>
      <c r="V16" t="str">
        <f t="shared" si="1"/>
        <v>Low Performer</v>
      </c>
      <c r="W16" t="e" cm="1">
        <f t="array" aca="1" ref="W16" ca="1">_xlfn.IFS(N16&gt;=20, "High",N16&gt;=10, "Medium", N16&lt;10, "Low")</f>
        <v>#NAME?</v>
      </c>
      <c r="X16" t="str">
        <f t="shared" si="2"/>
        <v>Medium Budget</v>
      </c>
      <c r="Y16" s="7">
        <f>VLOOKUP(G16, Lookup_table!B:C,2,0)</f>
        <v>0.5</v>
      </c>
      <c r="Z16" t="str">
        <f t="shared" si="3"/>
        <v>Efficient Spend</v>
      </c>
      <c r="AA16" t="str">
        <f>VLOOKUP(H16, Lookup_table!E:F,2,0)</f>
        <v>Medium</v>
      </c>
    </row>
    <row r="17" spans="1:27" ht="17.5" customHeight="1" x14ac:dyDescent="0.35">
      <c r="A17" s="1" t="s">
        <v>67</v>
      </c>
      <c r="B17" s="2">
        <v>45292</v>
      </c>
      <c r="C17" s="1" t="s">
        <v>68</v>
      </c>
      <c r="D17" s="1">
        <v>38</v>
      </c>
      <c r="E17" s="1" t="s">
        <v>23</v>
      </c>
      <c r="F17" s="1" t="s">
        <v>45</v>
      </c>
      <c r="G17" s="1" t="s">
        <v>46</v>
      </c>
      <c r="H17" s="1" t="s">
        <v>36</v>
      </c>
      <c r="I17" s="1">
        <v>1170.73</v>
      </c>
      <c r="J17" s="1">
        <v>45111</v>
      </c>
      <c r="K17" s="1">
        <v>602</v>
      </c>
      <c r="L17" s="1">
        <v>207</v>
      </c>
      <c r="M17" s="1">
        <v>1</v>
      </c>
      <c r="N17" s="1">
        <v>1.3344860460000001</v>
      </c>
      <c r="O17" s="1">
        <v>34.385382059999998</v>
      </c>
      <c r="P17" s="1">
        <f t="shared" si="0"/>
        <v>1</v>
      </c>
      <c r="V17" t="str">
        <f t="shared" si="1"/>
        <v>Low Performer</v>
      </c>
      <c r="W17" t="e" cm="1">
        <f t="array" aca="1" ref="W17" ca="1">_xlfn.IFS(N17&gt;=20, "High",N17&gt;=10, "Medium", N17&lt;10, "Low")</f>
        <v>#NAME?</v>
      </c>
      <c r="X17" t="str">
        <f t="shared" si="2"/>
        <v>High Budget</v>
      </c>
      <c r="Y17" s="7">
        <f>VLOOKUP(G17, Lookup_table!B:C,2,0)</f>
        <v>0.75</v>
      </c>
      <c r="Z17" t="str">
        <f t="shared" si="3"/>
        <v>Inefficient Spend</v>
      </c>
      <c r="AA17" t="str">
        <f>VLOOKUP(H17, Lookup_table!E:F,2,0)</f>
        <v>High</v>
      </c>
    </row>
    <row r="18" spans="1:27" ht="17.5" customHeight="1" x14ac:dyDescent="0.35">
      <c r="A18" s="1" t="s">
        <v>69</v>
      </c>
      <c r="B18" s="2">
        <v>45367</v>
      </c>
      <c r="C18" s="1" t="s">
        <v>68</v>
      </c>
      <c r="D18" s="1">
        <v>41</v>
      </c>
      <c r="E18" s="1" t="s">
        <v>23</v>
      </c>
      <c r="F18" s="1" t="s">
        <v>57</v>
      </c>
      <c r="G18" s="1" t="s">
        <v>42</v>
      </c>
      <c r="H18" s="1" t="s">
        <v>36</v>
      </c>
      <c r="I18" s="1">
        <v>1924.46</v>
      </c>
      <c r="J18" s="1">
        <v>5516</v>
      </c>
      <c r="K18" s="1">
        <v>4976</v>
      </c>
      <c r="L18" s="1">
        <v>221</v>
      </c>
      <c r="M18" s="1">
        <v>5</v>
      </c>
      <c r="N18" s="1">
        <v>90.210297319999995</v>
      </c>
      <c r="O18" s="1">
        <v>4.4413183280000004</v>
      </c>
      <c r="P18" s="1">
        <f t="shared" si="0"/>
        <v>5</v>
      </c>
      <c r="V18" t="str">
        <f t="shared" si="1"/>
        <v>Top Performer</v>
      </c>
      <c r="W18" t="e" cm="1">
        <f t="array" aca="1" ref="W18" ca="1">_xlfn.IFS(N18&gt;=20, "High",N18&gt;=10, "Medium", N18&lt;10, "Low")</f>
        <v>#NAME?</v>
      </c>
      <c r="X18" t="str">
        <f t="shared" si="2"/>
        <v>High Budget</v>
      </c>
      <c r="Y18" s="7">
        <f>VLOOKUP(G18, Lookup_table!B:C,2,0)</f>
        <v>0.3</v>
      </c>
      <c r="Z18" t="str">
        <f t="shared" si="3"/>
        <v>Inefficient Spend</v>
      </c>
      <c r="AA18" t="str">
        <f>VLOOKUP(H18, Lookup_table!E:F,2,0)</f>
        <v>High</v>
      </c>
    </row>
    <row r="19" spans="1:27" ht="17.5" customHeight="1" x14ac:dyDescent="0.35">
      <c r="A19" s="1" t="s">
        <v>70</v>
      </c>
      <c r="B19" s="2">
        <v>45603</v>
      </c>
      <c r="C19" s="1" t="s">
        <v>71</v>
      </c>
      <c r="D19" s="1">
        <v>46</v>
      </c>
      <c r="E19" s="1" t="s">
        <v>23</v>
      </c>
      <c r="F19" s="1" t="s">
        <v>50</v>
      </c>
      <c r="G19" s="1" t="s">
        <v>61</v>
      </c>
      <c r="H19" s="1" t="s">
        <v>26</v>
      </c>
      <c r="I19" s="1">
        <v>1929.87</v>
      </c>
      <c r="J19" s="1">
        <v>9198</v>
      </c>
      <c r="K19" s="1">
        <v>497</v>
      </c>
      <c r="L19" s="1">
        <v>300</v>
      </c>
      <c r="M19" s="1">
        <v>5</v>
      </c>
      <c r="N19" s="1">
        <v>5.4033485539999999</v>
      </c>
      <c r="O19" s="1">
        <v>60.362173040000002</v>
      </c>
      <c r="P19" s="1">
        <f t="shared" si="0"/>
        <v>5</v>
      </c>
      <c r="V19" t="str">
        <f t="shared" si="1"/>
        <v>Low Performer</v>
      </c>
      <c r="W19" t="e" cm="1">
        <f t="array" aca="1" ref="W19" ca="1">_xlfn.IFS(N19&gt;=20, "High",N19&gt;=10, "Medium", N19&lt;10, "Low")</f>
        <v>#NAME?</v>
      </c>
      <c r="X19" t="str">
        <f t="shared" si="2"/>
        <v>High Budget</v>
      </c>
      <c r="Y19" s="7">
        <f>VLOOKUP(G19, Lookup_table!B:C,2,0)</f>
        <v>0.2</v>
      </c>
      <c r="Z19" t="str">
        <f t="shared" si="3"/>
        <v>Inefficient Spend</v>
      </c>
      <c r="AA19" t="str">
        <f>VLOOKUP(H19, Lookup_table!E:F,2,0)</f>
        <v>High</v>
      </c>
    </row>
    <row r="20" spans="1:27" ht="17.5" customHeight="1" x14ac:dyDescent="0.35">
      <c r="A20" s="1" t="s">
        <v>72</v>
      </c>
      <c r="B20" s="2">
        <v>45542</v>
      </c>
      <c r="C20" s="1" t="s">
        <v>73</v>
      </c>
      <c r="D20" s="1">
        <v>46</v>
      </c>
      <c r="E20" s="1" t="s">
        <v>29</v>
      </c>
      <c r="F20" s="1" t="s">
        <v>57</v>
      </c>
      <c r="G20" s="1" t="s">
        <v>61</v>
      </c>
      <c r="H20" s="1" t="s">
        <v>32</v>
      </c>
      <c r="I20" s="1">
        <v>1527.84</v>
      </c>
      <c r="J20" s="1">
        <v>13127</v>
      </c>
      <c r="K20" s="1">
        <v>4960</v>
      </c>
      <c r="L20" s="1">
        <v>351</v>
      </c>
      <c r="M20" s="1">
        <v>5</v>
      </c>
      <c r="N20" s="1">
        <v>37.784718519999998</v>
      </c>
      <c r="O20" s="1">
        <v>7.076612903</v>
      </c>
      <c r="P20" s="1">
        <f t="shared" si="0"/>
        <v>5</v>
      </c>
      <c r="V20" t="str">
        <f t="shared" si="1"/>
        <v>Top Performer</v>
      </c>
      <c r="W20" t="e" cm="1">
        <f t="array" aca="1" ref="W20" ca="1">_xlfn.IFS(N20&gt;=20, "High",N20&gt;=10, "Medium", N20&lt;10, "Low")</f>
        <v>#NAME?</v>
      </c>
      <c r="X20" t="str">
        <f t="shared" si="2"/>
        <v>High Budget</v>
      </c>
      <c r="Y20" s="7">
        <f>VLOOKUP(G20, Lookup_table!B:C,2,0)</f>
        <v>0.2</v>
      </c>
      <c r="Z20" t="str">
        <f t="shared" si="3"/>
        <v>Inefficient Spend</v>
      </c>
      <c r="AA20" t="str">
        <f>VLOOKUP(H20, Lookup_table!E:F,2,0)</f>
        <v>Medium</v>
      </c>
    </row>
    <row r="21" spans="1:27" ht="17.5" customHeight="1" x14ac:dyDescent="0.35">
      <c r="A21" s="1" t="s">
        <v>74</v>
      </c>
      <c r="B21" s="2">
        <v>45298</v>
      </c>
      <c r="C21" s="1" t="s">
        <v>75</v>
      </c>
      <c r="D21" s="1">
        <v>33</v>
      </c>
      <c r="E21" s="1" t="s">
        <v>29</v>
      </c>
      <c r="F21" s="1" t="s">
        <v>50</v>
      </c>
      <c r="G21" s="1" t="s">
        <v>61</v>
      </c>
      <c r="H21" s="1" t="s">
        <v>32</v>
      </c>
      <c r="I21" s="1">
        <v>149.18</v>
      </c>
      <c r="J21" s="1">
        <v>33722</v>
      </c>
      <c r="K21" s="1">
        <v>3046</v>
      </c>
      <c r="L21" s="1">
        <v>323</v>
      </c>
      <c r="M21" s="1">
        <v>4</v>
      </c>
      <c r="N21" s="1">
        <v>9.0326789630000004</v>
      </c>
      <c r="O21" s="1">
        <v>10.604070910000001</v>
      </c>
      <c r="P21" s="1">
        <f t="shared" si="0"/>
        <v>4</v>
      </c>
      <c r="V21" t="str">
        <f t="shared" si="1"/>
        <v>Top Performer</v>
      </c>
      <c r="W21" t="e" cm="1">
        <f t="array" aca="1" ref="W21" ca="1">_xlfn.IFS(N21&gt;=20, "High",N21&gt;=10, "Medium", N21&lt;10, "Low")</f>
        <v>#NAME?</v>
      </c>
      <c r="X21" t="str">
        <f t="shared" si="2"/>
        <v>Low Budget</v>
      </c>
      <c r="Y21" s="7">
        <f>VLOOKUP(G21, Lookup_table!B:C,2,0)</f>
        <v>0.2</v>
      </c>
      <c r="Z21" t="str">
        <f t="shared" si="3"/>
        <v>Efficient Spend</v>
      </c>
      <c r="AA21" t="str">
        <f>VLOOKUP(H21, Lookup_table!E:F,2,0)</f>
        <v>Medium</v>
      </c>
    </row>
    <row r="22" spans="1:27" ht="17.5" customHeight="1" x14ac:dyDescent="0.35">
      <c r="A22" s="1" t="s">
        <v>76</v>
      </c>
      <c r="B22" s="2">
        <v>45567</v>
      </c>
      <c r="C22" s="1" t="s">
        <v>77</v>
      </c>
      <c r="D22" s="1">
        <v>63</v>
      </c>
      <c r="E22" s="1" t="s">
        <v>35</v>
      </c>
      <c r="F22" s="1" t="s">
        <v>57</v>
      </c>
      <c r="G22" s="1" t="s">
        <v>46</v>
      </c>
      <c r="H22" s="1" t="s">
        <v>36</v>
      </c>
      <c r="I22" s="1">
        <v>1226.99</v>
      </c>
      <c r="J22" s="1">
        <v>5271</v>
      </c>
      <c r="K22" s="1">
        <v>717</v>
      </c>
      <c r="L22" s="1">
        <v>289</v>
      </c>
      <c r="M22" s="1">
        <v>4</v>
      </c>
      <c r="N22" s="1">
        <v>13.602731929999999</v>
      </c>
      <c r="O22" s="1">
        <v>40.306834029999997</v>
      </c>
      <c r="P22" s="1">
        <f t="shared" si="0"/>
        <v>4</v>
      </c>
      <c r="V22" t="str">
        <f t="shared" si="1"/>
        <v>Low Performer</v>
      </c>
      <c r="W22" t="e" cm="1">
        <f t="array" aca="1" ref="W22" ca="1">_xlfn.IFS(N22&gt;=20, "High",N22&gt;=10, "Medium", N22&lt;10, "Low")</f>
        <v>#NAME?</v>
      </c>
      <c r="X22" t="str">
        <f t="shared" si="2"/>
        <v>High Budget</v>
      </c>
      <c r="Y22" s="7">
        <f>VLOOKUP(G22, Lookup_table!B:C,2,0)</f>
        <v>0.75</v>
      </c>
      <c r="Z22" t="str">
        <f t="shared" si="3"/>
        <v>Inefficient Spend</v>
      </c>
      <c r="AA22" t="str">
        <f>VLOOKUP(H22, Lookup_table!E:F,2,0)</f>
        <v>High</v>
      </c>
    </row>
    <row r="23" spans="1:27" ht="17.5" customHeight="1" x14ac:dyDescent="0.35">
      <c r="A23" s="1" t="s">
        <v>78</v>
      </c>
      <c r="B23" s="2">
        <v>45336</v>
      </c>
      <c r="C23" s="1" t="s">
        <v>79</v>
      </c>
      <c r="D23" s="1">
        <v>51</v>
      </c>
      <c r="E23" s="1" t="s">
        <v>29</v>
      </c>
      <c r="F23" s="1" t="s">
        <v>45</v>
      </c>
      <c r="G23" s="1" t="s">
        <v>31</v>
      </c>
      <c r="H23" s="1" t="s">
        <v>32</v>
      </c>
      <c r="I23" s="1">
        <v>948.77</v>
      </c>
      <c r="J23" s="1">
        <v>11269</v>
      </c>
      <c r="K23" s="1">
        <v>1703</v>
      </c>
      <c r="L23" s="1">
        <v>321</v>
      </c>
      <c r="M23" s="1">
        <v>2</v>
      </c>
      <c r="N23" s="1">
        <v>15.11225486</v>
      </c>
      <c r="O23" s="1">
        <v>18.849089840000001</v>
      </c>
      <c r="P23" s="1">
        <f t="shared" si="0"/>
        <v>2</v>
      </c>
      <c r="V23" t="str">
        <f t="shared" si="1"/>
        <v>Average Performer</v>
      </c>
      <c r="W23" t="e" cm="1">
        <f t="array" aca="1" ref="W23" ca="1">_xlfn.IFS(N23&gt;=20, "High",N23&gt;=10, "Medium", N23&lt;10, "Low")</f>
        <v>#NAME?</v>
      </c>
      <c r="X23" t="str">
        <f t="shared" si="2"/>
        <v>Medium Budget</v>
      </c>
      <c r="Y23" s="7">
        <f>VLOOKUP(G23, Lookup_table!B:C,2,0)</f>
        <v>1.2</v>
      </c>
      <c r="Z23" t="str">
        <f t="shared" si="3"/>
        <v>Efficient Spend</v>
      </c>
      <c r="AA23" t="str">
        <f>VLOOKUP(H23, Lookup_table!E:F,2,0)</f>
        <v>Medium</v>
      </c>
    </row>
    <row r="24" spans="1:27" ht="17.5" customHeight="1" x14ac:dyDescent="0.35">
      <c r="A24" s="1" t="s">
        <v>80</v>
      </c>
      <c r="B24" s="2">
        <v>45483</v>
      </c>
      <c r="C24" s="1" t="s">
        <v>81</v>
      </c>
      <c r="D24" s="1">
        <v>18</v>
      </c>
      <c r="E24" s="1" t="s">
        <v>29</v>
      </c>
      <c r="F24" s="1" t="s">
        <v>41</v>
      </c>
      <c r="G24" s="1" t="s">
        <v>61</v>
      </c>
      <c r="H24" s="1" t="s">
        <v>62</v>
      </c>
      <c r="I24" s="1">
        <v>1314.42</v>
      </c>
      <c r="J24" s="1">
        <v>46761</v>
      </c>
      <c r="K24" s="1">
        <v>3166</v>
      </c>
      <c r="L24" s="1">
        <v>267</v>
      </c>
      <c r="M24" s="1">
        <v>4</v>
      </c>
      <c r="N24" s="1">
        <v>6.7705994309999999</v>
      </c>
      <c r="O24" s="1">
        <v>8.4333543899999999</v>
      </c>
      <c r="P24" s="1">
        <f t="shared" si="0"/>
        <v>4</v>
      </c>
      <c r="V24" t="str">
        <f t="shared" si="1"/>
        <v>Top Performer</v>
      </c>
      <c r="W24" t="e" cm="1">
        <f t="array" aca="1" ref="W24" ca="1">_xlfn.IFS(N24&gt;=20, "High",N24&gt;=10, "Medium", N24&lt;10, "Low")</f>
        <v>#NAME?</v>
      </c>
      <c r="X24" t="str">
        <f t="shared" si="2"/>
        <v>High Budget</v>
      </c>
      <c r="Y24" s="7">
        <f>VLOOKUP(G24, Lookup_table!B:C,2,0)</f>
        <v>0.2</v>
      </c>
      <c r="Z24" t="str">
        <f t="shared" si="3"/>
        <v>Inefficient Spend</v>
      </c>
      <c r="AA24" t="str">
        <f>VLOOKUP(H24, Lookup_table!E:F,2,0)</f>
        <v>Medium</v>
      </c>
    </row>
    <row r="25" spans="1:27" ht="17.5" customHeight="1" x14ac:dyDescent="0.35">
      <c r="A25" s="1" t="s">
        <v>82</v>
      </c>
      <c r="B25" s="2">
        <v>45617</v>
      </c>
      <c r="C25" s="1" t="s">
        <v>83</v>
      </c>
      <c r="D25" s="1">
        <v>19</v>
      </c>
      <c r="E25" s="1" t="s">
        <v>23</v>
      </c>
      <c r="F25" s="1" t="s">
        <v>50</v>
      </c>
      <c r="G25" s="1" t="s">
        <v>31</v>
      </c>
      <c r="H25" s="1" t="s">
        <v>62</v>
      </c>
      <c r="I25" s="1">
        <v>820.68</v>
      </c>
      <c r="J25" s="1">
        <v>31180</v>
      </c>
      <c r="K25" s="1">
        <v>3849</v>
      </c>
      <c r="L25" s="1">
        <v>261</v>
      </c>
      <c r="M25" s="1">
        <v>3</v>
      </c>
      <c r="N25" s="1">
        <v>12.34445157</v>
      </c>
      <c r="O25" s="1">
        <v>6.7809820729999997</v>
      </c>
      <c r="P25" s="1">
        <f t="shared" si="0"/>
        <v>3</v>
      </c>
      <c r="V25" t="str">
        <f t="shared" si="1"/>
        <v>Top Performer</v>
      </c>
      <c r="W25" t="e" cm="1">
        <f t="array" aca="1" ref="W25" ca="1">_xlfn.IFS(N25&gt;=20, "High",N25&gt;=10, "Medium", N25&lt;10, "Low")</f>
        <v>#NAME?</v>
      </c>
      <c r="X25" t="str">
        <f t="shared" si="2"/>
        <v>Medium Budget</v>
      </c>
      <c r="Y25" s="7">
        <f>VLOOKUP(G25, Lookup_table!B:C,2,0)</f>
        <v>1.2</v>
      </c>
      <c r="Z25" t="str">
        <f t="shared" si="3"/>
        <v>Efficient Spend</v>
      </c>
      <c r="AA25" t="str">
        <f>VLOOKUP(H25, Lookup_table!E:F,2,0)</f>
        <v>Medium</v>
      </c>
    </row>
    <row r="26" spans="1:27" ht="17.5" customHeight="1" x14ac:dyDescent="0.35">
      <c r="A26" s="1" t="s">
        <v>84</v>
      </c>
      <c r="B26" s="2">
        <v>45604</v>
      </c>
      <c r="C26" s="1" t="s">
        <v>85</v>
      </c>
      <c r="D26" s="1">
        <v>42</v>
      </c>
      <c r="E26" s="1" t="s">
        <v>35</v>
      </c>
      <c r="F26" s="1" t="s">
        <v>41</v>
      </c>
      <c r="G26" s="1" t="s">
        <v>42</v>
      </c>
      <c r="H26" s="1" t="s">
        <v>62</v>
      </c>
      <c r="I26" s="1">
        <v>1019.29</v>
      </c>
      <c r="J26" s="1">
        <v>11855</v>
      </c>
      <c r="K26" s="1">
        <v>482</v>
      </c>
      <c r="L26" s="1">
        <v>113</v>
      </c>
      <c r="N26" s="1">
        <v>4.0657950229999997</v>
      </c>
      <c r="O26" s="1">
        <v>23.4439834</v>
      </c>
      <c r="P26" s="1">
        <f t="shared" si="0"/>
        <v>3</v>
      </c>
      <c r="V26" t="str">
        <f t="shared" si="1"/>
        <v>Low Performer</v>
      </c>
      <c r="W26" t="e" cm="1">
        <f t="array" aca="1" ref="W26" ca="1">_xlfn.IFS(N26&gt;=20, "High",N26&gt;=10, "Medium", N26&lt;10, "Low")</f>
        <v>#NAME?</v>
      </c>
      <c r="X26" t="str">
        <f t="shared" si="2"/>
        <v>High Budget</v>
      </c>
      <c r="Y26" s="7">
        <f>VLOOKUP(G26, Lookup_table!B:C,2,0)</f>
        <v>0.3</v>
      </c>
      <c r="Z26" t="str">
        <f t="shared" si="3"/>
        <v>Inefficient Spend</v>
      </c>
      <c r="AA26" t="str">
        <f>VLOOKUP(H26, Lookup_table!E:F,2,0)</f>
        <v>Medium</v>
      </c>
    </row>
    <row r="27" spans="1:27" ht="17.5" customHeight="1" x14ac:dyDescent="0.35">
      <c r="A27" s="1" t="s">
        <v>86</v>
      </c>
      <c r="B27" s="2">
        <v>45444</v>
      </c>
      <c r="C27" s="1" t="s">
        <v>52</v>
      </c>
      <c r="D27" s="1">
        <v>57</v>
      </c>
      <c r="E27" s="1" t="s">
        <v>29</v>
      </c>
      <c r="F27" s="1" t="s">
        <v>45</v>
      </c>
      <c r="G27" s="1" t="s">
        <v>46</v>
      </c>
      <c r="H27" s="1" t="s">
        <v>36</v>
      </c>
      <c r="I27" s="1">
        <v>921.21</v>
      </c>
      <c r="J27" s="1">
        <v>33409</v>
      </c>
      <c r="K27" s="1">
        <v>3245</v>
      </c>
      <c r="L27" s="1">
        <v>6</v>
      </c>
      <c r="N27" s="1">
        <v>9.7129516000000002</v>
      </c>
      <c r="O27" s="1">
        <v>0.18489984600000001</v>
      </c>
      <c r="P27" s="1">
        <f t="shared" si="0"/>
        <v>3</v>
      </c>
      <c r="V27" t="str">
        <f t="shared" si="1"/>
        <v>Low Performer</v>
      </c>
      <c r="W27" t="e" cm="1">
        <f t="array" aca="1" ref="W27" ca="1">_xlfn.IFS(N27&gt;=20, "High",N27&gt;=10, "Medium", N27&lt;10, "Low")</f>
        <v>#NAME?</v>
      </c>
      <c r="X27" t="str">
        <f t="shared" si="2"/>
        <v>Medium Budget</v>
      </c>
      <c r="Y27" s="7">
        <f>VLOOKUP(G27, Lookup_table!B:C,2,0)</f>
        <v>0.75</v>
      </c>
      <c r="Z27" t="str">
        <f t="shared" si="3"/>
        <v>Efficient Spend</v>
      </c>
      <c r="AA27" t="str">
        <f>VLOOKUP(H27, Lookup_table!E:F,2,0)</f>
        <v>High</v>
      </c>
    </row>
    <row r="28" spans="1:27" ht="17.5" customHeight="1" x14ac:dyDescent="0.35">
      <c r="A28" s="1" t="s">
        <v>87</v>
      </c>
      <c r="B28" s="2">
        <v>45475</v>
      </c>
      <c r="C28" s="1" t="s">
        <v>88</v>
      </c>
      <c r="D28" s="1">
        <v>54</v>
      </c>
      <c r="E28" s="1" t="s">
        <v>23</v>
      </c>
      <c r="F28" s="1" t="s">
        <v>57</v>
      </c>
      <c r="G28" s="1" t="s">
        <v>46</v>
      </c>
      <c r="H28" s="1" t="s">
        <v>36</v>
      </c>
      <c r="I28" s="1">
        <v>312.38</v>
      </c>
      <c r="J28" s="1">
        <v>5193</v>
      </c>
      <c r="K28" s="1">
        <v>2334</v>
      </c>
      <c r="L28" s="1">
        <v>253</v>
      </c>
      <c r="M28" s="1">
        <v>2</v>
      </c>
      <c r="N28" s="1">
        <v>44.945118430000001</v>
      </c>
      <c r="O28" s="1">
        <v>10.839760070000001</v>
      </c>
      <c r="P28" s="1">
        <f t="shared" si="0"/>
        <v>2</v>
      </c>
      <c r="V28" t="str">
        <f t="shared" si="1"/>
        <v>Average Performer</v>
      </c>
      <c r="W28" t="e" cm="1">
        <f t="array" aca="1" ref="W28" ca="1">_xlfn.IFS(N28&gt;=20, "High",N28&gt;=10, "Medium", N28&lt;10, "Low")</f>
        <v>#NAME?</v>
      </c>
      <c r="X28" t="str">
        <f t="shared" si="2"/>
        <v>Low Budget</v>
      </c>
      <c r="Y28" s="7">
        <f>VLOOKUP(G28, Lookup_table!B:C,2,0)</f>
        <v>0.75</v>
      </c>
      <c r="Z28" t="str">
        <f t="shared" si="3"/>
        <v>Efficient Spend</v>
      </c>
      <c r="AA28" t="str">
        <f>VLOOKUP(H28, Lookup_table!E:F,2,0)</f>
        <v>High</v>
      </c>
    </row>
    <row r="29" spans="1:27" ht="17.5" customHeight="1" x14ac:dyDescent="0.35">
      <c r="A29" s="1" t="s">
        <v>89</v>
      </c>
      <c r="B29" s="2">
        <v>45404</v>
      </c>
      <c r="C29" s="1" t="s">
        <v>90</v>
      </c>
      <c r="D29" s="9">
        <v>41</v>
      </c>
      <c r="E29" s="1" t="s">
        <v>29</v>
      </c>
      <c r="G29" s="1" t="s">
        <v>31</v>
      </c>
      <c r="H29" s="1" t="s">
        <v>62</v>
      </c>
      <c r="I29" s="1">
        <v>1461.16</v>
      </c>
      <c r="J29" s="1">
        <v>29339</v>
      </c>
      <c r="K29" s="1">
        <v>2849</v>
      </c>
      <c r="L29" s="1">
        <v>67</v>
      </c>
      <c r="N29" s="1">
        <v>9.7106240840000009</v>
      </c>
      <c r="O29" s="1">
        <v>2.3517023520000002</v>
      </c>
      <c r="P29" s="1">
        <f t="shared" si="0"/>
        <v>3</v>
      </c>
      <c r="V29" t="str">
        <f t="shared" si="1"/>
        <v>Low Performer</v>
      </c>
      <c r="W29" t="e" cm="1">
        <f t="array" aca="1" ref="W29" ca="1">_xlfn.IFS(N29&gt;=20, "High",N29&gt;=10, "Medium", N29&lt;10, "Low")</f>
        <v>#NAME?</v>
      </c>
      <c r="X29" t="str">
        <f t="shared" si="2"/>
        <v>High Budget</v>
      </c>
      <c r="Y29" s="7">
        <f>VLOOKUP(G29, Lookup_table!B:C,2,0)</f>
        <v>1.2</v>
      </c>
      <c r="Z29" t="str">
        <f t="shared" si="3"/>
        <v>Efficient Spend</v>
      </c>
      <c r="AA29" t="str">
        <f>VLOOKUP(H29, Lookup_table!E:F,2,0)</f>
        <v>Medium</v>
      </c>
    </row>
    <row r="30" spans="1:27" ht="17.5" customHeight="1" x14ac:dyDescent="0.35">
      <c r="A30" s="1" t="s">
        <v>91</v>
      </c>
      <c r="B30" s="2">
        <v>45543</v>
      </c>
      <c r="C30" s="1" t="s">
        <v>92</v>
      </c>
      <c r="D30" s="1">
        <v>40</v>
      </c>
      <c r="E30" s="1" t="s">
        <v>29</v>
      </c>
      <c r="F30" s="1" t="s">
        <v>24</v>
      </c>
      <c r="G30" s="1" t="s">
        <v>31</v>
      </c>
      <c r="H30" s="1" t="s">
        <v>62</v>
      </c>
      <c r="I30" s="1">
        <v>64.23</v>
      </c>
      <c r="J30" s="1">
        <v>14536</v>
      </c>
      <c r="K30" s="1">
        <v>2927</v>
      </c>
      <c r="L30" s="1">
        <v>375</v>
      </c>
      <c r="N30" s="1">
        <v>20.13621354</v>
      </c>
      <c r="O30" s="1">
        <v>12.811752650000001</v>
      </c>
      <c r="P30" s="1">
        <f t="shared" si="0"/>
        <v>3</v>
      </c>
      <c r="V30" t="str">
        <f t="shared" si="1"/>
        <v>Average Performer</v>
      </c>
      <c r="W30" t="e" cm="1">
        <f t="array" aca="1" ref="W30" ca="1">_xlfn.IFS(N30&gt;=20, "High",N30&gt;=10, "Medium", N30&lt;10, "Low")</f>
        <v>#NAME?</v>
      </c>
      <c r="X30" t="str">
        <f t="shared" si="2"/>
        <v>Low Budget</v>
      </c>
      <c r="Y30" s="7">
        <f>VLOOKUP(G30, Lookup_table!B:C,2,0)</f>
        <v>1.2</v>
      </c>
      <c r="Z30" t="str">
        <f t="shared" si="3"/>
        <v>Efficient Spend</v>
      </c>
      <c r="AA30" t="str">
        <f>VLOOKUP(H30, Lookup_table!E:F,2,0)</f>
        <v>Medium</v>
      </c>
    </row>
    <row r="31" spans="1:27" ht="17.5" customHeight="1" x14ac:dyDescent="0.35">
      <c r="A31" s="1" t="s">
        <v>93</v>
      </c>
      <c r="B31" s="2">
        <v>45481</v>
      </c>
      <c r="C31" s="1" t="s">
        <v>83</v>
      </c>
      <c r="D31" s="1">
        <v>61</v>
      </c>
      <c r="E31" s="1" t="s">
        <v>23</v>
      </c>
      <c r="F31" s="1" t="s">
        <v>24</v>
      </c>
      <c r="G31" s="1" t="s">
        <v>46</v>
      </c>
      <c r="H31" s="1" t="s">
        <v>36</v>
      </c>
      <c r="I31" s="1">
        <v>987.76</v>
      </c>
      <c r="J31" s="1">
        <v>1245</v>
      </c>
      <c r="K31" s="1">
        <v>4323</v>
      </c>
      <c r="L31" s="1">
        <v>119</v>
      </c>
      <c r="M31" s="1">
        <v>5</v>
      </c>
      <c r="N31" s="1">
        <v>347.22891570000002</v>
      </c>
      <c r="O31" s="1">
        <v>2.7527180200000001</v>
      </c>
      <c r="P31" s="1">
        <f t="shared" si="0"/>
        <v>5</v>
      </c>
      <c r="U31" s="1">
        <f>COUNTIF(N27:N1000, N31&gt;100)</f>
        <v>0</v>
      </c>
      <c r="V31" t="str">
        <f t="shared" si="1"/>
        <v>Average Performer</v>
      </c>
      <c r="W31" t="e" cm="1">
        <f t="array" aca="1" ref="W31" ca="1">_xlfn.IFS(N31&gt;=20, "High",N31&gt;=10, "Medium", N31&lt;10, "Low")</f>
        <v>#NAME?</v>
      </c>
      <c r="X31" t="str">
        <f t="shared" si="2"/>
        <v>Medium Budget</v>
      </c>
      <c r="Y31" s="7">
        <f>VLOOKUP(G31, Lookup_table!B:C,2,0)</f>
        <v>0.75</v>
      </c>
      <c r="Z31" t="str">
        <f t="shared" si="3"/>
        <v>Efficient Spend</v>
      </c>
      <c r="AA31" t="str">
        <f>VLOOKUP(H31, Lookup_table!E:F,2,0)</f>
        <v>High</v>
      </c>
    </row>
    <row r="32" spans="1:27" ht="17.5" customHeight="1" x14ac:dyDescent="0.35">
      <c r="A32" s="1" t="s">
        <v>94</v>
      </c>
      <c r="B32" s="2">
        <v>45582</v>
      </c>
      <c r="C32" s="1" t="s">
        <v>95</v>
      </c>
      <c r="D32" s="1">
        <v>19</v>
      </c>
      <c r="E32" s="1" t="s">
        <v>23</v>
      </c>
      <c r="F32" s="1" t="s">
        <v>57</v>
      </c>
      <c r="G32" s="1" t="s">
        <v>42</v>
      </c>
      <c r="H32" s="1" t="s">
        <v>26</v>
      </c>
      <c r="I32" s="1">
        <v>1670.14</v>
      </c>
      <c r="J32" s="1">
        <v>47856</v>
      </c>
      <c r="K32" s="1">
        <v>3265</v>
      </c>
      <c r="L32" s="1">
        <v>392</v>
      </c>
      <c r="M32" s="1">
        <v>3</v>
      </c>
      <c r="N32" s="1">
        <v>6.8225509860000004</v>
      </c>
      <c r="O32" s="1">
        <v>12.00612557</v>
      </c>
      <c r="P32" s="1">
        <f t="shared" si="0"/>
        <v>3</v>
      </c>
      <c r="V32" t="str">
        <f t="shared" si="1"/>
        <v>Top Performer</v>
      </c>
      <c r="W32" t="e" cm="1">
        <f t="array" aca="1" ref="W32" ca="1">_xlfn.IFS(N32&gt;=20, "High",N32&gt;=10, "Medium", N32&lt;10, "Low")</f>
        <v>#NAME?</v>
      </c>
      <c r="X32" t="str">
        <f t="shared" si="2"/>
        <v>High Budget</v>
      </c>
      <c r="Y32" s="7">
        <f>VLOOKUP(G32, Lookup_table!B:C,2,0)</f>
        <v>0.3</v>
      </c>
      <c r="Z32" t="str">
        <f t="shared" si="3"/>
        <v>Inefficient Spend</v>
      </c>
      <c r="AA32" t="str">
        <f>VLOOKUP(H32, Lookup_table!E:F,2,0)</f>
        <v>High</v>
      </c>
    </row>
    <row r="33" spans="1:27" ht="17.5" customHeight="1" x14ac:dyDescent="0.35">
      <c r="A33" s="1" t="s">
        <v>96</v>
      </c>
      <c r="B33" s="2">
        <v>45604</v>
      </c>
      <c r="C33" s="1" t="s">
        <v>97</v>
      </c>
      <c r="D33" s="1">
        <v>38</v>
      </c>
      <c r="E33" s="1" t="s">
        <v>23</v>
      </c>
      <c r="F33" s="1" t="s">
        <v>50</v>
      </c>
      <c r="G33" s="1" t="s">
        <v>25</v>
      </c>
      <c r="H33" s="1" t="s">
        <v>26</v>
      </c>
      <c r="I33" s="1">
        <v>1582.87</v>
      </c>
      <c r="J33" s="1">
        <v>18161</v>
      </c>
      <c r="K33" s="1">
        <v>3759</v>
      </c>
      <c r="L33" s="1">
        <v>384</v>
      </c>
      <c r="M33" s="1">
        <v>2</v>
      </c>
      <c r="N33" s="1">
        <v>20.69819944</v>
      </c>
      <c r="O33" s="1">
        <v>10.21548284</v>
      </c>
      <c r="P33" s="1">
        <f t="shared" si="0"/>
        <v>2</v>
      </c>
      <c r="V33" t="str">
        <f t="shared" si="1"/>
        <v>Top Performer</v>
      </c>
      <c r="W33" t="e" cm="1">
        <f t="array" aca="1" ref="W33" ca="1">_xlfn.IFS(N33&gt;=20, "High",N33&gt;=10, "Medium", N33&lt;10, "Low")</f>
        <v>#NAME?</v>
      </c>
      <c r="X33" t="str">
        <f t="shared" si="2"/>
        <v>High Budget</v>
      </c>
      <c r="Y33" s="7">
        <f>VLOOKUP(G33, Lookup_table!B:C,2,0)</f>
        <v>0.5</v>
      </c>
      <c r="Z33" t="str">
        <f t="shared" si="3"/>
        <v>Efficient Spend</v>
      </c>
      <c r="AA33" t="str">
        <f>VLOOKUP(H33, Lookup_table!E:F,2,0)</f>
        <v>High</v>
      </c>
    </row>
    <row r="34" spans="1:27" ht="17.5" customHeight="1" x14ac:dyDescent="0.35">
      <c r="A34" s="1" t="s">
        <v>98</v>
      </c>
      <c r="B34" s="2">
        <v>45493</v>
      </c>
      <c r="C34" s="1" t="s">
        <v>90</v>
      </c>
      <c r="D34" s="1">
        <v>26</v>
      </c>
      <c r="E34" s="1" t="s">
        <v>35</v>
      </c>
      <c r="F34" s="1" t="s">
        <v>24</v>
      </c>
      <c r="G34" s="1" t="s">
        <v>25</v>
      </c>
      <c r="H34" s="1" t="s">
        <v>36</v>
      </c>
      <c r="I34" s="1">
        <v>688.82</v>
      </c>
      <c r="J34" s="1">
        <v>44318</v>
      </c>
      <c r="K34" s="1">
        <v>2759</v>
      </c>
      <c r="L34" s="1">
        <v>389</v>
      </c>
      <c r="M34" s="1">
        <v>3</v>
      </c>
      <c r="N34" s="1">
        <v>6.225461438</v>
      </c>
      <c r="O34" s="1">
        <v>14.09931134</v>
      </c>
      <c r="P34" s="1">
        <f t="shared" si="0"/>
        <v>3</v>
      </c>
      <c r="V34" t="str">
        <f t="shared" si="1"/>
        <v>Average Performer</v>
      </c>
      <c r="W34" t="e" cm="1">
        <f t="array" aca="1" ref="W34" ca="1">_xlfn.IFS(N34&gt;=20, "High",N34&gt;=10, "Medium", N34&lt;10, "Low")</f>
        <v>#NAME?</v>
      </c>
      <c r="X34" t="str">
        <f t="shared" si="2"/>
        <v>Medium Budget</v>
      </c>
      <c r="Y34" s="7">
        <f>VLOOKUP(G34, Lookup_table!B:C,2,0)</f>
        <v>0.5</v>
      </c>
      <c r="Z34" t="str">
        <f t="shared" si="3"/>
        <v>Efficient Spend</v>
      </c>
      <c r="AA34" t="str">
        <f>VLOOKUP(H34, Lookup_table!E:F,2,0)</f>
        <v>High</v>
      </c>
    </row>
    <row r="35" spans="1:27" ht="17.5" customHeight="1" x14ac:dyDescent="0.35">
      <c r="A35" s="1" t="s">
        <v>99</v>
      </c>
      <c r="B35" s="2">
        <v>45330</v>
      </c>
      <c r="C35" s="1" t="s">
        <v>100</v>
      </c>
      <c r="D35" s="1">
        <v>41</v>
      </c>
      <c r="E35" s="1" t="s">
        <v>35</v>
      </c>
      <c r="F35" s="1" t="s">
        <v>45</v>
      </c>
      <c r="G35" s="1" t="s">
        <v>61</v>
      </c>
      <c r="H35" s="1" t="s">
        <v>36</v>
      </c>
      <c r="I35" s="1">
        <v>1079.1400000000001</v>
      </c>
      <c r="J35" s="1">
        <v>48566</v>
      </c>
      <c r="K35" s="1">
        <v>610</v>
      </c>
      <c r="L35" s="1">
        <v>85</v>
      </c>
      <c r="N35" s="1">
        <v>1.2560227319999999</v>
      </c>
      <c r="O35" s="1">
        <v>13.93442623</v>
      </c>
      <c r="P35" s="1">
        <f t="shared" si="0"/>
        <v>3</v>
      </c>
      <c r="V35" t="str">
        <f t="shared" si="1"/>
        <v>Low Performer</v>
      </c>
      <c r="W35" t="e" cm="1">
        <f t="array" aca="1" ref="W35" ca="1">_xlfn.IFS(N35&gt;=20, "High",N35&gt;=10, "Medium", N35&lt;10, "Low")</f>
        <v>#NAME?</v>
      </c>
      <c r="X35" t="str">
        <f t="shared" si="2"/>
        <v>High Budget</v>
      </c>
      <c r="Y35" s="7">
        <f>VLOOKUP(G35, Lookup_table!B:C,2,0)</f>
        <v>0.2</v>
      </c>
      <c r="Z35" t="str">
        <f t="shared" si="3"/>
        <v>Inefficient Spend</v>
      </c>
      <c r="AA35" t="str">
        <f>VLOOKUP(H35, Lookup_table!E:F,2,0)</f>
        <v>High</v>
      </c>
    </row>
    <row r="36" spans="1:27" ht="17.5" customHeight="1" x14ac:dyDescent="0.35">
      <c r="A36" s="1" t="s">
        <v>101</v>
      </c>
      <c r="B36" s="2">
        <v>45552</v>
      </c>
      <c r="C36" s="1" t="s">
        <v>102</v>
      </c>
      <c r="D36" s="1">
        <v>64</v>
      </c>
      <c r="E36" s="1" t="s">
        <v>35</v>
      </c>
      <c r="F36" s="1" t="s">
        <v>50</v>
      </c>
      <c r="G36" s="1" t="s">
        <v>31</v>
      </c>
      <c r="H36" s="1" t="s">
        <v>32</v>
      </c>
      <c r="I36" s="1">
        <v>1823.94</v>
      </c>
      <c r="J36" s="1">
        <v>22377</v>
      </c>
      <c r="K36" s="1">
        <v>803</v>
      </c>
      <c r="L36" s="1">
        <v>72</v>
      </c>
      <c r="M36" s="1">
        <v>3</v>
      </c>
      <c r="N36" s="1">
        <v>3.5885060549999999</v>
      </c>
      <c r="O36" s="1">
        <v>8.9663760900000007</v>
      </c>
      <c r="P36" s="1">
        <f t="shared" si="0"/>
        <v>3</v>
      </c>
      <c r="V36" t="str">
        <f t="shared" si="1"/>
        <v>Low Performer</v>
      </c>
      <c r="W36" t="e" cm="1">
        <f t="array" aca="1" ref="W36" ca="1">_xlfn.IFS(N36&gt;=20, "High",N36&gt;=10, "Medium", N36&lt;10, "Low")</f>
        <v>#NAME?</v>
      </c>
      <c r="X36" t="str">
        <f t="shared" si="2"/>
        <v>High Budget</v>
      </c>
      <c r="Y36" s="7">
        <f>VLOOKUP(G36, Lookup_table!B:C,2,0)</f>
        <v>1.2</v>
      </c>
      <c r="Z36" t="str">
        <f t="shared" si="3"/>
        <v>Inefficient Spend</v>
      </c>
      <c r="AA36" t="str">
        <f>VLOOKUP(H36, Lookup_table!E:F,2,0)</f>
        <v>Medium</v>
      </c>
    </row>
    <row r="37" spans="1:27" ht="17.5" customHeight="1" x14ac:dyDescent="0.35">
      <c r="A37" s="1" t="s">
        <v>103</v>
      </c>
      <c r="B37" s="2">
        <v>45429</v>
      </c>
      <c r="C37" s="1" t="s">
        <v>59</v>
      </c>
      <c r="D37" s="1">
        <v>45</v>
      </c>
      <c r="E37" s="1" t="s">
        <v>23</v>
      </c>
      <c r="F37" s="1" t="s">
        <v>45</v>
      </c>
      <c r="G37" s="1" t="s">
        <v>61</v>
      </c>
      <c r="H37" s="1" t="s">
        <v>32</v>
      </c>
      <c r="I37" s="1">
        <v>654.80999999999995</v>
      </c>
      <c r="J37" s="1">
        <v>38824</v>
      </c>
      <c r="K37" s="1">
        <v>1908</v>
      </c>
      <c r="L37" s="1">
        <v>68</v>
      </c>
      <c r="M37" s="1">
        <v>5</v>
      </c>
      <c r="N37" s="1">
        <v>4.9144858850000004</v>
      </c>
      <c r="O37" s="1">
        <v>3.5639413000000002</v>
      </c>
      <c r="P37" s="1">
        <f t="shared" si="0"/>
        <v>5</v>
      </c>
      <c r="V37" t="str">
        <f t="shared" si="1"/>
        <v>Low Performer</v>
      </c>
      <c r="W37" t="e" cm="1">
        <f t="array" aca="1" ref="W37" ca="1">_xlfn.IFS(N37&gt;=20, "High",N37&gt;=10, "Medium", N37&lt;10, "Low")</f>
        <v>#NAME?</v>
      </c>
      <c r="X37" t="str">
        <f t="shared" si="2"/>
        <v>Medium Budget</v>
      </c>
      <c r="Y37" s="7">
        <f>VLOOKUP(G37, Lookup_table!B:C,2,0)</f>
        <v>0.2</v>
      </c>
      <c r="Z37" t="str">
        <f t="shared" si="3"/>
        <v>Inefficient Spend</v>
      </c>
      <c r="AA37" t="str">
        <f>VLOOKUP(H37, Lookup_table!E:F,2,0)</f>
        <v>Medium</v>
      </c>
    </row>
    <row r="38" spans="1:27" ht="17.5" customHeight="1" x14ac:dyDescent="0.35">
      <c r="A38" s="1" t="s">
        <v>104</v>
      </c>
      <c r="B38" s="2">
        <v>45635</v>
      </c>
      <c r="C38" s="1" t="s">
        <v>105</v>
      </c>
      <c r="D38" s="1">
        <v>53</v>
      </c>
      <c r="E38" s="1" t="s">
        <v>35</v>
      </c>
      <c r="F38" s="1" t="s">
        <v>30</v>
      </c>
      <c r="G38" s="1" t="s">
        <v>61</v>
      </c>
      <c r="H38" s="1" t="s">
        <v>62</v>
      </c>
      <c r="I38" s="1">
        <v>1182.54</v>
      </c>
      <c r="J38" s="1">
        <v>26747</v>
      </c>
      <c r="K38" s="1">
        <v>100</v>
      </c>
      <c r="L38" s="1">
        <v>348</v>
      </c>
      <c r="M38" s="1">
        <v>4</v>
      </c>
      <c r="N38" s="1">
        <v>0.373873705</v>
      </c>
      <c r="O38" s="1">
        <v>348</v>
      </c>
      <c r="P38" s="1">
        <f t="shared" si="0"/>
        <v>4</v>
      </c>
      <c r="V38" t="str">
        <f t="shared" si="1"/>
        <v>Low Performer</v>
      </c>
      <c r="W38" t="e" cm="1">
        <f t="array" aca="1" ref="W38" ca="1">_xlfn.IFS(N38&gt;=20, "High",N38&gt;=10, "Medium", N38&lt;10, "Low")</f>
        <v>#NAME?</v>
      </c>
      <c r="X38" t="str">
        <f t="shared" si="2"/>
        <v>High Budget</v>
      </c>
      <c r="Y38" s="7">
        <f>VLOOKUP(G38, Lookup_table!B:C,2,0)</f>
        <v>0.2</v>
      </c>
      <c r="Z38" t="str">
        <f t="shared" si="3"/>
        <v>Inefficient Spend</v>
      </c>
      <c r="AA38" t="str">
        <f>VLOOKUP(H38, Lookup_table!E:F,2,0)</f>
        <v>Medium</v>
      </c>
    </row>
    <row r="39" spans="1:27" ht="17.5" customHeight="1" x14ac:dyDescent="0.35">
      <c r="A39" s="1" t="s">
        <v>106</v>
      </c>
      <c r="B39" s="2">
        <v>45487</v>
      </c>
      <c r="C39" s="1" t="s">
        <v>107</v>
      </c>
      <c r="D39" s="9">
        <v>41</v>
      </c>
      <c r="E39" s="1" t="s">
        <v>35</v>
      </c>
      <c r="G39" s="1" t="s">
        <v>25</v>
      </c>
      <c r="H39" s="1" t="s">
        <v>32</v>
      </c>
      <c r="I39" s="1">
        <v>1871.43</v>
      </c>
      <c r="J39" s="1">
        <v>43985</v>
      </c>
      <c r="K39" s="1">
        <v>2058</v>
      </c>
      <c r="L39" s="1">
        <v>237</v>
      </c>
      <c r="N39" s="1">
        <v>4.6788677959999996</v>
      </c>
      <c r="O39" s="1">
        <v>11.51603499</v>
      </c>
      <c r="P39" s="1">
        <f t="shared" si="0"/>
        <v>3</v>
      </c>
      <c r="V39" t="str">
        <f t="shared" si="1"/>
        <v>Average Performer</v>
      </c>
      <c r="W39" t="e" cm="1">
        <f t="array" aca="1" ref="W39" ca="1">_xlfn.IFS(N39&gt;=20, "High",N39&gt;=10, "Medium", N39&lt;10, "Low")</f>
        <v>#NAME?</v>
      </c>
      <c r="X39" t="str">
        <f t="shared" si="2"/>
        <v>High Budget</v>
      </c>
      <c r="Y39" s="7">
        <f>VLOOKUP(G39, Lookup_table!B:C,2,0)</f>
        <v>0.5</v>
      </c>
      <c r="Z39" t="str">
        <f t="shared" si="3"/>
        <v>Inefficient Spend</v>
      </c>
      <c r="AA39" t="str">
        <f>VLOOKUP(H39, Lookup_table!E:F,2,0)</f>
        <v>Medium</v>
      </c>
    </row>
    <row r="40" spans="1:27" ht="17.5" customHeight="1" x14ac:dyDescent="0.35">
      <c r="A40" s="1" t="s">
        <v>108</v>
      </c>
      <c r="B40" s="2">
        <v>45364</v>
      </c>
      <c r="C40" s="1" t="s">
        <v>109</v>
      </c>
      <c r="D40" s="1">
        <v>40</v>
      </c>
      <c r="E40" s="1" t="s">
        <v>29</v>
      </c>
      <c r="F40" s="1" t="s">
        <v>24</v>
      </c>
      <c r="G40" s="1" t="s">
        <v>31</v>
      </c>
      <c r="H40" s="1" t="s">
        <v>32</v>
      </c>
      <c r="I40" s="1">
        <v>1909.57</v>
      </c>
      <c r="J40" s="1">
        <v>38605</v>
      </c>
      <c r="K40" s="1">
        <v>1277</v>
      </c>
      <c r="L40" s="1">
        <v>345</v>
      </c>
      <c r="N40" s="1">
        <v>3.3078616759999999</v>
      </c>
      <c r="O40" s="1">
        <v>27.016444790000001</v>
      </c>
      <c r="P40" s="1">
        <f t="shared" si="0"/>
        <v>3</v>
      </c>
      <c r="V40" t="str">
        <f t="shared" si="1"/>
        <v>Average Performer</v>
      </c>
      <c r="W40" t="e" cm="1">
        <f t="array" aca="1" ref="W40" ca="1">_xlfn.IFS(N40&gt;=20, "High",N40&gt;=10, "Medium", N40&lt;10, "Low")</f>
        <v>#NAME?</v>
      </c>
      <c r="X40" t="str">
        <f t="shared" si="2"/>
        <v>High Budget</v>
      </c>
      <c r="Y40" s="7">
        <f>VLOOKUP(G40, Lookup_table!B:C,2,0)</f>
        <v>1.2</v>
      </c>
      <c r="Z40" t="str">
        <f t="shared" si="3"/>
        <v>Inefficient Spend</v>
      </c>
      <c r="AA40" t="str">
        <f>VLOOKUP(H40, Lookup_table!E:F,2,0)</f>
        <v>Medium</v>
      </c>
    </row>
    <row r="41" spans="1:27" ht="17.5" customHeight="1" x14ac:dyDescent="0.35">
      <c r="A41" s="1" t="s">
        <v>110</v>
      </c>
      <c r="B41" s="2">
        <v>45631</v>
      </c>
      <c r="C41" s="1" t="s">
        <v>111</v>
      </c>
      <c r="D41" s="1">
        <v>43</v>
      </c>
      <c r="E41" s="1" t="s">
        <v>29</v>
      </c>
      <c r="F41" s="1" t="s">
        <v>24</v>
      </c>
      <c r="G41" s="1" t="s">
        <v>42</v>
      </c>
      <c r="H41" s="1" t="s">
        <v>36</v>
      </c>
      <c r="I41" s="1">
        <v>1376.17</v>
      </c>
      <c r="J41" s="1">
        <v>15902</v>
      </c>
      <c r="K41" s="1">
        <v>526</v>
      </c>
      <c r="L41" s="1">
        <v>289</v>
      </c>
      <c r="M41" s="1">
        <v>5</v>
      </c>
      <c r="N41" s="1">
        <v>3.3077600299999999</v>
      </c>
      <c r="O41" s="1">
        <v>54.942965780000002</v>
      </c>
      <c r="P41" s="1">
        <f t="shared" si="0"/>
        <v>5</v>
      </c>
      <c r="V41" t="str">
        <f t="shared" si="1"/>
        <v>Low Performer</v>
      </c>
      <c r="W41" t="e" cm="1">
        <f t="array" aca="1" ref="W41" ca="1">_xlfn.IFS(N41&gt;=20, "High",N41&gt;=10, "Medium", N41&lt;10, "Low")</f>
        <v>#NAME?</v>
      </c>
      <c r="X41" t="str">
        <f t="shared" si="2"/>
        <v>High Budget</v>
      </c>
      <c r="Y41" s="7">
        <f>VLOOKUP(G41, Lookup_table!B:C,2,0)</f>
        <v>0.3</v>
      </c>
      <c r="Z41" t="str">
        <f t="shared" si="3"/>
        <v>Inefficient Spend</v>
      </c>
      <c r="AA41" t="str">
        <f>VLOOKUP(H41, Lookup_table!E:F,2,0)</f>
        <v>High</v>
      </c>
    </row>
    <row r="42" spans="1:27" ht="17.5" customHeight="1" x14ac:dyDescent="0.35">
      <c r="A42" s="1" t="s">
        <v>112</v>
      </c>
      <c r="B42" s="2">
        <v>45549</v>
      </c>
      <c r="C42" s="1" t="s">
        <v>113</v>
      </c>
      <c r="D42" s="1">
        <v>43</v>
      </c>
      <c r="E42" s="1" t="s">
        <v>23</v>
      </c>
      <c r="F42" s="1" t="s">
        <v>50</v>
      </c>
      <c r="G42" s="1" t="s">
        <v>31</v>
      </c>
      <c r="H42" s="1" t="s">
        <v>32</v>
      </c>
      <c r="I42" s="1">
        <v>1962.25</v>
      </c>
      <c r="J42" s="1">
        <v>37012</v>
      </c>
      <c r="K42" s="1">
        <v>4018</v>
      </c>
      <c r="L42" s="1">
        <v>70</v>
      </c>
      <c r="M42" s="1">
        <v>1</v>
      </c>
      <c r="N42" s="1">
        <v>10.855938610000001</v>
      </c>
      <c r="O42" s="1">
        <v>1.7421602789999999</v>
      </c>
      <c r="P42" s="1">
        <f t="shared" si="0"/>
        <v>1</v>
      </c>
      <c r="V42" t="str">
        <f t="shared" si="1"/>
        <v>Low Performer</v>
      </c>
      <c r="W42" t="e" cm="1">
        <f t="array" aca="1" ref="W42" ca="1">_xlfn.IFS(N42&gt;=20, "High",N42&gt;=10, "Medium", N42&lt;10, "Low")</f>
        <v>#NAME?</v>
      </c>
      <c r="X42" t="str">
        <f t="shared" si="2"/>
        <v>High Budget</v>
      </c>
      <c r="Y42" s="7">
        <f>VLOOKUP(G42, Lookup_table!B:C,2,0)</f>
        <v>1.2</v>
      </c>
      <c r="Z42" t="str">
        <f t="shared" si="3"/>
        <v>Efficient Spend</v>
      </c>
      <c r="AA42" t="str">
        <f>VLOOKUP(H42, Lookup_table!E:F,2,0)</f>
        <v>Medium</v>
      </c>
    </row>
    <row r="43" spans="1:27" ht="17.5" customHeight="1" x14ac:dyDescent="0.35">
      <c r="A43" s="1" t="s">
        <v>114</v>
      </c>
      <c r="B43" s="2">
        <v>45484</v>
      </c>
      <c r="C43" s="1" t="s">
        <v>115</v>
      </c>
      <c r="D43" s="1">
        <v>64</v>
      </c>
      <c r="E43" s="1" t="s">
        <v>35</v>
      </c>
      <c r="F43" s="1" t="s">
        <v>57</v>
      </c>
      <c r="G43" s="1" t="s">
        <v>25</v>
      </c>
      <c r="H43" s="1" t="s">
        <v>62</v>
      </c>
      <c r="I43" s="1">
        <v>1563.06</v>
      </c>
      <c r="J43" s="1">
        <v>41009</v>
      </c>
      <c r="K43" s="1">
        <v>2687</v>
      </c>
      <c r="L43" s="1">
        <v>126</v>
      </c>
      <c r="N43" s="1">
        <v>6.5522202439999999</v>
      </c>
      <c r="O43" s="1">
        <v>4.6892445110000001</v>
      </c>
      <c r="P43" s="1">
        <f t="shared" si="0"/>
        <v>3</v>
      </c>
      <c r="V43" t="str">
        <f t="shared" si="1"/>
        <v>Average Performer</v>
      </c>
      <c r="W43" t="e" cm="1">
        <f t="array" aca="1" ref="W43" ca="1">_xlfn.IFS(N43&gt;=20, "High",N43&gt;=10, "Medium", N43&lt;10, "Low")</f>
        <v>#NAME?</v>
      </c>
      <c r="X43" t="str">
        <f t="shared" si="2"/>
        <v>High Budget</v>
      </c>
      <c r="Y43" s="7">
        <f>VLOOKUP(G43, Lookup_table!B:C,2,0)</f>
        <v>0.5</v>
      </c>
      <c r="Z43" t="str">
        <f t="shared" si="3"/>
        <v>Inefficient Spend</v>
      </c>
      <c r="AA43" t="str">
        <f>VLOOKUP(H43, Lookup_table!E:F,2,0)</f>
        <v>Medium</v>
      </c>
    </row>
    <row r="44" spans="1:27" ht="17.5" customHeight="1" x14ac:dyDescent="0.35">
      <c r="A44" s="1" t="s">
        <v>116</v>
      </c>
      <c r="B44" s="2">
        <v>45641</v>
      </c>
      <c r="C44" s="1" t="s">
        <v>117</v>
      </c>
      <c r="D44" s="1">
        <v>48</v>
      </c>
      <c r="E44" s="1" t="s">
        <v>23</v>
      </c>
      <c r="F44" s="1" t="s">
        <v>24</v>
      </c>
      <c r="G44" s="1" t="s">
        <v>25</v>
      </c>
      <c r="H44" s="1" t="s">
        <v>36</v>
      </c>
      <c r="I44" s="1">
        <v>1949.17</v>
      </c>
      <c r="J44" s="1">
        <v>7283</v>
      </c>
      <c r="K44" s="1">
        <v>4633</v>
      </c>
      <c r="L44" s="1">
        <v>399</v>
      </c>
      <c r="M44" s="1">
        <v>3</v>
      </c>
      <c r="N44" s="1">
        <v>63.613895370000002</v>
      </c>
      <c r="O44" s="1">
        <v>8.6121303690000008</v>
      </c>
      <c r="P44" s="1">
        <f t="shared" si="0"/>
        <v>3</v>
      </c>
      <c r="V44" t="str">
        <f t="shared" si="1"/>
        <v>Top Performer</v>
      </c>
      <c r="W44" t="e" cm="1">
        <f t="array" aca="1" ref="W44" ca="1">_xlfn.IFS(N44&gt;=20, "High",N44&gt;=10, "Medium", N44&lt;10, "Low")</f>
        <v>#NAME?</v>
      </c>
      <c r="X44" t="str">
        <f t="shared" si="2"/>
        <v>High Budget</v>
      </c>
      <c r="Y44" s="7">
        <f>VLOOKUP(G44, Lookup_table!B:C,2,0)</f>
        <v>0.5</v>
      </c>
      <c r="Z44" t="str">
        <f t="shared" si="3"/>
        <v>Efficient Spend</v>
      </c>
      <c r="AA44" t="str">
        <f>VLOOKUP(H44, Lookup_table!E:F,2,0)</f>
        <v>High</v>
      </c>
    </row>
    <row r="45" spans="1:27" ht="17.5" customHeight="1" x14ac:dyDescent="0.35">
      <c r="A45" s="1" t="s">
        <v>118</v>
      </c>
      <c r="B45" s="2">
        <v>45384</v>
      </c>
      <c r="C45" s="1" t="s">
        <v>119</v>
      </c>
      <c r="D45" s="1">
        <v>60</v>
      </c>
      <c r="E45" s="1" t="s">
        <v>35</v>
      </c>
      <c r="F45" s="1" t="s">
        <v>30</v>
      </c>
      <c r="G45" s="1" t="s">
        <v>46</v>
      </c>
      <c r="H45" s="1" t="s">
        <v>62</v>
      </c>
      <c r="I45" s="1">
        <v>1359.28</v>
      </c>
      <c r="J45" s="1">
        <v>3809</v>
      </c>
      <c r="K45" s="1">
        <v>831</v>
      </c>
      <c r="L45" s="1">
        <v>263</v>
      </c>
      <c r="M45" s="1">
        <v>4</v>
      </c>
      <c r="N45" s="1">
        <v>21.8167498</v>
      </c>
      <c r="O45" s="1">
        <v>31.648616130000001</v>
      </c>
      <c r="P45" s="1">
        <f t="shared" si="0"/>
        <v>4</v>
      </c>
      <c r="V45" t="str">
        <f t="shared" si="1"/>
        <v>Low Performer</v>
      </c>
      <c r="W45" t="e" cm="1">
        <f t="array" aca="1" ref="W45" ca="1">_xlfn.IFS(N45&gt;=20, "High",N45&gt;=10, "Medium", N45&lt;10, "Low")</f>
        <v>#NAME?</v>
      </c>
      <c r="X45" t="str">
        <f t="shared" si="2"/>
        <v>High Budget</v>
      </c>
      <c r="Y45" s="7">
        <f>VLOOKUP(G45, Lookup_table!B:C,2,0)</f>
        <v>0.75</v>
      </c>
      <c r="Z45" t="str">
        <f t="shared" si="3"/>
        <v>Inefficient Spend</v>
      </c>
      <c r="AA45" t="str">
        <f>VLOOKUP(H45, Lookup_table!E:F,2,0)</f>
        <v>Medium</v>
      </c>
    </row>
    <row r="46" spans="1:27" ht="17.5" customHeight="1" x14ac:dyDescent="0.35">
      <c r="A46" s="1" t="s">
        <v>120</v>
      </c>
      <c r="B46" s="2">
        <v>45544</v>
      </c>
      <c r="C46" s="1" t="s">
        <v>121</v>
      </c>
      <c r="D46" s="1">
        <v>30</v>
      </c>
      <c r="E46" s="1" t="s">
        <v>23</v>
      </c>
      <c r="F46" s="1" t="s">
        <v>45</v>
      </c>
      <c r="G46" s="1" t="s">
        <v>61</v>
      </c>
      <c r="H46" s="1" t="s">
        <v>26</v>
      </c>
      <c r="I46" s="1">
        <v>1323.7</v>
      </c>
      <c r="J46" s="1">
        <v>42287</v>
      </c>
      <c r="K46" s="1">
        <v>2796</v>
      </c>
      <c r="L46" s="1">
        <v>285</v>
      </c>
      <c r="M46" s="1">
        <v>5</v>
      </c>
      <c r="N46" s="1">
        <v>6.6119611230000004</v>
      </c>
      <c r="O46" s="1">
        <v>10.19313305</v>
      </c>
      <c r="P46" s="1">
        <f t="shared" si="0"/>
        <v>5</v>
      </c>
      <c r="V46" t="str">
        <f t="shared" si="1"/>
        <v>Average Performer</v>
      </c>
      <c r="W46" t="e" cm="1">
        <f t="array" aca="1" ref="W46" ca="1">_xlfn.IFS(N46&gt;=20, "High",N46&gt;=10, "Medium", N46&lt;10, "Low")</f>
        <v>#NAME?</v>
      </c>
      <c r="X46" t="str">
        <f t="shared" si="2"/>
        <v>High Budget</v>
      </c>
      <c r="Y46" s="7">
        <f>VLOOKUP(G46, Lookup_table!B:C,2,0)</f>
        <v>0.2</v>
      </c>
      <c r="Z46" t="str">
        <f t="shared" si="3"/>
        <v>Inefficient Spend</v>
      </c>
      <c r="AA46" t="str">
        <f>VLOOKUP(H46, Lookup_table!E:F,2,0)</f>
        <v>High</v>
      </c>
    </row>
    <row r="47" spans="1:27" ht="17.5" customHeight="1" x14ac:dyDescent="0.35">
      <c r="A47" s="1" t="s">
        <v>122</v>
      </c>
      <c r="B47" s="2">
        <v>45363</v>
      </c>
      <c r="C47" s="1" t="s">
        <v>123</v>
      </c>
      <c r="D47" s="1">
        <v>64</v>
      </c>
      <c r="E47" s="1" t="s">
        <v>35</v>
      </c>
      <c r="F47" s="1" t="s">
        <v>57</v>
      </c>
      <c r="G47" s="1" t="s">
        <v>61</v>
      </c>
      <c r="H47" s="1" t="s">
        <v>36</v>
      </c>
      <c r="I47" s="1">
        <v>162.71</v>
      </c>
      <c r="J47" s="1">
        <v>28327</v>
      </c>
      <c r="K47" s="1">
        <v>3653</v>
      </c>
      <c r="L47" s="1">
        <v>341</v>
      </c>
      <c r="M47" s="1">
        <v>5</v>
      </c>
      <c r="N47" s="1">
        <v>12.89582377</v>
      </c>
      <c r="O47" s="1">
        <v>9.3347933209999994</v>
      </c>
      <c r="P47" s="1">
        <f t="shared" si="0"/>
        <v>5</v>
      </c>
      <c r="V47" t="str">
        <f t="shared" si="1"/>
        <v>Top Performer</v>
      </c>
      <c r="W47" t="e" cm="1">
        <f t="array" aca="1" ref="W47" ca="1">_xlfn.IFS(N47&gt;=20, "High",N47&gt;=10, "Medium", N47&lt;10, "Low")</f>
        <v>#NAME?</v>
      </c>
      <c r="X47" t="str">
        <f t="shared" si="2"/>
        <v>Low Budget</v>
      </c>
      <c r="Y47" s="7">
        <f>VLOOKUP(G47, Lookup_table!B:C,2,0)</f>
        <v>0.2</v>
      </c>
      <c r="Z47" t="str">
        <f t="shared" si="3"/>
        <v>Efficient Spend</v>
      </c>
      <c r="AA47" t="str">
        <f>VLOOKUP(H47, Lookup_table!E:F,2,0)</f>
        <v>High</v>
      </c>
    </row>
    <row r="48" spans="1:27" ht="17.5" customHeight="1" x14ac:dyDescent="0.35">
      <c r="A48" s="1" t="s">
        <v>124</v>
      </c>
      <c r="B48" s="2">
        <v>45571</v>
      </c>
      <c r="C48" s="1" t="s">
        <v>85</v>
      </c>
      <c r="D48" s="1">
        <v>63</v>
      </c>
      <c r="E48" s="1" t="s">
        <v>35</v>
      </c>
      <c r="F48" s="1" t="s">
        <v>24</v>
      </c>
      <c r="G48" s="1" t="s">
        <v>42</v>
      </c>
      <c r="H48" s="1" t="s">
        <v>62</v>
      </c>
      <c r="I48" s="1">
        <v>1004.84</v>
      </c>
      <c r="J48" s="1">
        <v>38048</v>
      </c>
      <c r="K48" s="1">
        <v>1079</v>
      </c>
      <c r="L48" s="1">
        <v>77</v>
      </c>
      <c r="M48" s="1">
        <v>4</v>
      </c>
      <c r="N48" s="1">
        <v>2.8358915050000002</v>
      </c>
      <c r="O48" s="1">
        <v>7.1362372570000003</v>
      </c>
      <c r="P48" s="1">
        <f t="shared" si="0"/>
        <v>4</v>
      </c>
      <c r="V48" t="str">
        <f t="shared" si="1"/>
        <v>Low Performer</v>
      </c>
      <c r="W48" t="e" cm="1">
        <f t="array" aca="1" ref="W48" ca="1">_xlfn.IFS(N48&gt;=20, "High",N48&gt;=10, "Medium", N48&lt;10, "Low")</f>
        <v>#NAME?</v>
      </c>
      <c r="X48" t="str">
        <f t="shared" si="2"/>
        <v>High Budget</v>
      </c>
      <c r="Y48" s="7">
        <f>VLOOKUP(G48, Lookup_table!B:C,2,0)</f>
        <v>0.3</v>
      </c>
      <c r="Z48" t="str">
        <f t="shared" si="3"/>
        <v>Inefficient Spend</v>
      </c>
      <c r="AA48" t="str">
        <f>VLOOKUP(H48, Lookup_table!E:F,2,0)</f>
        <v>Medium</v>
      </c>
    </row>
    <row r="49" spans="1:27" ht="17.5" customHeight="1" x14ac:dyDescent="0.35">
      <c r="A49" s="1" t="s">
        <v>125</v>
      </c>
      <c r="B49" s="2">
        <v>45302</v>
      </c>
      <c r="C49" s="1" t="s">
        <v>126</v>
      </c>
      <c r="D49" s="1">
        <v>41</v>
      </c>
      <c r="E49" s="1" t="s">
        <v>35</v>
      </c>
      <c r="F49" s="1" t="s">
        <v>30</v>
      </c>
      <c r="G49" s="1" t="s">
        <v>46</v>
      </c>
      <c r="H49" s="1" t="s">
        <v>26</v>
      </c>
      <c r="I49" s="1">
        <v>694.66</v>
      </c>
      <c r="J49" s="1">
        <v>30529</v>
      </c>
      <c r="K49" s="1">
        <v>26</v>
      </c>
      <c r="L49" s="1">
        <v>96</v>
      </c>
      <c r="M49" s="1">
        <v>2</v>
      </c>
      <c r="N49" s="1">
        <v>8.5164925000000002E-2</v>
      </c>
      <c r="O49" s="1">
        <v>369.2307692</v>
      </c>
      <c r="P49" s="1">
        <f t="shared" si="0"/>
        <v>2</v>
      </c>
      <c r="V49" t="str">
        <f t="shared" si="1"/>
        <v>Low Performer</v>
      </c>
      <c r="W49" t="e" cm="1">
        <f t="array" aca="1" ref="W49" ca="1">_xlfn.IFS(N49&gt;=20, "High",N49&gt;=10, "Medium", N49&lt;10, "Low")</f>
        <v>#NAME?</v>
      </c>
      <c r="X49" t="str">
        <f t="shared" si="2"/>
        <v>Medium Budget</v>
      </c>
      <c r="Y49" s="7">
        <f>VLOOKUP(G49, Lookup_table!B:C,2,0)</f>
        <v>0.75</v>
      </c>
      <c r="Z49" t="str">
        <f t="shared" si="3"/>
        <v>Inefficient Spend</v>
      </c>
      <c r="AA49" t="str">
        <f>VLOOKUP(H49, Lookup_table!E:F,2,0)</f>
        <v>High</v>
      </c>
    </row>
    <row r="50" spans="1:27" ht="17.5" customHeight="1" x14ac:dyDescent="0.35">
      <c r="A50" s="1" t="s">
        <v>127</v>
      </c>
      <c r="B50" s="2">
        <v>45525</v>
      </c>
      <c r="C50" s="1" t="s">
        <v>128</v>
      </c>
      <c r="D50" s="1">
        <v>56</v>
      </c>
      <c r="E50" s="1" t="s">
        <v>23</v>
      </c>
      <c r="F50" s="1" t="s">
        <v>50</v>
      </c>
      <c r="G50" s="1" t="s">
        <v>31</v>
      </c>
      <c r="H50" s="1" t="s">
        <v>26</v>
      </c>
      <c r="I50" s="1">
        <v>138.05000000000001</v>
      </c>
      <c r="J50" s="1">
        <v>17610</v>
      </c>
      <c r="K50" s="1">
        <v>4239</v>
      </c>
      <c r="L50" s="1">
        <v>114</v>
      </c>
      <c r="M50" s="1">
        <v>2</v>
      </c>
      <c r="N50" s="1">
        <v>24.071550259999999</v>
      </c>
      <c r="O50" s="1">
        <v>2.689313517</v>
      </c>
      <c r="P50" s="1">
        <f t="shared" si="0"/>
        <v>2</v>
      </c>
      <c r="V50" t="str">
        <f t="shared" si="1"/>
        <v>Average Performer</v>
      </c>
      <c r="W50" t="e" cm="1">
        <f t="array" aca="1" ref="W50" ca="1">_xlfn.IFS(N50&gt;=20, "High",N50&gt;=10, "Medium", N50&lt;10, "Low")</f>
        <v>#NAME?</v>
      </c>
      <c r="X50" t="str">
        <f t="shared" si="2"/>
        <v>Low Budget</v>
      </c>
      <c r="Y50" s="7">
        <f>VLOOKUP(G50, Lookup_table!B:C,2,0)</f>
        <v>1.2</v>
      </c>
      <c r="Z50" t="str">
        <f t="shared" si="3"/>
        <v>Efficient Spend</v>
      </c>
      <c r="AA50" t="str">
        <f>VLOOKUP(H50, Lookup_table!E:F,2,0)</f>
        <v>High</v>
      </c>
    </row>
    <row r="51" spans="1:27" ht="17.5" customHeight="1" x14ac:dyDescent="0.35">
      <c r="A51" s="1" t="s">
        <v>129</v>
      </c>
      <c r="B51" s="2">
        <v>45583</v>
      </c>
      <c r="C51" s="1" t="s">
        <v>130</v>
      </c>
      <c r="D51" s="1">
        <v>42</v>
      </c>
      <c r="E51" s="1" t="s">
        <v>23</v>
      </c>
      <c r="F51" s="1" t="s">
        <v>24</v>
      </c>
      <c r="G51" s="1" t="s">
        <v>31</v>
      </c>
      <c r="H51" s="1" t="s">
        <v>32</v>
      </c>
      <c r="I51" s="1">
        <v>1288.67</v>
      </c>
      <c r="J51" s="1">
        <v>33696</v>
      </c>
      <c r="K51" s="1">
        <v>3552</v>
      </c>
      <c r="L51" s="1">
        <v>279</v>
      </c>
      <c r="M51" s="1">
        <v>1</v>
      </c>
      <c r="N51" s="1">
        <v>10.54131054</v>
      </c>
      <c r="O51" s="1">
        <v>7.8547297299999999</v>
      </c>
      <c r="P51" s="1">
        <f t="shared" si="0"/>
        <v>1</v>
      </c>
      <c r="V51" t="str">
        <f t="shared" si="1"/>
        <v>Top Performer</v>
      </c>
      <c r="W51" t="e" cm="1">
        <f t="array" aca="1" ref="W51" ca="1">_xlfn.IFS(N51&gt;=20, "High",N51&gt;=10, "Medium", N51&lt;10, "Low")</f>
        <v>#NAME?</v>
      </c>
      <c r="X51" t="str">
        <f t="shared" si="2"/>
        <v>High Budget</v>
      </c>
      <c r="Y51" s="7">
        <f>VLOOKUP(G51, Lookup_table!B:C,2,0)</f>
        <v>1.2</v>
      </c>
      <c r="Z51" t="str">
        <f t="shared" si="3"/>
        <v>Efficient Spend</v>
      </c>
      <c r="AA51" t="str">
        <f>VLOOKUP(H51, Lookup_table!E:F,2,0)</f>
        <v>Medium</v>
      </c>
    </row>
    <row r="52" spans="1:27" ht="17.5" customHeight="1" x14ac:dyDescent="0.35">
      <c r="A52" s="1" t="s">
        <v>131</v>
      </c>
      <c r="B52" s="2">
        <v>45609</v>
      </c>
      <c r="C52" s="1" t="s">
        <v>132</v>
      </c>
      <c r="D52" s="1">
        <v>40</v>
      </c>
      <c r="E52" s="1" t="s">
        <v>35</v>
      </c>
      <c r="F52" s="1" t="s">
        <v>41</v>
      </c>
      <c r="G52" s="1" t="s">
        <v>46</v>
      </c>
      <c r="H52" s="1" t="s">
        <v>26</v>
      </c>
      <c r="I52" s="1">
        <v>1943.85</v>
      </c>
      <c r="J52" s="1">
        <v>46596</v>
      </c>
      <c r="K52" s="1">
        <v>3817</v>
      </c>
      <c r="L52" s="1">
        <v>121</v>
      </c>
      <c r="M52" s="1">
        <v>1</v>
      </c>
      <c r="N52" s="1">
        <v>8.1916902740000008</v>
      </c>
      <c r="O52" s="1">
        <v>3.170028818</v>
      </c>
      <c r="P52" s="1">
        <f t="shared" si="0"/>
        <v>1</v>
      </c>
      <c r="V52" t="str">
        <f t="shared" si="1"/>
        <v>Average Performer</v>
      </c>
      <c r="W52" t="e" cm="1">
        <f t="array" aca="1" ref="W52" ca="1">_xlfn.IFS(N52&gt;=20, "High",N52&gt;=10, "Medium", N52&lt;10, "Low")</f>
        <v>#NAME?</v>
      </c>
      <c r="X52" t="str">
        <f t="shared" si="2"/>
        <v>High Budget</v>
      </c>
      <c r="Y52" s="7">
        <f>VLOOKUP(G52, Lookup_table!B:C,2,0)</f>
        <v>0.75</v>
      </c>
      <c r="Z52" t="str">
        <f t="shared" si="3"/>
        <v>Efficient Spend</v>
      </c>
      <c r="AA52" t="str">
        <f>VLOOKUP(H52, Lookup_table!E:F,2,0)</f>
        <v>High</v>
      </c>
    </row>
    <row r="53" spans="1:27" ht="17.5" customHeight="1" x14ac:dyDescent="0.35">
      <c r="A53" s="1" t="s">
        <v>133</v>
      </c>
      <c r="B53" s="2">
        <v>45443</v>
      </c>
      <c r="C53" s="1" t="s">
        <v>134</v>
      </c>
      <c r="D53" s="1">
        <v>45</v>
      </c>
      <c r="E53" s="1" t="s">
        <v>23</v>
      </c>
      <c r="F53" s="1" t="s">
        <v>50</v>
      </c>
      <c r="G53" s="1" t="s">
        <v>31</v>
      </c>
      <c r="H53" s="1" t="s">
        <v>32</v>
      </c>
      <c r="I53" s="1">
        <v>1164.96</v>
      </c>
      <c r="J53" s="1">
        <v>28535</v>
      </c>
      <c r="K53" s="1">
        <v>2338</v>
      </c>
      <c r="L53" s="1">
        <v>326</v>
      </c>
      <c r="M53" s="1">
        <v>2</v>
      </c>
      <c r="N53" s="1">
        <v>8.1934466439999998</v>
      </c>
      <c r="O53" s="1">
        <v>13.943541489999999</v>
      </c>
      <c r="P53" s="1">
        <f t="shared" si="0"/>
        <v>2</v>
      </c>
      <c r="V53" t="str">
        <f t="shared" si="1"/>
        <v>Average Performer</v>
      </c>
      <c r="W53" t="e" cm="1">
        <f t="array" aca="1" ref="W53" ca="1">_xlfn.IFS(N53&gt;=20, "High",N53&gt;=10, "Medium", N53&lt;10, "Low")</f>
        <v>#NAME?</v>
      </c>
      <c r="X53" t="str">
        <f t="shared" si="2"/>
        <v>High Budget</v>
      </c>
      <c r="Y53" s="7">
        <f>VLOOKUP(G53, Lookup_table!B:C,2,0)</f>
        <v>1.2</v>
      </c>
      <c r="Z53" t="str">
        <f t="shared" si="3"/>
        <v>Efficient Spend</v>
      </c>
      <c r="AA53" t="str">
        <f>VLOOKUP(H53, Lookup_table!E:F,2,0)</f>
        <v>Medium</v>
      </c>
    </row>
    <row r="54" spans="1:27" ht="17.5" customHeight="1" x14ac:dyDescent="0.35">
      <c r="A54" s="1" t="s">
        <v>135</v>
      </c>
      <c r="B54" s="2">
        <v>45384</v>
      </c>
      <c r="C54" s="1" t="s">
        <v>136</v>
      </c>
      <c r="D54" s="1">
        <v>20</v>
      </c>
      <c r="E54" s="1" t="s">
        <v>35</v>
      </c>
      <c r="F54" s="1" t="s">
        <v>57</v>
      </c>
      <c r="G54" s="1" t="s">
        <v>46</v>
      </c>
      <c r="H54" s="1" t="s">
        <v>36</v>
      </c>
      <c r="I54" s="1">
        <v>741.59</v>
      </c>
      <c r="J54" s="1">
        <v>2451</v>
      </c>
      <c r="K54" s="1">
        <v>3558</v>
      </c>
      <c r="L54" s="1">
        <v>296</v>
      </c>
      <c r="M54" s="1">
        <v>3</v>
      </c>
      <c r="N54" s="1">
        <v>145.1652387</v>
      </c>
      <c r="O54" s="1">
        <v>8.3192804949999992</v>
      </c>
      <c r="P54" s="1">
        <f t="shared" si="0"/>
        <v>3</v>
      </c>
      <c r="U54" s="1">
        <f>COUNTIF(N50:N1000, N54&gt;100)</f>
        <v>0</v>
      </c>
      <c r="V54" t="str">
        <f t="shared" si="1"/>
        <v>Top Performer</v>
      </c>
      <c r="W54" t="e" cm="1">
        <f t="array" aca="1" ref="W54" ca="1">_xlfn.IFS(N54&gt;=20, "High",N54&gt;=10, "Medium", N54&lt;10, "Low")</f>
        <v>#NAME?</v>
      </c>
      <c r="X54" t="str">
        <f t="shared" si="2"/>
        <v>Medium Budget</v>
      </c>
      <c r="Y54" s="7">
        <f>VLOOKUP(G54, Lookup_table!B:C,2,0)</f>
        <v>0.75</v>
      </c>
      <c r="Z54" t="str">
        <f t="shared" si="3"/>
        <v>Efficient Spend</v>
      </c>
      <c r="AA54" t="str">
        <f>VLOOKUP(H54, Lookup_table!E:F,2,0)</f>
        <v>High</v>
      </c>
    </row>
    <row r="55" spans="1:27" ht="17.5" customHeight="1" x14ac:dyDescent="0.35">
      <c r="A55" s="1" t="s">
        <v>137</v>
      </c>
      <c r="B55" s="2">
        <v>45539</v>
      </c>
      <c r="C55" s="1" t="s">
        <v>138</v>
      </c>
      <c r="D55" s="1">
        <v>36</v>
      </c>
      <c r="E55" s="1" t="s">
        <v>35</v>
      </c>
      <c r="F55" s="1" t="s">
        <v>45</v>
      </c>
      <c r="G55" s="1" t="s">
        <v>31</v>
      </c>
      <c r="H55" s="1" t="s">
        <v>36</v>
      </c>
      <c r="I55" s="1">
        <v>1892.73</v>
      </c>
      <c r="J55" s="1">
        <v>21272</v>
      </c>
      <c r="K55" s="1">
        <v>1201</v>
      </c>
      <c r="L55" s="1">
        <v>365</v>
      </c>
      <c r="M55" s="1">
        <v>4</v>
      </c>
      <c r="N55" s="1">
        <v>5.6459195190000004</v>
      </c>
      <c r="O55" s="1">
        <v>30.391340549999999</v>
      </c>
      <c r="P55" s="1">
        <f t="shared" si="0"/>
        <v>4</v>
      </c>
      <c r="V55" t="str">
        <f t="shared" si="1"/>
        <v>Average Performer</v>
      </c>
      <c r="W55" t="e" cm="1">
        <f t="array" aca="1" ref="W55" ca="1">_xlfn.IFS(N55&gt;=20, "High",N55&gt;=10, "Medium", N55&lt;10, "Low")</f>
        <v>#NAME?</v>
      </c>
      <c r="X55" t="str">
        <f t="shared" si="2"/>
        <v>High Budget</v>
      </c>
      <c r="Y55" s="7">
        <f>VLOOKUP(G55, Lookup_table!B:C,2,0)</f>
        <v>1.2</v>
      </c>
      <c r="Z55" t="str">
        <f t="shared" si="3"/>
        <v>Inefficient Spend</v>
      </c>
      <c r="AA55" t="str">
        <f>VLOOKUP(H55, Lookup_table!E:F,2,0)</f>
        <v>High</v>
      </c>
    </row>
    <row r="56" spans="1:27" ht="17.5" customHeight="1" x14ac:dyDescent="0.35">
      <c r="A56" s="1" t="s">
        <v>139</v>
      </c>
      <c r="B56" s="2">
        <v>45516</v>
      </c>
      <c r="C56" s="1" t="s">
        <v>140</v>
      </c>
      <c r="D56" s="1">
        <v>61</v>
      </c>
      <c r="E56" s="1" t="s">
        <v>23</v>
      </c>
      <c r="F56" s="1" t="s">
        <v>57</v>
      </c>
      <c r="G56" s="1" t="s">
        <v>46</v>
      </c>
      <c r="H56" s="1" t="s">
        <v>36</v>
      </c>
      <c r="I56" s="1">
        <v>1379.45</v>
      </c>
      <c r="J56" s="1">
        <v>724</v>
      </c>
      <c r="K56" s="1">
        <v>229</v>
      </c>
      <c r="L56" s="1">
        <v>157</v>
      </c>
      <c r="N56" s="1">
        <v>31.629834249999998</v>
      </c>
      <c r="O56" s="1">
        <v>68.558951969999995</v>
      </c>
      <c r="P56" s="1">
        <f t="shared" si="0"/>
        <v>3</v>
      </c>
      <c r="V56" t="str">
        <f t="shared" si="1"/>
        <v>Low Performer</v>
      </c>
      <c r="W56" t="e" cm="1">
        <f t="array" aca="1" ref="W56" ca="1">_xlfn.IFS(N56&gt;=20, "High",N56&gt;=10, "Medium", N56&lt;10, "Low")</f>
        <v>#NAME?</v>
      </c>
      <c r="X56" t="str">
        <f t="shared" si="2"/>
        <v>High Budget</v>
      </c>
      <c r="Y56" s="7">
        <f>VLOOKUP(G56, Lookup_table!B:C,2,0)</f>
        <v>0.75</v>
      </c>
      <c r="Z56" t="str">
        <f t="shared" si="3"/>
        <v>Inefficient Spend</v>
      </c>
      <c r="AA56" t="str">
        <f>VLOOKUP(H56, Lookup_table!E:F,2,0)</f>
        <v>High</v>
      </c>
    </row>
    <row r="57" spans="1:27" ht="17.5" customHeight="1" x14ac:dyDescent="0.35">
      <c r="A57" s="1" t="s">
        <v>141</v>
      </c>
      <c r="B57" s="2">
        <v>45441</v>
      </c>
      <c r="C57" s="1" t="s">
        <v>142</v>
      </c>
      <c r="D57" s="1">
        <v>55</v>
      </c>
      <c r="E57" s="1" t="s">
        <v>23</v>
      </c>
      <c r="F57" s="1" t="s">
        <v>30</v>
      </c>
      <c r="G57" s="1" t="s">
        <v>61</v>
      </c>
      <c r="H57" s="1" t="s">
        <v>26</v>
      </c>
      <c r="I57" s="1">
        <v>355.66</v>
      </c>
      <c r="J57" s="1">
        <v>1683</v>
      </c>
      <c r="K57" s="1">
        <v>547</v>
      </c>
      <c r="L57" s="1">
        <v>299</v>
      </c>
      <c r="M57" s="1">
        <v>1</v>
      </c>
      <c r="N57" s="1">
        <v>32.501485440000003</v>
      </c>
      <c r="O57" s="1">
        <v>54.66179159</v>
      </c>
      <c r="P57" s="1">
        <f t="shared" si="0"/>
        <v>1</v>
      </c>
      <c r="V57" t="str">
        <f t="shared" si="1"/>
        <v>Low Performer</v>
      </c>
      <c r="W57" t="e" cm="1">
        <f t="array" aca="1" ref="W57" ca="1">_xlfn.IFS(N57&gt;=20, "High",N57&gt;=10, "Medium", N57&lt;10, "Low")</f>
        <v>#NAME?</v>
      </c>
      <c r="X57" t="str">
        <f t="shared" si="2"/>
        <v>Low Budget</v>
      </c>
      <c r="Y57" s="7">
        <f>VLOOKUP(G57, Lookup_table!B:C,2,0)</f>
        <v>0.2</v>
      </c>
      <c r="Z57" t="str">
        <f t="shared" si="3"/>
        <v>Inefficient Spend</v>
      </c>
      <c r="AA57" t="str">
        <f>VLOOKUP(H57, Lookup_table!E:F,2,0)</f>
        <v>High</v>
      </c>
    </row>
    <row r="58" spans="1:27" ht="17.5" customHeight="1" x14ac:dyDescent="0.35">
      <c r="A58" s="1" t="s">
        <v>143</v>
      </c>
      <c r="B58" s="2">
        <v>45648</v>
      </c>
      <c r="C58" s="1" t="s">
        <v>144</v>
      </c>
      <c r="D58" s="1">
        <v>35</v>
      </c>
      <c r="E58" s="1" t="s">
        <v>29</v>
      </c>
      <c r="F58" s="1" t="s">
        <v>41</v>
      </c>
      <c r="G58" s="1" t="s">
        <v>46</v>
      </c>
      <c r="H58" s="1" t="s">
        <v>36</v>
      </c>
      <c r="I58" s="1">
        <v>1233.05</v>
      </c>
      <c r="J58" s="1">
        <v>43478</v>
      </c>
      <c r="K58" s="1">
        <v>1045</v>
      </c>
      <c r="L58" s="1">
        <v>301</v>
      </c>
      <c r="M58" s="1">
        <v>2</v>
      </c>
      <c r="N58" s="1">
        <v>2.4035144210000001</v>
      </c>
      <c r="O58" s="1">
        <v>28.80382775</v>
      </c>
      <c r="P58" s="1">
        <f t="shared" si="0"/>
        <v>2</v>
      </c>
      <c r="V58" t="str">
        <f t="shared" si="1"/>
        <v>Average Performer</v>
      </c>
      <c r="W58" t="e" cm="1">
        <f t="array" aca="1" ref="W58" ca="1">_xlfn.IFS(N58&gt;=20, "High",N58&gt;=10, "Medium", N58&lt;10, "Low")</f>
        <v>#NAME?</v>
      </c>
      <c r="X58" t="str">
        <f t="shared" si="2"/>
        <v>High Budget</v>
      </c>
      <c r="Y58" s="7">
        <f>VLOOKUP(G58, Lookup_table!B:C,2,0)</f>
        <v>0.75</v>
      </c>
      <c r="Z58" t="str">
        <f t="shared" si="3"/>
        <v>Inefficient Spend</v>
      </c>
      <c r="AA58" t="str">
        <f>VLOOKUP(H58, Lookup_table!E:F,2,0)</f>
        <v>High</v>
      </c>
    </row>
    <row r="59" spans="1:27" ht="17.5" customHeight="1" x14ac:dyDescent="0.35">
      <c r="A59" s="1" t="s">
        <v>145</v>
      </c>
      <c r="B59" s="2">
        <v>45359</v>
      </c>
      <c r="C59" s="1" t="s">
        <v>138</v>
      </c>
      <c r="D59" s="1">
        <v>35</v>
      </c>
      <c r="E59" s="1" t="s">
        <v>35</v>
      </c>
      <c r="F59" s="1" t="s">
        <v>50</v>
      </c>
      <c r="G59" s="1" t="s">
        <v>61</v>
      </c>
      <c r="H59" s="1" t="s">
        <v>62</v>
      </c>
      <c r="I59" s="1">
        <v>1720.54</v>
      </c>
      <c r="J59" s="1">
        <v>15509</v>
      </c>
      <c r="K59" s="1">
        <v>1482</v>
      </c>
      <c r="L59" s="1">
        <v>356</v>
      </c>
      <c r="M59" s="1">
        <v>3</v>
      </c>
      <c r="N59" s="1">
        <v>9.5557418270000003</v>
      </c>
      <c r="O59" s="1">
        <v>24.021592439999999</v>
      </c>
      <c r="P59" s="1">
        <f t="shared" si="0"/>
        <v>3</v>
      </c>
      <c r="V59" t="str">
        <f t="shared" si="1"/>
        <v>Average Performer</v>
      </c>
      <c r="W59" t="e" cm="1">
        <f t="array" aca="1" ref="W59" ca="1">_xlfn.IFS(N59&gt;=20, "High",N59&gt;=10, "Medium", N59&lt;10, "Low")</f>
        <v>#NAME?</v>
      </c>
      <c r="X59" t="str">
        <f t="shared" si="2"/>
        <v>High Budget</v>
      </c>
      <c r="Y59" s="7">
        <f>VLOOKUP(G59, Lookup_table!B:C,2,0)</f>
        <v>0.2</v>
      </c>
      <c r="Z59" t="str">
        <f t="shared" si="3"/>
        <v>Inefficient Spend</v>
      </c>
      <c r="AA59" t="str">
        <f>VLOOKUP(H59, Lookup_table!E:F,2,0)</f>
        <v>Medium</v>
      </c>
    </row>
    <row r="60" spans="1:27" ht="17.5" customHeight="1" x14ac:dyDescent="0.35">
      <c r="A60" s="1" t="s">
        <v>146</v>
      </c>
      <c r="B60" s="2">
        <v>45511</v>
      </c>
      <c r="C60" s="1" t="s">
        <v>147</v>
      </c>
      <c r="D60" s="1">
        <v>22</v>
      </c>
      <c r="E60" s="1" t="s">
        <v>35</v>
      </c>
      <c r="F60" s="1" t="s">
        <v>24</v>
      </c>
      <c r="G60" s="1" t="s">
        <v>46</v>
      </c>
      <c r="H60" s="1" t="s">
        <v>36</v>
      </c>
      <c r="I60" s="1">
        <v>1566.16</v>
      </c>
      <c r="J60" s="1">
        <v>28529</v>
      </c>
      <c r="K60" s="1">
        <v>839</v>
      </c>
      <c r="L60" s="1">
        <v>361</v>
      </c>
      <c r="M60" s="1">
        <v>1</v>
      </c>
      <c r="N60" s="1">
        <v>2.9408671879999999</v>
      </c>
      <c r="O60" s="1">
        <v>43.027413590000002</v>
      </c>
      <c r="P60" s="1">
        <f t="shared" si="0"/>
        <v>1</v>
      </c>
      <c r="V60" t="str">
        <f t="shared" si="1"/>
        <v>Low Performer</v>
      </c>
      <c r="W60" t="e" cm="1">
        <f t="array" aca="1" ref="W60" ca="1">_xlfn.IFS(N60&gt;=20, "High",N60&gt;=10, "Medium", N60&lt;10, "Low")</f>
        <v>#NAME?</v>
      </c>
      <c r="X60" t="str">
        <f t="shared" si="2"/>
        <v>High Budget</v>
      </c>
      <c r="Y60" s="7">
        <f>VLOOKUP(G60, Lookup_table!B:C,2,0)</f>
        <v>0.75</v>
      </c>
      <c r="Z60" t="str">
        <f t="shared" si="3"/>
        <v>Inefficient Spend</v>
      </c>
      <c r="AA60" t="str">
        <f>VLOOKUP(H60, Lookup_table!E:F,2,0)</f>
        <v>High</v>
      </c>
    </row>
    <row r="61" spans="1:27" ht="17.5" customHeight="1" x14ac:dyDescent="0.35">
      <c r="A61" s="1" t="s">
        <v>148</v>
      </c>
      <c r="B61" s="2">
        <v>45311</v>
      </c>
      <c r="C61" s="1" t="s">
        <v>83</v>
      </c>
      <c r="D61" s="1">
        <v>43</v>
      </c>
      <c r="E61" s="1" t="s">
        <v>23</v>
      </c>
      <c r="F61" s="1" t="s">
        <v>45</v>
      </c>
      <c r="G61" s="1" t="s">
        <v>42</v>
      </c>
      <c r="H61" s="1" t="s">
        <v>36</v>
      </c>
      <c r="I61" s="1">
        <v>1018.6</v>
      </c>
      <c r="J61" s="1">
        <v>2989</v>
      </c>
      <c r="K61" s="1">
        <v>713</v>
      </c>
      <c r="L61" s="1">
        <v>105</v>
      </c>
      <c r="M61" s="1">
        <v>5</v>
      </c>
      <c r="N61" s="1">
        <v>23.854131819999999</v>
      </c>
      <c r="O61" s="1">
        <v>14.72650771</v>
      </c>
      <c r="P61" s="1">
        <f t="shared" si="0"/>
        <v>5</v>
      </c>
      <c r="V61" t="str">
        <f t="shared" si="1"/>
        <v>Low Performer</v>
      </c>
      <c r="W61" t="e" cm="1">
        <f t="array" aca="1" ref="W61" ca="1">_xlfn.IFS(N61&gt;=20, "High",N61&gt;=10, "Medium", N61&lt;10, "Low")</f>
        <v>#NAME?</v>
      </c>
      <c r="X61" t="str">
        <f t="shared" si="2"/>
        <v>High Budget</v>
      </c>
      <c r="Y61" s="7">
        <f>VLOOKUP(G61, Lookup_table!B:C,2,0)</f>
        <v>0.3</v>
      </c>
      <c r="Z61" t="str">
        <f t="shared" si="3"/>
        <v>Inefficient Spend</v>
      </c>
      <c r="AA61" t="str">
        <f>VLOOKUP(H61, Lookup_table!E:F,2,0)</f>
        <v>High</v>
      </c>
    </row>
    <row r="62" spans="1:27" ht="17.5" customHeight="1" x14ac:dyDescent="0.35">
      <c r="A62" s="1" t="s">
        <v>149</v>
      </c>
      <c r="B62" s="2">
        <v>45296</v>
      </c>
      <c r="C62" s="1" t="s">
        <v>150</v>
      </c>
      <c r="D62" s="1">
        <v>47</v>
      </c>
      <c r="E62" s="1" t="s">
        <v>29</v>
      </c>
      <c r="F62" s="1" t="s">
        <v>30</v>
      </c>
      <c r="G62" s="1" t="s">
        <v>61</v>
      </c>
      <c r="H62" s="1" t="s">
        <v>26</v>
      </c>
      <c r="I62" s="1">
        <v>1383.45</v>
      </c>
      <c r="J62" s="1">
        <v>38648</v>
      </c>
      <c r="K62" s="1">
        <v>2706</v>
      </c>
      <c r="L62" s="1">
        <v>393</v>
      </c>
      <c r="M62" s="1">
        <v>2</v>
      </c>
      <c r="N62" s="1">
        <v>7.001655972</v>
      </c>
      <c r="O62" s="1">
        <v>14.523281600000001</v>
      </c>
      <c r="P62" s="1">
        <f t="shared" si="0"/>
        <v>2</v>
      </c>
      <c r="V62" t="str">
        <f t="shared" si="1"/>
        <v>Average Performer</v>
      </c>
      <c r="W62" t="e" cm="1">
        <f t="array" aca="1" ref="W62" ca="1">_xlfn.IFS(N62&gt;=20, "High",N62&gt;=10, "Medium", N62&lt;10, "Low")</f>
        <v>#NAME?</v>
      </c>
      <c r="X62" t="str">
        <f t="shared" si="2"/>
        <v>High Budget</v>
      </c>
      <c r="Y62" s="7">
        <f>VLOOKUP(G62, Lookup_table!B:C,2,0)</f>
        <v>0.2</v>
      </c>
      <c r="Z62" t="str">
        <f t="shared" si="3"/>
        <v>Inefficient Spend</v>
      </c>
      <c r="AA62" t="str">
        <f>VLOOKUP(H62, Lookup_table!E:F,2,0)</f>
        <v>High</v>
      </c>
    </row>
    <row r="63" spans="1:27" ht="17.5" customHeight="1" x14ac:dyDescent="0.35">
      <c r="A63" s="1" t="s">
        <v>151</v>
      </c>
      <c r="B63" s="2">
        <v>45567</v>
      </c>
      <c r="C63" s="1" t="s">
        <v>152</v>
      </c>
      <c r="D63" s="1">
        <v>29</v>
      </c>
      <c r="E63" s="1" t="s">
        <v>23</v>
      </c>
      <c r="F63" s="1" t="s">
        <v>57</v>
      </c>
      <c r="G63" s="1" t="s">
        <v>25</v>
      </c>
      <c r="H63" s="1" t="s">
        <v>26</v>
      </c>
      <c r="I63" s="1">
        <v>1772.21</v>
      </c>
      <c r="J63" s="1">
        <v>38917</v>
      </c>
      <c r="K63" s="1">
        <v>4997</v>
      </c>
      <c r="L63" s="1">
        <v>57</v>
      </c>
      <c r="M63" s="1">
        <v>1</v>
      </c>
      <c r="N63" s="1">
        <v>12.84014698</v>
      </c>
      <c r="O63" s="1">
        <v>1.1406844110000001</v>
      </c>
      <c r="P63" s="1">
        <f t="shared" si="0"/>
        <v>1</v>
      </c>
      <c r="V63" t="str">
        <f t="shared" si="1"/>
        <v>Low Performer</v>
      </c>
      <c r="W63" t="e" cm="1">
        <f t="array" aca="1" ref="W63" ca="1">_xlfn.IFS(N63&gt;=20, "High",N63&gt;=10, "Medium", N63&lt;10, "Low")</f>
        <v>#NAME?</v>
      </c>
      <c r="X63" t="str">
        <f t="shared" si="2"/>
        <v>High Budget</v>
      </c>
      <c r="Y63" s="7">
        <f>VLOOKUP(G63, Lookup_table!B:C,2,0)</f>
        <v>0.5</v>
      </c>
      <c r="Z63" t="str">
        <f t="shared" si="3"/>
        <v>Efficient Spend</v>
      </c>
      <c r="AA63" t="str">
        <f>VLOOKUP(H63, Lookup_table!E:F,2,0)</f>
        <v>High</v>
      </c>
    </row>
    <row r="64" spans="1:27" ht="17.5" customHeight="1" x14ac:dyDescent="0.35">
      <c r="A64" s="1" t="s">
        <v>153</v>
      </c>
      <c r="B64" s="2">
        <v>45325</v>
      </c>
      <c r="C64" s="1" t="s">
        <v>136</v>
      </c>
      <c r="D64" s="1">
        <v>55</v>
      </c>
      <c r="E64" s="1" t="s">
        <v>35</v>
      </c>
      <c r="F64" s="1" t="s">
        <v>30</v>
      </c>
      <c r="G64" s="1" t="s">
        <v>61</v>
      </c>
      <c r="H64" s="1" t="s">
        <v>32</v>
      </c>
      <c r="I64" s="1">
        <v>1493.49</v>
      </c>
      <c r="J64" s="1">
        <v>624</v>
      </c>
      <c r="K64" s="1">
        <v>2762</v>
      </c>
      <c r="L64" s="1">
        <v>119</v>
      </c>
      <c r="M64" s="1">
        <v>4</v>
      </c>
      <c r="N64" s="1">
        <v>442.6282051</v>
      </c>
      <c r="O64" s="1">
        <v>4.3084721220000004</v>
      </c>
      <c r="P64" s="1">
        <f t="shared" si="0"/>
        <v>4</v>
      </c>
      <c r="U64" s="1">
        <f>COUNTIF(N60:N1000, N64&gt;100)</f>
        <v>0</v>
      </c>
      <c r="V64" t="str">
        <f t="shared" si="1"/>
        <v>Average Performer</v>
      </c>
      <c r="W64" t="e" cm="1">
        <f t="array" aca="1" ref="W64" ca="1">_xlfn.IFS(N64&gt;=20, "High",N64&gt;=10, "Medium", N64&lt;10, "Low")</f>
        <v>#NAME?</v>
      </c>
      <c r="X64" t="str">
        <f t="shared" si="2"/>
        <v>High Budget</v>
      </c>
      <c r="Y64" s="7">
        <f>VLOOKUP(G64, Lookup_table!B:C,2,0)</f>
        <v>0.2</v>
      </c>
      <c r="Z64" t="str">
        <f t="shared" si="3"/>
        <v>Inefficient Spend</v>
      </c>
      <c r="AA64" t="str">
        <f>VLOOKUP(H64, Lookup_table!E:F,2,0)</f>
        <v>Medium</v>
      </c>
    </row>
    <row r="65" spans="1:27" ht="17.5" customHeight="1" x14ac:dyDescent="0.35">
      <c r="A65" s="1" t="s">
        <v>154</v>
      </c>
      <c r="B65" s="2">
        <v>45415</v>
      </c>
      <c r="C65" s="1" t="s">
        <v>155</v>
      </c>
      <c r="D65" s="1">
        <v>49</v>
      </c>
      <c r="E65" s="1" t="s">
        <v>29</v>
      </c>
      <c r="F65" s="1" t="s">
        <v>45</v>
      </c>
      <c r="G65" s="1" t="s">
        <v>46</v>
      </c>
      <c r="H65" s="1" t="s">
        <v>32</v>
      </c>
      <c r="I65" s="1">
        <v>1154.26</v>
      </c>
      <c r="J65" s="1">
        <v>1058</v>
      </c>
      <c r="K65" s="1">
        <v>2216</v>
      </c>
      <c r="L65" s="1">
        <v>260</v>
      </c>
      <c r="N65" s="1">
        <v>209.45179580000001</v>
      </c>
      <c r="O65" s="1">
        <v>11.73285199</v>
      </c>
      <c r="P65" s="1">
        <f t="shared" si="0"/>
        <v>3</v>
      </c>
      <c r="U65" s="1">
        <f>COUNTIF(N61:N1001, N65&gt;100)</f>
        <v>0</v>
      </c>
      <c r="V65" t="str">
        <f t="shared" si="1"/>
        <v>Average Performer</v>
      </c>
      <c r="W65" t="e" cm="1">
        <f t="array" aca="1" ref="W65" ca="1">_xlfn.IFS(N65&gt;=20, "High",N65&gt;=10, "Medium", N65&lt;10, "Low")</f>
        <v>#NAME?</v>
      </c>
      <c r="X65" t="str">
        <f t="shared" si="2"/>
        <v>High Budget</v>
      </c>
      <c r="Y65" s="7">
        <f>VLOOKUP(G65, Lookup_table!B:C,2,0)</f>
        <v>0.75</v>
      </c>
      <c r="Z65" t="str">
        <f t="shared" si="3"/>
        <v>Efficient Spend</v>
      </c>
      <c r="AA65" t="str">
        <f>VLOOKUP(H65, Lookup_table!E:F,2,0)</f>
        <v>Medium</v>
      </c>
    </row>
    <row r="66" spans="1:27" ht="17.5" customHeight="1" x14ac:dyDescent="0.35">
      <c r="A66" s="1" t="s">
        <v>156</v>
      </c>
      <c r="B66" s="2">
        <v>45578</v>
      </c>
      <c r="C66" s="1" t="s">
        <v>157</v>
      </c>
      <c r="D66" s="1">
        <v>21</v>
      </c>
      <c r="E66" s="1" t="s">
        <v>35</v>
      </c>
      <c r="F66" s="1" t="s">
        <v>50</v>
      </c>
      <c r="G66" s="1" t="s">
        <v>25</v>
      </c>
      <c r="H66" s="1" t="s">
        <v>62</v>
      </c>
      <c r="I66" s="1">
        <v>1956.26</v>
      </c>
      <c r="J66" s="1">
        <v>37867</v>
      </c>
      <c r="K66" s="1">
        <v>3402</v>
      </c>
      <c r="L66" s="1">
        <v>382</v>
      </c>
      <c r="M66" s="1">
        <v>5</v>
      </c>
      <c r="N66" s="1">
        <v>8.9840758439999995</v>
      </c>
      <c r="O66" s="1">
        <v>11.22868901</v>
      </c>
      <c r="P66" s="1">
        <f t="shared" si="0"/>
        <v>5</v>
      </c>
      <c r="V66" t="str">
        <f t="shared" ref="V66:V129" si="5">IF(AND(L66&gt;200,K66&gt;3000),"Top Performer", IF(AND(L66&gt;=100,K66&gt;=1000),"Average Performer","Low Performer"))</f>
        <v>Top Performer</v>
      </c>
      <c r="W66" t="e" cm="1">
        <f t="array" aca="1" ref="W66" ca="1">_xlfn.IFS(N66&gt;=20, "High",N66&gt;=10, "Medium", N66&lt;10, "Low")</f>
        <v>#NAME?</v>
      </c>
      <c r="X66" t="str">
        <f t="shared" ref="X66:X129" si="6">IF(I66&gt;1000, "High Budget",IF(I66&gt;=500, "Medium Budget", "Low Budget"))</f>
        <v>High Budget</v>
      </c>
      <c r="Y66" s="7">
        <f>VLOOKUP(G66, Lookup_table!B:C,2,0)</f>
        <v>0.5</v>
      </c>
      <c r="Z66" t="str">
        <f t="shared" ref="Z66:Z129" si="7">IF(I66/K66&lt;Y66, "Efficient Spend", "Inefficient Spend")</f>
        <v>Inefficient Spend</v>
      </c>
      <c r="AA66" t="str">
        <f>VLOOKUP(H66, Lookup_table!E:F,2,0)</f>
        <v>Medium</v>
      </c>
    </row>
    <row r="67" spans="1:27" ht="17.5" customHeight="1" x14ac:dyDescent="0.35">
      <c r="A67" s="1" t="s">
        <v>158</v>
      </c>
      <c r="B67" s="2">
        <v>45477</v>
      </c>
      <c r="C67" s="1" t="s">
        <v>64</v>
      </c>
      <c r="D67" s="1">
        <v>48</v>
      </c>
      <c r="E67" s="1" t="s">
        <v>23</v>
      </c>
      <c r="F67" s="1" t="s">
        <v>30</v>
      </c>
      <c r="G67" s="1" t="s">
        <v>42</v>
      </c>
      <c r="H67" s="1" t="s">
        <v>26</v>
      </c>
      <c r="I67" s="1">
        <v>168.77</v>
      </c>
      <c r="J67" s="1">
        <v>27081</v>
      </c>
      <c r="K67" s="1">
        <v>2077</v>
      </c>
      <c r="L67" s="1">
        <v>32</v>
      </c>
      <c r="N67" s="1">
        <v>7.6695838409999997</v>
      </c>
      <c r="O67" s="1">
        <v>1.5406836779999999</v>
      </c>
      <c r="P67" s="1">
        <f t="shared" si="0"/>
        <v>3</v>
      </c>
      <c r="V67" t="str">
        <f t="shared" si="5"/>
        <v>Low Performer</v>
      </c>
      <c r="W67" t="e" cm="1">
        <f t="array" aca="1" ref="W67" ca="1">_xlfn.IFS(N67&gt;=20, "High",N67&gt;=10, "Medium", N67&lt;10, "Low")</f>
        <v>#NAME?</v>
      </c>
      <c r="X67" t="str">
        <f t="shared" si="6"/>
        <v>Low Budget</v>
      </c>
      <c r="Y67" s="7">
        <f>VLOOKUP(G67, Lookup_table!B:C,2,0)</f>
        <v>0.3</v>
      </c>
      <c r="Z67" t="str">
        <f t="shared" si="7"/>
        <v>Efficient Spend</v>
      </c>
      <c r="AA67" t="str">
        <f>VLOOKUP(H67, Lookup_table!E:F,2,0)</f>
        <v>High</v>
      </c>
    </row>
    <row r="68" spans="1:27" ht="17.5" customHeight="1" x14ac:dyDescent="0.35">
      <c r="A68" s="1" t="s">
        <v>159</v>
      </c>
      <c r="B68" s="2">
        <v>45521</v>
      </c>
      <c r="C68" s="1" t="s">
        <v>160</v>
      </c>
      <c r="D68" s="1">
        <v>31</v>
      </c>
      <c r="E68" s="1" t="s">
        <v>23</v>
      </c>
      <c r="F68" s="1" t="s">
        <v>41</v>
      </c>
      <c r="G68" s="1" t="s">
        <v>42</v>
      </c>
      <c r="H68" s="1" t="s">
        <v>62</v>
      </c>
      <c r="I68" s="1">
        <v>661.87</v>
      </c>
      <c r="J68" s="1">
        <v>11233</v>
      </c>
      <c r="K68" s="1">
        <v>824</v>
      </c>
      <c r="L68" s="1">
        <v>10</v>
      </c>
      <c r="M68" s="1">
        <v>2</v>
      </c>
      <c r="N68" s="1">
        <v>7.3355292439999999</v>
      </c>
      <c r="O68" s="1">
        <v>1.213592233</v>
      </c>
      <c r="P68" s="1">
        <f t="shared" si="0"/>
        <v>2</v>
      </c>
      <c r="V68" t="str">
        <f t="shared" si="5"/>
        <v>Low Performer</v>
      </c>
      <c r="W68" t="e" cm="1">
        <f t="array" aca="1" ref="W68" ca="1">_xlfn.IFS(N68&gt;=20, "High",N68&gt;=10, "Medium", N68&lt;10, "Low")</f>
        <v>#NAME?</v>
      </c>
      <c r="X68" t="str">
        <f t="shared" si="6"/>
        <v>Medium Budget</v>
      </c>
      <c r="Y68" s="7">
        <f>VLOOKUP(G68, Lookup_table!B:C,2,0)</f>
        <v>0.3</v>
      </c>
      <c r="Z68" t="str">
        <f t="shared" si="7"/>
        <v>Inefficient Spend</v>
      </c>
      <c r="AA68" t="str">
        <f>VLOOKUP(H68, Lookup_table!E:F,2,0)</f>
        <v>Medium</v>
      </c>
    </row>
    <row r="69" spans="1:27" ht="17.5" customHeight="1" x14ac:dyDescent="0.35">
      <c r="A69" s="1" t="s">
        <v>161</v>
      </c>
      <c r="B69" s="2">
        <v>45621</v>
      </c>
      <c r="C69" s="1" t="s">
        <v>162</v>
      </c>
      <c r="D69" s="1">
        <v>23</v>
      </c>
      <c r="E69" s="1" t="s">
        <v>35</v>
      </c>
      <c r="F69" s="1" t="s">
        <v>57</v>
      </c>
      <c r="G69" s="1" t="s">
        <v>25</v>
      </c>
      <c r="H69" s="1" t="s">
        <v>62</v>
      </c>
      <c r="I69" s="1">
        <v>1911.99</v>
      </c>
      <c r="J69" s="1">
        <v>25029</v>
      </c>
      <c r="K69" s="1">
        <v>4641</v>
      </c>
      <c r="L69" s="1">
        <v>169</v>
      </c>
      <c r="M69" s="1">
        <v>3</v>
      </c>
      <c r="N69" s="1">
        <v>18.542490709999999</v>
      </c>
      <c r="O69" s="1">
        <v>3.6414565830000001</v>
      </c>
      <c r="P69" s="1">
        <f t="shared" si="0"/>
        <v>3</v>
      </c>
      <c r="V69" t="str">
        <f t="shared" si="5"/>
        <v>Average Performer</v>
      </c>
      <c r="W69" t="e" cm="1">
        <f t="array" aca="1" ref="W69" ca="1">_xlfn.IFS(N69&gt;=20, "High",N69&gt;=10, "Medium", N69&lt;10, "Low")</f>
        <v>#NAME?</v>
      </c>
      <c r="X69" t="str">
        <f t="shared" si="6"/>
        <v>High Budget</v>
      </c>
      <c r="Y69" s="7">
        <f>VLOOKUP(G69, Lookup_table!B:C,2,0)</f>
        <v>0.5</v>
      </c>
      <c r="Z69" t="str">
        <f t="shared" si="7"/>
        <v>Efficient Spend</v>
      </c>
      <c r="AA69" t="str">
        <f>VLOOKUP(H69, Lookup_table!E:F,2,0)</f>
        <v>Medium</v>
      </c>
    </row>
    <row r="70" spans="1:27" ht="17.5" customHeight="1" x14ac:dyDescent="0.35">
      <c r="A70" s="1" t="s">
        <v>163</v>
      </c>
      <c r="B70" s="2">
        <v>45422</v>
      </c>
      <c r="C70" s="1" t="s">
        <v>81</v>
      </c>
      <c r="D70" s="1">
        <v>57</v>
      </c>
      <c r="E70" s="1" t="s">
        <v>23</v>
      </c>
      <c r="F70" s="1" t="s">
        <v>24</v>
      </c>
      <c r="G70" s="1" t="s">
        <v>46</v>
      </c>
      <c r="H70" s="1" t="s">
        <v>36</v>
      </c>
      <c r="I70" s="1">
        <v>110.41</v>
      </c>
      <c r="J70" s="1">
        <v>5090</v>
      </c>
      <c r="K70" s="1">
        <v>3051</v>
      </c>
      <c r="L70" s="1">
        <v>27</v>
      </c>
      <c r="M70" s="1">
        <v>5</v>
      </c>
      <c r="N70" s="1">
        <v>59.941060899999997</v>
      </c>
      <c r="O70" s="1">
        <v>0.88495575199999998</v>
      </c>
      <c r="P70" s="1">
        <f t="shared" si="0"/>
        <v>5</v>
      </c>
      <c r="V70" t="str">
        <f t="shared" si="5"/>
        <v>Low Performer</v>
      </c>
      <c r="W70" t="e" cm="1">
        <f t="array" aca="1" ref="W70" ca="1">_xlfn.IFS(N70&gt;=20, "High",N70&gt;=10, "Medium", N70&lt;10, "Low")</f>
        <v>#NAME?</v>
      </c>
      <c r="X70" t="str">
        <f t="shared" si="6"/>
        <v>Low Budget</v>
      </c>
      <c r="Y70" s="7">
        <f>VLOOKUP(G70, Lookup_table!B:C,2,0)</f>
        <v>0.75</v>
      </c>
      <c r="Z70" t="str">
        <f t="shared" si="7"/>
        <v>Efficient Spend</v>
      </c>
      <c r="AA70" t="str">
        <f>VLOOKUP(H70, Lookup_table!E:F,2,0)</f>
        <v>High</v>
      </c>
    </row>
    <row r="71" spans="1:27" ht="17.5" customHeight="1" x14ac:dyDescent="0.35">
      <c r="A71" s="1" t="s">
        <v>164</v>
      </c>
      <c r="B71" s="2">
        <v>45375</v>
      </c>
      <c r="C71" s="1" t="s">
        <v>160</v>
      </c>
      <c r="D71" s="1">
        <v>18</v>
      </c>
      <c r="E71" s="1" t="s">
        <v>29</v>
      </c>
      <c r="F71" s="1" t="s">
        <v>24</v>
      </c>
      <c r="G71" s="1" t="s">
        <v>31</v>
      </c>
      <c r="H71" s="1" t="s">
        <v>36</v>
      </c>
      <c r="I71" s="1">
        <v>1409.27</v>
      </c>
      <c r="J71" s="1">
        <v>37239</v>
      </c>
      <c r="K71" s="1">
        <v>2554</v>
      </c>
      <c r="L71" s="1">
        <v>347</v>
      </c>
      <c r="N71" s="1">
        <v>6.8584011389999997</v>
      </c>
      <c r="O71" s="1">
        <v>13.58653093</v>
      </c>
      <c r="P71" s="1">
        <f t="shared" si="0"/>
        <v>3</v>
      </c>
      <c r="V71" t="str">
        <f t="shared" si="5"/>
        <v>Average Performer</v>
      </c>
      <c r="W71" t="e" cm="1">
        <f t="array" aca="1" ref="W71" ca="1">_xlfn.IFS(N71&gt;=20, "High",N71&gt;=10, "Medium", N71&lt;10, "Low")</f>
        <v>#NAME?</v>
      </c>
      <c r="X71" t="str">
        <f t="shared" si="6"/>
        <v>High Budget</v>
      </c>
      <c r="Y71" s="7">
        <f>VLOOKUP(G71, Lookup_table!B:C,2,0)</f>
        <v>1.2</v>
      </c>
      <c r="Z71" t="str">
        <f t="shared" si="7"/>
        <v>Efficient Spend</v>
      </c>
      <c r="AA71" t="str">
        <f>VLOOKUP(H71, Lookup_table!E:F,2,0)</f>
        <v>High</v>
      </c>
    </row>
    <row r="72" spans="1:27" ht="17.5" customHeight="1" x14ac:dyDescent="0.35">
      <c r="A72" s="1" t="s">
        <v>165</v>
      </c>
      <c r="B72" s="2">
        <v>45313</v>
      </c>
      <c r="C72" s="1" t="s">
        <v>166</v>
      </c>
      <c r="D72" s="1">
        <v>60</v>
      </c>
      <c r="E72" s="1" t="s">
        <v>23</v>
      </c>
      <c r="F72" s="1" t="s">
        <v>57</v>
      </c>
      <c r="G72" s="1" t="s">
        <v>46</v>
      </c>
      <c r="H72" s="1" t="s">
        <v>32</v>
      </c>
      <c r="I72" s="1">
        <v>1082.1300000000001</v>
      </c>
      <c r="J72" s="1">
        <v>13277</v>
      </c>
      <c r="K72" s="1">
        <v>4785</v>
      </c>
      <c r="L72" s="1">
        <v>252</v>
      </c>
      <c r="M72" s="1">
        <v>1</v>
      </c>
      <c r="N72" s="1">
        <v>36.039768019999997</v>
      </c>
      <c r="O72" s="1">
        <v>5.2664576800000003</v>
      </c>
      <c r="P72" s="1">
        <f t="shared" si="0"/>
        <v>1</v>
      </c>
      <c r="V72" t="str">
        <f t="shared" si="5"/>
        <v>Top Performer</v>
      </c>
      <c r="W72" t="e" cm="1">
        <f t="array" aca="1" ref="W72" ca="1">_xlfn.IFS(N72&gt;=20, "High",N72&gt;=10, "Medium", N72&lt;10, "Low")</f>
        <v>#NAME?</v>
      </c>
      <c r="X72" t="str">
        <f t="shared" si="6"/>
        <v>High Budget</v>
      </c>
      <c r="Y72" s="7">
        <f>VLOOKUP(G72, Lookup_table!B:C,2,0)</f>
        <v>0.75</v>
      </c>
      <c r="Z72" t="str">
        <f t="shared" si="7"/>
        <v>Efficient Spend</v>
      </c>
      <c r="AA72" t="str">
        <f>VLOOKUP(H72, Lookup_table!E:F,2,0)</f>
        <v>Medium</v>
      </c>
    </row>
    <row r="73" spans="1:27" ht="17.5" customHeight="1" x14ac:dyDescent="0.35">
      <c r="A73" s="1" t="s">
        <v>167</v>
      </c>
      <c r="B73" s="2">
        <v>45411</v>
      </c>
      <c r="C73" s="1" t="s">
        <v>92</v>
      </c>
      <c r="D73" s="1">
        <v>62</v>
      </c>
      <c r="E73" s="1" t="s">
        <v>29</v>
      </c>
      <c r="F73" s="1" t="s">
        <v>50</v>
      </c>
      <c r="G73" s="1" t="s">
        <v>61</v>
      </c>
      <c r="H73" s="1" t="s">
        <v>62</v>
      </c>
      <c r="I73" s="1">
        <v>1211.99</v>
      </c>
      <c r="J73" s="1">
        <v>42354</v>
      </c>
      <c r="K73" s="1">
        <v>2551</v>
      </c>
      <c r="L73" s="1">
        <v>8</v>
      </c>
      <c r="N73" s="1">
        <v>6.0230438680000002</v>
      </c>
      <c r="O73" s="1">
        <v>0.31360250899999997</v>
      </c>
      <c r="P73" s="1">
        <f t="shared" si="0"/>
        <v>3</v>
      </c>
      <c r="V73" t="str">
        <f t="shared" si="5"/>
        <v>Low Performer</v>
      </c>
      <c r="W73" t="e" cm="1">
        <f t="array" aca="1" ref="W73" ca="1">_xlfn.IFS(N73&gt;=20, "High",N73&gt;=10, "Medium", N73&lt;10, "Low")</f>
        <v>#NAME?</v>
      </c>
      <c r="X73" t="str">
        <f t="shared" si="6"/>
        <v>High Budget</v>
      </c>
      <c r="Y73" s="7">
        <f>VLOOKUP(G73, Lookup_table!B:C,2,0)</f>
        <v>0.2</v>
      </c>
      <c r="Z73" t="str">
        <f t="shared" si="7"/>
        <v>Inefficient Spend</v>
      </c>
      <c r="AA73" t="str">
        <f>VLOOKUP(H73, Lookup_table!E:F,2,0)</f>
        <v>Medium</v>
      </c>
    </row>
    <row r="74" spans="1:27" ht="17.5" customHeight="1" x14ac:dyDescent="0.35">
      <c r="A74" s="1" t="s">
        <v>168</v>
      </c>
      <c r="B74" s="2">
        <v>45359</v>
      </c>
      <c r="C74" s="1" t="s">
        <v>109</v>
      </c>
      <c r="D74" s="1">
        <v>33</v>
      </c>
      <c r="E74" s="1" t="s">
        <v>23</v>
      </c>
      <c r="F74" s="1" t="s">
        <v>57</v>
      </c>
      <c r="G74" s="1" t="s">
        <v>25</v>
      </c>
      <c r="H74" s="1" t="s">
        <v>26</v>
      </c>
      <c r="I74" s="1">
        <v>191.91</v>
      </c>
      <c r="J74" s="1">
        <v>7346</v>
      </c>
      <c r="K74" s="1">
        <v>3172</v>
      </c>
      <c r="L74" s="1">
        <v>137</v>
      </c>
      <c r="M74" s="1">
        <v>5</v>
      </c>
      <c r="N74" s="1">
        <v>43.17996188</v>
      </c>
      <c r="O74" s="1">
        <v>4.3190416139999996</v>
      </c>
      <c r="P74" s="1">
        <f t="shared" si="0"/>
        <v>5</v>
      </c>
      <c r="V74" t="str">
        <f t="shared" si="5"/>
        <v>Average Performer</v>
      </c>
      <c r="W74" t="e" cm="1">
        <f t="array" aca="1" ref="W74" ca="1">_xlfn.IFS(N74&gt;=20, "High",N74&gt;=10, "Medium", N74&lt;10, "Low")</f>
        <v>#NAME?</v>
      </c>
      <c r="X74" t="str">
        <f t="shared" si="6"/>
        <v>Low Budget</v>
      </c>
      <c r="Y74" s="7">
        <f>VLOOKUP(G74, Lookup_table!B:C,2,0)</f>
        <v>0.5</v>
      </c>
      <c r="Z74" t="str">
        <f t="shared" si="7"/>
        <v>Efficient Spend</v>
      </c>
      <c r="AA74" t="str">
        <f>VLOOKUP(H74, Lookup_table!E:F,2,0)</f>
        <v>High</v>
      </c>
    </row>
    <row r="75" spans="1:27" ht="17.5" customHeight="1" x14ac:dyDescent="0.35">
      <c r="A75" s="1" t="s">
        <v>169</v>
      </c>
      <c r="B75" s="2">
        <v>45495</v>
      </c>
      <c r="C75" s="1" t="s">
        <v>170</v>
      </c>
      <c r="D75" s="9">
        <v>41</v>
      </c>
      <c r="E75" s="1" t="s">
        <v>35</v>
      </c>
      <c r="G75" s="1" t="s">
        <v>46</v>
      </c>
      <c r="H75" s="1" t="s">
        <v>32</v>
      </c>
      <c r="I75" s="1">
        <v>65.67</v>
      </c>
      <c r="J75" s="1">
        <v>4948</v>
      </c>
      <c r="K75" s="1">
        <v>524</v>
      </c>
      <c r="L75" s="1">
        <v>10</v>
      </c>
      <c r="N75" s="1">
        <v>10.59013743</v>
      </c>
      <c r="O75" s="1">
        <v>1.908396947</v>
      </c>
      <c r="P75" s="1">
        <f t="shared" si="0"/>
        <v>3</v>
      </c>
      <c r="V75" t="str">
        <f t="shared" si="5"/>
        <v>Low Performer</v>
      </c>
      <c r="W75" t="e" cm="1">
        <f t="array" aca="1" ref="W75" ca="1">_xlfn.IFS(N75&gt;=20, "High",N75&gt;=10, "Medium", N75&lt;10, "Low")</f>
        <v>#NAME?</v>
      </c>
      <c r="X75" t="str">
        <f t="shared" si="6"/>
        <v>Low Budget</v>
      </c>
      <c r="Y75" s="7">
        <f>VLOOKUP(G75, Lookup_table!B:C,2,0)</f>
        <v>0.75</v>
      </c>
      <c r="Z75" t="str">
        <f t="shared" si="7"/>
        <v>Efficient Spend</v>
      </c>
      <c r="AA75" t="str">
        <f>VLOOKUP(H75, Lookup_table!E:F,2,0)</f>
        <v>Medium</v>
      </c>
    </row>
    <row r="76" spans="1:27" ht="17.5" customHeight="1" x14ac:dyDescent="0.35">
      <c r="A76" s="1" t="s">
        <v>171</v>
      </c>
      <c r="B76" s="2">
        <v>45339</v>
      </c>
      <c r="C76" s="1" t="s">
        <v>157</v>
      </c>
      <c r="D76" s="1">
        <v>62</v>
      </c>
      <c r="E76" s="1" t="s">
        <v>23</v>
      </c>
      <c r="F76" s="1" t="s">
        <v>57</v>
      </c>
      <c r="G76" s="1" t="s">
        <v>61</v>
      </c>
      <c r="H76" s="1" t="s">
        <v>62</v>
      </c>
      <c r="I76" s="1">
        <v>676.43</v>
      </c>
      <c r="J76" s="1">
        <v>14970</v>
      </c>
      <c r="K76" s="1">
        <v>1249</v>
      </c>
      <c r="L76" s="1">
        <v>22</v>
      </c>
      <c r="M76" s="1">
        <v>5</v>
      </c>
      <c r="N76" s="1">
        <v>8.3433533729999994</v>
      </c>
      <c r="O76" s="1">
        <v>1.7614091270000001</v>
      </c>
      <c r="P76" s="1">
        <f t="shared" si="0"/>
        <v>5</v>
      </c>
      <c r="V76" t="str">
        <f t="shared" si="5"/>
        <v>Low Performer</v>
      </c>
      <c r="W76" t="e" cm="1">
        <f t="array" aca="1" ref="W76" ca="1">_xlfn.IFS(N76&gt;=20, "High",N76&gt;=10, "Medium", N76&lt;10, "Low")</f>
        <v>#NAME?</v>
      </c>
      <c r="X76" t="str">
        <f t="shared" si="6"/>
        <v>Medium Budget</v>
      </c>
      <c r="Y76" s="7">
        <f>VLOOKUP(G76, Lookup_table!B:C,2,0)</f>
        <v>0.2</v>
      </c>
      <c r="Z76" t="str">
        <f t="shared" si="7"/>
        <v>Inefficient Spend</v>
      </c>
      <c r="AA76" t="str">
        <f>VLOOKUP(H76, Lookup_table!E:F,2,0)</f>
        <v>Medium</v>
      </c>
    </row>
    <row r="77" spans="1:27" ht="17.5" customHeight="1" x14ac:dyDescent="0.35">
      <c r="A77" s="1" t="s">
        <v>172</v>
      </c>
      <c r="B77" s="2">
        <v>45564</v>
      </c>
      <c r="C77" s="1" t="s">
        <v>52</v>
      </c>
      <c r="D77" s="1">
        <v>31</v>
      </c>
      <c r="E77" s="1" t="s">
        <v>29</v>
      </c>
      <c r="F77" s="1" t="s">
        <v>30</v>
      </c>
      <c r="G77" s="1" t="s">
        <v>61</v>
      </c>
      <c r="H77" s="1" t="s">
        <v>32</v>
      </c>
      <c r="I77" s="1">
        <v>830.1</v>
      </c>
      <c r="J77" s="1">
        <v>19575</v>
      </c>
      <c r="K77" s="1">
        <v>1786</v>
      </c>
      <c r="L77" s="1">
        <v>265</v>
      </c>
      <c r="M77" s="1">
        <v>4</v>
      </c>
      <c r="N77" s="1">
        <v>9.1238825030000008</v>
      </c>
      <c r="O77" s="1">
        <v>14.83762598</v>
      </c>
      <c r="P77" s="1">
        <f t="shared" si="0"/>
        <v>4</v>
      </c>
      <c r="V77" t="str">
        <f t="shared" si="5"/>
        <v>Average Performer</v>
      </c>
      <c r="W77" t="e" cm="1">
        <f t="array" aca="1" ref="W77" ca="1">_xlfn.IFS(N77&gt;=20, "High",N77&gt;=10, "Medium", N77&lt;10, "Low")</f>
        <v>#NAME?</v>
      </c>
      <c r="X77" t="str">
        <f t="shared" si="6"/>
        <v>Medium Budget</v>
      </c>
      <c r="Y77" s="7">
        <f>VLOOKUP(G77, Lookup_table!B:C,2,0)</f>
        <v>0.2</v>
      </c>
      <c r="Z77" t="str">
        <f t="shared" si="7"/>
        <v>Inefficient Spend</v>
      </c>
      <c r="AA77" t="str">
        <f>VLOOKUP(H77, Lookup_table!E:F,2,0)</f>
        <v>Medium</v>
      </c>
    </row>
    <row r="78" spans="1:27" ht="17.5" customHeight="1" x14ac:dyDescent="0.35">
      <c r="A78" s="1" t="s">
        <v>173</v>
      </c>
      <c r="B78" s="2">
        <v>45304</v>
      </c>
      <c r="C78" s="1" t="s">
        <v>22</v>
      </c>
      <c r="D78" s="1">
        <v>50</v>
      </c>
      <c r="E78" s="1" t="s">
        <v>29</v>
      </c>
      <c r="F78" s="1" t="s">
        <v>57</v>
      </c>
      <c r="G78" s="1" t="s">
        <v>46</v>
      </c>
      <c r="H78" s="1" t="s">
        <v>26</v>
      </c>
      <c r="I78" s="1">
        <v>1279.9100000000001</v>
      </c>
      <c r="J78" s="1">
        <v>22927</v>
      </c>
      <c r="K78" s="1">
        <v>4900</v>
      </c>
      <c r="L78" s="1">
        <v>375</v>
      </c>
      <c r="M78" s="1">
        <v>5</v>
      </c>
      <c r="N78" s="1">
        <v>21.372181269999999</v>
      </c>
      <c r="O78" s="1">
        <v>7.653061224</v>
      </c>
      <c r="P78" s="1">
        <f t="shared" si="0"/>
        <v>5</v>
      </c>
      <c r="V78" t="str">
        <f t="shared" si="5"/>
        <v>Top Performer</v>
      </c>
      <c r="W78" t="e" cm="1">
        <f t="array" aca="1" ref="W78" ca="1">_xlfn.IFS(N78&gt;=20, "High",N78&gt;=10, "Medium", N78&lt;10, "Low")</f>
        <v>#NAME?</v>
      </c>
      <c r="X78" t="str">
        <f t="shared" si="6"/>
        <v>High Budget</v>
      </c>
      <c r="Y78" s="7">
        <f>VLOOKUP(G78, Lookup_table!B:C,2,0)</f>
        <v>0.75</v>
      </c>
      <c r="Z78" t="str">
        <f t="shared" si="7"/>
        <v>Efficient Spend</v>
      </c>
      <c r="AA78" t="str">
        <f>VLOOKUP(H78, Lookup_table!E:F,2,0)</f>
        <v>High</v>
      </c>
    </row>
    <row r="79" spans="1:27" ht="17.5" customHeight="1" x14ac:dyDescent="0.35">
      <c r="A79" s="1" t="s">
        <v>174</v>
      </c>
      <c r="B79" s="2">
        <v>45641</v>
      </c>
      <c r="C79" s="1" t="s">
        <v>175</v>
      </c>
      <c r="D79" s="1">
        <v>50</v>
      </c>
      <c r="E79" s="1" t="s">
        <v>35</v>
      </c>
      <c r="F79" s="1" t="s">
        <v>57</v>
      </c>
      <c r="G79" s="1" t="s">
        <v>46</v>
      </c>
      <c r="H79" s="1" t="s">
        <v>26</v>
      </c>
      <c r="I79" s="1">
        <v>1108.8599999999999</v>
      </c>
      <c r="J79" s="1">
        <v>35586</v>
      </c>
      <c r="K79" s="1">
        <v>3331</v>
      </c>
      <c r="L79" s="1">
        <v>170</v>
      </c>
      <c r="M79" s="1">
        <v>2</v>
      </c>
      <c r="N79" s="1">
        <v>9.3604226379999993</v>
      </c>
      <c r="O79" s="1">
        <v>5.1035725010000004</v>
      </c>
      <c r="P79" s="1">
        <f t="shared" si="0"/>
        <v>2</v>
      </c>
      <c r="V79" t="str">
        <f t="shared" si="5"/>
        <v>Average Performer</v>
      </c>
      <c r="W79" t="e" cm="1">
        <f t="array" aca="1" ref="W79" ca="1">_xlfn.IFS(N79&gt;=20, "High",N79&gt;=10, "Medium", N79&lt;10, "Low")</f>
        <v>#NAME?</v>
      </c>
      <c r="X79" t="str">
        <f t="shared" si="6"/>
        <v>High Budget</v>
      </c>
      <c r="Y79" s="7">
        <f>VLOOKUP(G79, Lookup_table!B:C,2,0)</f>
        <v>0.75</v>
      </c>
      <c r="Z79" t="str">
        <f t="shared" si="7"/>
        <v>Efficient Spend</v>
      </c>
      <c r="AA79" t="str">
        <f>VLOOKUP(H79, Lookup_table!E:F,2,0)</f>
        <v>High</v>
      </c>
    </row>
    <row r="80" spans="1:27" ht="17.5" customHeight="1" x14ac:dyDescent="0.35">
      <c r="A80" s="1" t="s">
        <v>176</v>
      </c>
      <c r="B80" s="2">
        <v>45399</v>
      </c>
      <c r="C80" s="1" t="s">
        <v>126</v>
      </c>
      <c r="D80" s="1">
        <v>29</v>
      </c>
      <c r="E80" s="1" t="s">
        <v>35</v>
      </c>
      <c r="F80" s="1" t="s">
        <v>45</v>
      </c>
      <c r="G80" s="1" t="s">
        <v>61</v>
      </c>
      <c r="H80" s="1" t="s">
        <v>32</v>
      </c>
      <c r="I80" s="1">
        <v>166.91</v>
      </c>
      <c r="J80" s="1">
        <v>22637</v>
      </c>
      <c r="K80" s="1">
        <v>410</v>
      </c>
      <c r="L80" s="1">
        <v>109</v>
      </c>
      <c r="N80" s="1">
        <v>1.8111940630000001</v>
      </c>
      <c r="O80" s="1">
        <v>26.585365849999999</v>
      </c>
      <c r="P80" s="1">
        <f t="shared" si="0"/>
        <v>3</v>
      </c>
      <c r="V80" t="str">
        <f t="shared" si="5"/>
        <v>Low Performer</v>
      </c>
      <c r="W80" t="e" cm="1">
        <f t="array" aca="1" ref="W80" ca="1">_xlfn.IFS(N80&gt;=20, "High",N80&gt;=10, "Medium", N80&lt;10, "Low")</f>
        <v>#NAME?</v>
      </c>
      <c r="X80" t="str">
        <f t="shared" si="6"/>
        <v>Low Budget</v>
      </c>
      <c r="Y80" s="7">
        <f>VLOOKUP(G80, Lookup_table!B:C,2,0)</f>
        <v>0.2</v>
      </c>
      <c r="Z80" t="str">
        <f t="shared" si="7"/>
        <v>Inefficient Spend</v>
      </c>
      <c r="AA80" t="str">
        <f>VLOOKUP(H80, Lookup_table!E:F,2,0)</f>
        <v>Medium</v>
      </c>
    </row>
    <row r="81" spans="1:27" ht="17.5" customHeight="1" x14ac:dyDescent="0.35">
      <c r="A81" s="1" t="s">
        <v>177</v>
      </c>
      <c r="B81" s="2">
        <v>45525</v>
      </c>
      <c r="C81" s="1" t="s">
        <v>178</v>
      </c>
      <c r="D81" s="1">
        <v>61</v>
      </c>
      <c r="E81" s="1" t="s">
        <v>35</v>
      </c>
      <c r="F81" s="1" t="s">
        <v>41</v>
      </c>
      <c r="G81" s="1" t="s">
        <v>25</v>
      </c>
      <c r="H81" s="1" t="s">
        <v>62</v>
      </c>
      <c r="I81" s="1">
        <v>154.5</v>
      </c>
      <c r="J81" s="1">
        <v>3795</v>
      </c>
      <c r="K81" s="1">
        <v>3554</v>
      </c>
      <c r="L81" s="1">
        <v>121</v>
      </c>
      <c r="N81" s="1">
        <v>93.649538870000001</v>
      </c>
      <c r="O81" s="1">
        <v>3.4046145189999999</v>
      </c>
      <c r="P81" s="1">
        <f t="shared" si="0"/>
        <v>3</v>
      </c>
      <c r="V81" t="str">
        <f t="shared" si="5"/>
        <v>Average Performer</v>
      </c>
      <c r="W81" t="e" cm="1">
        <f t="array" aca="1" ref="W81" ca="1">_xlfn.IFS(N81&gt;=20, "High",N81&gt;=10, "Medium", N81&lt;10, "Low")</f>
        <v>#NAME?</v>
      </c>
      <c r="X81" t="str">
        <f t="shared" si="6"/>
        <v>Low Budget</v>
      </c>
      <c r="Y81" s="7">
        <f>VLOOKUP(G81, Lookup_table!B:C,2,0)</f>
        <v>0.5</v>
      </c>
      <c r="Z81" t="str">
        <f t="shared" si="7"/>
        <v>Efficient Spend</v>
      </c>
      <c r="AA81" t="str">
        <f>VLOOKUP(H81, Lookup_table!E:F,2,0)</f>
        <v>Medium</v>
      </c>
    </row>
    <row r="82" spans="1:27" ht="17.5" customHeight="1" x14ac:dyDescent="0.35">
      <c r="A82" s="1" t="s">
        <v>179</v>
      </c>
      <c r="B82" s="2">
        <v>45624</v>
      </c>
      <c r="C82" s="1" t="s">
        <v>138</v>
      </c>
      <c r="D82" s="9">
        <v>41</v>
      </c>
      <c r="E82" s="1" t="s">
        <v>23</v>
      </c>
      <c r="G82" s="1" t="s">
        <v>25</v>
      </c>
      <c r="H82" s="1" t="s">
        <v>26</v>
      </c>
      <c r="I82" s="1">
        <v>1350.27</v>
      </c>
      <c r="J82" s="1">
        <v>39417</v>
      </c>
      <c r="K82" s="1">
        <v>3112</v>
      </c>
      <c r="L82" s="1">
        <v>135</v>
      </c>
      <c r="N82" s="1">
        <v>7.8950706549999996</v>
      </c>
      <c r="O82" s="1">
        <v>4.3380462719999997</v>
      </c>
      <c r="P82" s="1">
        <f t="shared" si="0"/>
        <v>3</v>
      </c>
      <c r="V82" t="str">
        <f t="shared" si="5"/>
        <v>Average Performer</v>
      </c>
      <c r="W82" t="e" cm="1">
        <f t="array" aca="1" ref="W82" ca="1">_xlfn.IFS(N82&gt;=20, "High",N82&gt;=10, "Medium", N82&lt;10, "Low")</f>
        <v>#NAME?</v>
      </c>
      <c r="X82" t="str">
        <f t="shared" si="6"/>
        <v>High Budget</v>
      </c>
      <c r="Y82" s="7">
        <f>VLOOKUP(G82, Lookup_table!B:C,2,0)</f>
        <v>0.5</v>
      </c>
      <c r="Z82" t="str">
        <f t="shared" si="7"/>
        <v>Efficient Spend</v>
      </c>
      <c r="AA82" t="str">
        <f>VLOOKUP(H82, Lookup_table!E:F,2,0)</f>
        <v>High</v>
      </c>
    </row>
    <row r="83" spans="1:27" ht="17.5" customHeight="1" x14ac:dyDescent="0.35">
      <c r="A83" s="1" t="s">
        <v>180</v>
      </c>
      <c r="B83" s="2">
        <v>45615</v>
      </c>
      <c r="C83" s="1" t="s">
        <v>181</v>
      </c>
      <c r="D83" s="1">
        <v>50</v>
      </c>
      <c r="E83" s="1" t="s">
        <v>29</v>
      </c>
      <c r="F83" s="1" t="s">
        <v>57</v>
      </c>
      <c r="G83" s="1" t="s">
        <v>61</v>
      </c>
      <c r="H83" s="1" t="s">
        <v>32</v>
      </c>
      <c r="I83" s="1">
        <v>1695.07</v>
      </c>
      <c r="J83" s="1">
        <v>20373</v>
      </c>
      <c r="K83" s="1">
        <v>3361</v>
      </c>
      <c r="L83" s="1">
        <v>137</v>
      </c>
      <c r="N83" s="1">
        <v>16.497324890000002</v>
      </c>
      <c r="O83" s="1">
        <v>4.076167807</v>
      </c>
      <c r="P83" s="1">
        <f t="shared" si="0"/>
        <v>3</v>
      </c>
      <c r="V83" t="str">
        <f t="shared" si="5"/>
        <v>Average Performer</v>
      </c>
      <c r="W83" t="e" cm="1">
        <f t="array" aca="1" ref="W83" ca="1">_xlfn.IFS(N83&gt;=20, "High",N83&gt;=10, "Medium", N83&lt;10, "Low")</f>
        <v>#NAME?</v>
      </c>
      <c r="X83" t="str">
        <f t="shared" si="6"/>
        <v>High Budget</v>
      </c>
      <c r="Y83" s="7">
        <f>VLOOKUP(G83, Lookup_table!B:C,2,0)</f>
        <v>0.2</v>
      </c>
      <c r="Z83" t="str">
        <f t="shared" si="7"/>
        <v>Inefficient Spend</v>
      </c>
      <c r="AA83" t="str">
        <f>VLOOKUP(H83, Lookup_table!E:F,2,0)</f>
        <v>Medium</v>
      </c>
    </row>
    <row r="84" spans="1:27" ht="17.5" customHeight="1" x14ac:dyDescent="0.35">
      <c r="A84" s="1" t="s">
        <v>182</v>
      </c>
      <c r="B84" s="2">
        <v>45402</v>
      </c>
      <c r="C84" s="1" t="s">
        <v>95</v>
      </c>
      <c r="D84" s="1">
        <v>57</v>
      </c>
      <c r="E84" s="1" t="s">
        <v>29</v>
      </c>
      <c r="F84" s="1" t="s">
        <v>41</v>
      </c>
      <c r="G84" s="1" t="s">
        <v>31</v>
      </c>
      <c r="H84" s="1" t="s">
        <v>36</v>
      </c>
      <c r="I84" s="1">
        <v>998.2</v>
      </c>
      <c r="J84" s="1">
        <v>25603</v>
      </c>
      <c r="K84" s="1">
        <v>1337</v>
      </c>
      <c r="L84" s="1">
        <v>45</v>
      </c>
      <c r="N84" s="1">
        <v>5.2220442919999996</v>
      </c>
      <c r="O84" s="1">
        <v>3.3657442030000002</v>
      </c>
      <c r="P84" s="1">
        <f t="shared" si="0"/>
        <v>3</v>
      </c>
      <c r="V84" t="str">
        <f t="shared" si="5"/>
        <v>Low Performer</v>
      </c>
      <c r="W84" t="e" cm="1">
        <f t="array" aca="1" ref="W84" ca="1">_xlfn.IFS(N84&gt;=20, "High",N84&gt;=10, "Medium", N84&lt;10, "Low")</f>
        <v>#NAME?</v>
      </c>
      <c r="X84" t="str">
        <f t="shared" si="6"/>
        <v>Medium Budget</v>
      </c>
      <c r="Y84" s="7">
        <f>VLOOKUP(G84, Lookup_table!B:C,2,0)</f>
        <v>1.2</v>
      </c>
      <c r="Z84" t="str">
        <f t="shared" si="7"/>
        <v>Efficient Spend</v>
      </c>
      <c r="AA84" t="str">
        <f>VLOOKUP(H84, Lookup_table!E:F,2,0)</f>
        <v>High</v>
      </c>
    </row>
    <row r="85" spans="1:27" ht="17.5" customHeight="1" x14ac:dyDescent="0.35">
      <c r="A85" s="1" t="s">
        <v>183</v>
      </c>
      <c r="B85" s="2">
        <v>45434</v>
      </c>
      <c r="C85" s="1" t="s">
        <v>184</v>
      </c>
      <c r="D85" s="1">
        <v>24</v>
      </c>
      <c r="E85" s="1" t="s">
        <v>23</v>
      </c>
      <c r="F85" s="1" t="s">
        <v>30</v>
      </c>
      <c r="G85" s="1" t="s">
        <v>31</v>
      </c>
      <c r="H85" s="1" t="s">
        <v>32</v>
      </c>
      <c r="I85" s="1">
        <v>512.29999999999995</v>
      </c>
      <c r="J85" s="1">
        <v>45407</v>
      </c>
      <c r="K85" s="1">
        <v>609</v>
      </c>
      <c r="L85" s="1">
        <v>196</v>
      </c>
      <c r="M85" s="1">
        <v>2</v>
      </c>
      <c r="N85" s="1">
        <v>1.3412028979999999</v>
      </c>
      <c r="O85" s="1">
        <v>32.183908049999999</v>
      </c>
      <c r="P85" s="1">
        <f t="shared" si="0"/>
        <v>2</v>
      </c>
      <c r="V85" t="str">
        <f t="shared" si="5"/>
        <v>Low Performer</v>
      </c>
      <c r="W85" t="e" cm="1">
        <f t="array" aca="1" ref="W85" ca="1">_xlfn.IFS(N85&gt;=20, "High",N85&gt;=10, "Medium", N85&lt;10, "Low")</f>
        <v>#NAME?</v>
      </c>
      <c r="X85" t="str">
        <f t="shared" si="6"/>
        <v>Medium Budget</v>
      </c>
      <c r="Y85" s="7">
        <f>VLOOKUP(G85, Lookup_table!B:C,2,0)</f>
        <v>1.2</v>
      </c>
      <c r="Z85" t="str">
        <f t="shared" si="7"/>
        <v>Efficient Spend</v>
      </c>
      <c r="AA85" t="str">
        <f>VLOOKUP(H85, Lookup_table!E:F,2,0)</f>
        <v>Medium</v>
      </c>
    </row>
    <row r="86" spans="1:27" ht="17.5" customHeight="1" x14ac:dyDescent="0.35">
      <c r="A86" s="1" t="s">
        <v>185</v>
      </c>
      <c r="B86" s="2">
        <v>45416</v>
      </c>
      <c r="C86" s="1" t="s">
        <v>186</v>
      </c>
      <c r="D86" s="1">
        <v>21</v>
      </c>
      <c r="E86" s="1" t="s">
        <v>35</v>
      </c>
      <c r="F86" s="1" t="s">
        <v>30</v>
      </c>
      <c r="G86" s="1" t="s">
        <v>42</v>
      </c>
      <c r="H86" s="1" t="s">
        <v>36</v>
      </c>
      <c r="I86" s="1">
        <v>826.62</v>
      </c>
      <c r="J86" s="1">
        <v>32518</v>
      </c>
      <c r="K86" s="1">
        <v>3074</v>
      </c>
      <c r="L86" s="1">
        <v>169</v>
      </c>
      <c r="M86" s="1">
        <v>3</v>
      </c>
      <c r="N86" s="1">
        <v>9.4532259060000001</v>
      </c>
      <c r="O86" s="1">
        <v>5.4977228370000004</v>
      </c>
      <c r="P86" s="1">
        <f t="shared" si="0"/>
        <v>3</v>
      </c>
      <c r="V86" t="str">
        <f t="shared" si="5"/>
        <v>Average Performer</v>
      </c>
      <c r="W86" t="e" cm="1">
        <f t="array" aca="1" ref="W86" ca="1">_xlfn.IFS(N86&gt;=20, "High",N86&gt;=10, "Medium", N86&lt;10, "Low")</f>
        <v>#NAME?</v>
      </c>
      <c r="X86" t="str">
        <f t="shared" si="6"/>
        <v>Medium Budget</v>
      </c>
      <c r="Y86" s="7">
        <f>VLOOKUP(G86, Lookup_table!B:C,2,0)</f>
        <v>0.3</v>
      </c>
      <c r="Z86" t="str">
        <f t="shared" si="7"/>
        <v>Efficient Spend</v>
      </c>
      <c r="AA86" t="str">
        <f>VLOOKUP(H86, Lookup_table!E:F,2,0)</f>
        <v>High</v>
      </c>
    </row>
    <row r="87" spans="1:27" ht="17.5" customHeight="1" x14ac:dyDescent="0.35">
      <c r="A87" s="1" t="s">
        <v>187</v>
      </c>
      <c r="B87" s="2">
        <v>45568</v>
      </c>
      <c r="C87" s="1" t="s">
        <v>188</v>
      </c>
      <c r="D87" s="1">
        <v>56</v>
      </c>
      <c r="E87" s="1" t="s">
        <v>35</v>
      </c>
      <c r="F87" s="1" t="s">
        <v>45</v>
      </c>
      <c r="G87" s="1" t="s">
        <v>46</v>
      </c>
      <c r="H87" s="1" t="s">
        <v>62</v>
      </c>
      <c r="I87" s="1">
        <v>162.76</v>
      </c>
      <c r="J87" s="1">
        <v>26231</v>
      </c>
      <c r="K87" s="1">
        <v>2329</v>
      </c>
      <c r="L87" s="1">
        <v>82</v>
      </c>
      <c r="M87" s="1">
        <v>3</v>
      </c>
      <c r="N87" s="1">
        <v>8.8788075180000003</v>
      </c>
      <c r="O87" s="1">
        <v>3.5208243879999999</v>
      </c>
      <c r="P87" s="1">
        <f t="shared" si="0"/>
        <v>3</v>
      </c>
      <c r="V87" t="str">
        <f t="shared" si="5"/>
        <v>Low Performer</v>
      </c>
      <c r="W87" t="e" cm="1">
        <f t="array" aca="1" ref="W87" ca="1">_xlfn.IFS(N87&gt;=20, "High",N87&gt;=10, "Medium", N87&lt;10, "Low")</f>
        <v>#NAME?</v>
      </c>
      <c r="X87" t="str">
        <f t="shared" si="6"/>
        <v>Low Budget</v>
      </c>
      <c r="Y87" s="7">
        <f>VLOOKUP(G87, Lookup_table!B:C,2,0)</f>
        <v>0.75</v>
      </c>
      <c r="Z87" t="str">
        <f t="shared" si="7"/>
        <v>Efficient Spend</v>
      </c>
      <c r="AA87" t="str">
        <f>VLOOKUP(H87, Lookup_table!E:F,2,0)</f>
        <v>Medium</v>
      </c>
    </row>
    <row r="88" spans="1:27" ht="17.5" customHeight="1" x14ac:dyDescent="0.35">
      <c r="A88" s="1" t="s">
        <v>189</v>
      </c>
      <c r="B88" s="2">
        <v>45601</v>
      </c>
      <c r="C88" s="1" t="s">
        <v>175</v>
      </c>
      <c r="D88" s="1">
        <v>48</v>
      </c>
      <c r="E88" s="1" t="s">
        <v>29</v>
      </c>
      <c r="F88" s="1" t="s">
        <v>50</v>
      </c>
      <c r="G88" s="1" t="s">
        <v>46</v>
      </c>
      <c r="H88" s="1" t="s">
        <v>32</v>
      </c>
      <c r="I88" s="1">
        <v>1452.05</v>
      </c>
      <c r="J88" s="1">
        <v>32061</v>
      </c>
      <c r="K88" s="1">
        <v>1216</v>
      </c>
      <c r="L88" s="1">
        <v>93</v>
      </c>
      <c r="M88" s="1">
        <v>5</v>
      </c>
      <c r="N88" s="1">
        <v>3.792770032</v>
      </c>
      <c r="O88" s="1">
        <v>7.6480263160000002</v>
      </c>
      <c r="P88" s="1">
        <f t="shared" si="0"/>
        <v>5</v>
      </c>
      <c r="V88" t="str">
        <f t="shared" si="5"/>
        <v>Low Performer</v>
      </c>
      <c r="W88" t="e" cm="1">
        <f t="array" aca="1" ref="W88" ca="1">_xlfn.IFS(N88&gt;=20, "High",N88&gt;=10, "Medium", N88&lt;10, "Low")</f>
        <v>#NAME?</v>
      </c>
      <c r="X88" t="str">
        <f t="shared" si="6"/>
        <v>High Budget</v>
      </c>
      <c r="Y88" s="7">
        <f>VLOOKUP(G88, Lookup_table!B:C,2,0)</f>
        <v>0.75</v>
      </c>
      <c r="Z88" t="str">
        <f t="shared" si="7"/>
        <v>Inefficient Spend</v>
      </c>
      <c r="AA88" t="str">
        <f>VLOOKUP(H88, Lookup_table!E:F,2,0)</f>
        <v>Medium</v>
      </c>
    </row>
    <row r="89" spans="1:27" ht="17.5" customHeight="1" x14ac:dyDescent="0.35">
      <c r="A89" s="1" t="s">
        <v>190</v>
      </c>
      <c r="B89" s="2">
        <v>45607</v>
      </c>
      <c r="C89" s="1" t="s">
        <v>191</v>
      </c>
      <c r="D89" s="9">
        <v>41</v>
      </c>
      <c r="E89" s="1" t="s">
        <v>35</v>
      </c>
      <c r="G89" s="1" t="s">
        <v>31</v>
      </c>
      <c r="H89" s="1" t="s">
        <v>36</v>
      </c>
      <c r="I89" s="1">
        <v>488.2</v>
      </c>
      <c r="J89" s="1">
        <v>32198</v>
      </c>
      <c r="K89" s="1">
        <v>2749</v>
      </c>
      <c r="L89" s="1">
        <v>105</v>
      </c>
      <c r="N89" s="1">
        <v>8.5377973790000006</v>
      </c>
      <c r="O89" s="1">
        <v>3.8195707529999998</v>
      </c>
      <c r="P89" s="1">
        <f t="shared" si="0"/>
        <v>3</v>
      </c>
      <c r="V89" t="str">
        <f t="shared" si="5"/>
        <v>Average Performer</v>
      </c>
      <c r="W89" t="e" cm="1">
        <f t="array" aca="1" ref="W89" ca="1">_xlfn.IFS(N89&gt;=20, "High",N89&gt;=10, "Medium", N89&lt;10, "Low")</f>
        <v>#NAME?</v>
      </c>
      <c r="X89" t="str">
        <f t="shared" si="6"/>
        <v>Low Budget</v>
      </c>
      <c r="Y89" s="7">
        <f>VLOOKUP(G89, Lookup_table!B:C,2,0)</f>
        <v>1.2</v>
      </c>
      <c r="Z89" t="str">
        <f t="shared" si="7"/>
        <v>Efficient Spend</v>
      </c>
      <c r="AA89" t="str">
        <f>VLOOKUP(H89, Lookup_table!E:F,2,0)</f>
        <v>High</v>
      </c>
    </row>
    <row r="90" spans="1:27" ht="17.5" customHeight="1" x14ac:dyDescent="0.35">
      <c r="A90" s="1" t="s">
        <v>192</v>
      </c>
      <c r="B90" s="2">
        <v>45327</v>
      </c>
      <c r="C90" s="1" t="s">
        <v>193</v>
      </c>
      <c r="D90" s="1">
        <v>45</v>
      </c>
      <c r="E90" s="1" t="s">
        <v>35</v>
      </c>
      <c r="F90" s="1" t="s">
        <v>41</v>
      </c>
      <c r="G90" s="1" t="s">
        <v>46</v>
      </c>
      <c r="H90" s="1" t="s">
        <v>62</v>
      </c>
      <c r="I90" s="1">
        <v>976.33</v>
      </c>
      <c r="J90" s="1">
        <v>34635</v>
      </c>
      <c r="K90" s="1">
        <v>472</v>
      </c>
      <c r="L90" s="1">
        <v>74</v>
      </c>
      <c r="M90" s="1">
        <v>4</v>
      </c>
      <c r="N90" s="1">
        <v>1.3627833119999999</v>
      </c>
      <c r="O90" s="1">
        <v>15.677966100000001</v>
      </c>
      <c r="P90" s="1">
        <f t="shared" si="0"/>
        <v>4</v>
      </c>
      <c r="V90" t="str">
        <f t="shared" si="5"/>
        <v>Low Performer</v>
      </c>
      <c r="W90" t="e" cm="1">
        <f t="array" aca="1" ref="W90" ca="1">_xlfn.IFS(N90&gt;=20, "High",N90&gt;=10, "Medium", N90&lt;10, "Low")</f>
        <v>#NAME?</v>
      </c>
      <c r="X90" t="str">
        <f t="shared" si="6"/>
        <v>Medium Budget</v>
      </c>
      <c r="Y90" s="7">
        <f>VLOOKUP(G90, Lookup_table!B:C,2,0)</f>
        <v>0.75</v>
      </c>
      <c r="Z90" t="str">
        <f t="shared" si="7"/>
        <v>Inefficient Spend</v>
      </c>
      <c r="AA90" t="str">
        <f>VLOOKUP(H90, Lookup_table!E:F,2,0)</f>
        <v>Medium</v>
      </c>
    </row>
    <row r="91" spans="1:27" ht="17.5" customHeight="1" x14ac:dyDescent="0.35">
      <c r="A91" s="1" t="s">
        <v>194</v>
      </c>
      <c r="B91" s="2">
        <v>45596</v>
      </c>
      <c r="C91" s="1" t="s">
        <v>195</v>
      </c>
      <c r="D91" s="1">
        <v>58</v>
      </c>
      <c r="E91" s="1" t="s">
        <v>29</v>
      </c>
      <c r="F91" s="1" t="s">
        <v>45</v>
      </c>
      <c r="G91" s="1" t="s">
        <v>42</v>
      </c>
      <c r="H91" s="1" t="s">
        <v>26</v>
      </c>
      <c r="I91" s="1">
        <v>615.13</v>
      </c>
      <c r="J91" s="1">
        <v>23387</v>
      </c>
      <c r="K91" s="1">
        <v>744</v>
      </c>
      <c r="L91" s="1">
        <v>275</v>
      </c>
      <c r="M91" s="1">
        <v>5</v>
      </c>
      <c r="N91" s="1">
        <v>3.1812545430000001</v>
      </c>
      <c r="O91" s="1">
        <v>36.962365589999997</v>
      </c>
      <c r="P91" s="1">
        <f t="shared" si="0"/>
        <v>5</v>
      </c>
      <c r="V91" t="str">
        <f t="shared" si="5"/>
        <v>Low Performer</v>
      </c>
      <c r="W91" t="e" cm="1">
        <f t="array" aca="1" ref="W91" ca="1">_xlfn.IFS(N91&gt;=20, "High",N91&gt;=10, "Medium", N91&lt;10, "Low")</f>
        <v>#NAME?</v>
      </c>
      <c r="X91" t="str">
        <f t="shared" si="6"/>
        <v>Medium Budget</v>
      </c>
      <c r="Y91" s="7">
        <f>VLOOKUP(G91, Lookup_table!B:C,2,0)</f>
        <v>0.3</v>
      </c>
      <c r="Z91" t="str">
        <f t="shared" si="7"/>
        <v>Inefficient Spend</v>
      </c>
      <c r="AA91" t="str">
        <f>VLOOKUP(H91, Lookup_table!E:F,2,0)</f>
        <v>High</v>
      </c>
    </row>
    <row r="92" spans="1:27" ht="17.5" customHeight="1" x14ac:dyDescent="0.35">
      <c r="A92" s="1" t="s">
        <v>196</v>
      </c>
      <c r="B92" s="2">
        <v>45552</v>
      </c>
      <c r="C92" s="1" t="s">
        <v>64</v>
      </c>
      <c r="D92" s="1">
        <v>48</v>
      </c>
      <c r="E92" s="1" t="s">
        <v>35</v>
      </c>
      <c r="F92" s="1" t="s">
        <v>45</v>
      </c>
      <c r="G92" s="1" t="s">
        <v>61</v>
      </c>
      <c r="H92" s="1" t="s">
        <v>26</v>
      </c>
      <c r="I92" s="1">
        <v>770.28</v>
      </c>
      <c r="J92" s="1">
        <v>44596</v>
      </c>
      <c r="K92" s="1">
        <v>1852</v>
      </c>
      <c r="L92" s="1">
        <v>172</v>
      </c>
      <c r="M92" s="1">
        <v>5</v>
      </c>
      <c r="N92" s="1">
        <v>4.1528388200000004</v>
      </c>
      <c r="O92" s="1">
        <v>9.2872570190000001</v>
      </c>
      <c r="P92" s="1">
        <f t="shared" si="0"/>
        <v>5</v>
      </c>
      <c r="V92" t="str">
        <f t="shared" si="5"/>
        <v>Average Performer</v>
      </c>
      <c r="W92" t="e" cm="1">
        <f t="array" aca="1" ref="W92" ca="1">_xlfn.IFS(N92&gt;=20, "High",N92&gt;=10, "Medium", N92&lt;10, "Low")</f>
        <v>#NAME?</v>
      </c>
      <c r="X92" t="str">
        <f t="shared" si="6"/>
        <v>Medium Budget</v>
      </c>
      <c r="Y92" s="7">
        <f>VLOOKUP(G92, Lookup_table!B:C,2,0)</f>
        <v>0.2</v>
      </c>
      <c r="Z92" t="str">
        <f t="shared" si="7"/>
        <v>Inefficient Spend</v>
      </c>
      <c r="AA92" t="str">
        <f>VLOOKUP(H92, Lookup_table!E:F,2,0)</f>
        <v>High</v>
      </c>
    </row>
    <row r="93" spans="1:27" ht="17.5" customHeight="1" x14ac:dyDescent="0.35">
      <c r="A93" s="1" t="s">
        <v>197</v>
      </c>
      <c r="B93" s="2">
        <v>45591</v>
      </c>
      <c r="C93" s="1" t="s">
        <v>181</v>
      </c>
      <c r="D93" s="1">
        <v>44</v>
      </c>
      <c r="E93" s="1" t="s">
        <v>35</v>
      </c>
      <c r="F93" s="1" t="s">
        <v>30</v>
      </c>
      <c r="G93" s="1" t="s">
        <v>42</v>
      </c>
      <c r="H93" s="1" t="s">
        <v>26</v>
      </c>
      <c r="I93" s="1">
        <v>1041.72</v>
      </c>
      <c r="J93" s="1">
        <v>44592</v>
      </c>
      <c r="K93" s="1">
        <v>3671</v>
      </c>
      <c r="L93" s="1">
        <v>166</v>
      </c>
      <c r="M93" s="1">
        <v>4</v>
      </c>
      <c r="N93" s="1">
        <v>8.2324183709999996</v>
      </c>
      <c r="O93" s="1">
        <v>4.5219286299999997</v>
      </c>
      <c r="P93" s="1">
        <f t="shared" si="0"/>
        <v>4</v>
      </c>
      <c r="V93" t="str">
        <f t="shared" si="5"/>
        <v>Average Performer</v>
      </c>
      <c r="W93" t="e" cm="1">
        <f t="array" aca="1" ref="W93" ca="1">_xlfn.IFS(N93&gt;=20, "High",N93&gt;=10, "Medium", N93&lt;10, "Low")</f>
        <v>#NAME?</v>
      </c>
      <c r="X93" t="str">
        <f t="shared" si="6"/>
        <v>High Budget</v>
      </c>
      <c r="Y93" s="7">
        <f>VLOOKUP(G93, Lookup_table!B:C,2,0)</f>
        <v>0.3</v>
      </c>
      <c r="Z93" t="str">
        <f t="shared" si="7"/>
        <v>Efficient Spend</v>
      </c>
      <c r="AA93" t="str">
        <f>VLOOKUP(H93, Lookup_table!E:F,2,0)</f>
        <v>High</v>
      </c>
    </row>
    <row r="94" spans="1:27" ht="17.5" customHeight="1" x14ac:dyDescent="0.35">
      <c r="A94" s="1" t="s">
        <v>198</v>
      </c>
      <c r="B94" s="2">
        <v>45542</v>
      </c>
      <c r="C94" s="1" t="s">
        <v>199</v>
      </c>
      <c r="D94" s="1">
        <v>64</v>
      </c>
      <c r="E94" s="1" t="s">
        <v>29</v>
      </c>
      <c r="F94" s="1" t="s">
        <v>41</v>
      </c>
      <c r="G94" s="1" t="s">
        <v>46</v>
      </c>
      <c r="H94" s="1" t="s">
        <v>32</v>
      </c>
      <c r="I94" s="1">
        <v>421.11</v>
      </c>
      <c r="J94" s="1">
        <v>31096</v>
      </c>
      <c r="K94" s="1">
        <v>4306</v>
      </c>
      <c r="L94" s="1">
        <v>203</v>
      </c>
      <c r="M94" s="1">
        <v>5</v>
      </c>
      <c r="N94" s="1">
        <v>13.84744019</v>
      </c>
      <c r="O94" s="1">
        <v>4.7143520670000001</v>
      </c>
      <c r="P94" s="1">
        <f t="shared" si="0"/>
        <v>5</v>
      </c>
      <c r="V94" t="str">
        <f t="shared" si="5"/>
        <v>Top Performer</v>
      </c>
      <c r="W94" t="e" cm="1">
        <f t="array" aca="1" ref="W94" ca="1">_xlfn.IFS(N94&gt;=20, "High",N94&gt;=10, "Medium", N94&lt;10, "Low")</f>
        <v>#NAME?</v>
      </c>
      <c r="X94" t="str">
        <f t="shared" si="6"/>
        <v>Low Budget</v>
      </c>
      <c r="Y94" s="7">
        <f>VLOOKUP(G94, Lookup_table!B:C,2,0)</f>
        <v>0.75</v>
      </c>
      <c r="Z94" t="str">
        <f t="shared" si="7"/>
        <v>Efficient Spend</v>
      </c>
      <c r="AA94" t="str">
        <f>VLOOKUP(H94, Lookup_table!E:F,2,0)</f>
        <v>Medium</v>
      </c>
    </row>
    <row r="95" spans="1:27" ht="17.5" customHeight="1" x14ac:dyDescent="0.35">
      <c r="A95" s="1" t="s">
        <v>200</v>
      </c>
      <c r="B95" s="2">
        <v>45346</v>
      </c>
      <c r="C95" s="1" t="s">
        <v>201</v>
      </c>
      <c r="D95" s="1">
        <v>59</v>
      </c>
      <c r="E95" s="1" t="s">
        <v>29</v>
      </c>
      <c r="F95" s="1" t="s">
        <v>41</v>
      </c>
      <c r="G95" s="1" t="s">
        <v>25</v>
      </c>
      <c r="H95" s="1" t="s">
        <v>36</v>
      </c>
      <c r="I95" s="1">
        <v>1468.02</v>
      </c>
      <c r="J95" s="1">
        <v>24815</v>
      </c>
      <c r="K95" s="1">
        <v>3456</v>
      </c>
      <c r="L95" s="1">
        <v>76</v>
      </c>
      <c r="M95" s="1">
        <v>2</v>
      </c>
      <c r="N95" s="1">
        <v>13.92706025</v>
      </c>
      <c r="O95" s="1">
        <v>2.1990740739999999</v>
      </c>
      <c r="P95" s="1">
        <f t="shared" si="0"/>
        <v>2</v>
      </c>
      <c r="V95" t="str">
        <f t="shared" si="5"/>
        <v>Low Performer</v>
      </c>
      <c r="W95" t="e" cm="1">
        <f t="array" aca="1" ref="W95" ca="1">_xlfn.IFS(N95&gt;=20, "High",N95&gt;=10, "Medium", N95&lt;10, "Low")</f>
        <v>#NAME?</v>
      </c>
      <c r="X95" t="str">
        <f t="shared" si="6"/>
        <v>High Budget</v>
      </c>
      <c r="Y95" s="7">
        <f>VLOOKUP(G95, Lookup_table!B:C,2,0)</f>
        <v>0.5</v>
      </c>
      <c r="Z95" t="str">
        <f t="shared" si="7"/>
        <v>Efficient Spend</v>
      </c>
      <c r="AA95" t="str">
        <f>VLOOKUP(H95, Lookup_table!E:F,2,0)</f>
        <v>High</v>
      </c>
    </row>
    <row r="96" spans="1:27" ht="17.5" customHeight="1" x14ac:dyDescent="0.35">
      <c r="A96" s="1" t="s">
        <v>202</v>
      </c>
      <c r="B96" s="2">
        <v>45335</v>
      </c>
      <c r="C96" s="1" t="s">
        <v>203</v>
      </c>
      <c r="D96" s="1">
        <v>44</v>
      </c>
      <c r="E96" s="1" t="s">
        <v>35</v>
      </c>
      <c r="F96" s="1" t="s">
        <v>24</v>
      </c>
      <c r="G96" s="1" t="s">
        <v>25</v>
      </c>
      <c r="H96" s="1" t="s">
        <v>36</v>
      </c>
      <c r="I96" s="1">
        <v>259.36</v>
      </c>
      <c r="J96" s="1">
        <v>40912</v>
      </c>
      <c r="K96" s="1">
        <v>3299</v>
      </c>
      <c r="L96" s="1">
        <v>371</v>
      </c>
      <c r="M96" s="1">
        <v>3</v>
      </c>
      <c r="N96" s="1">
        <v>8.0636488069999999</v>
      </c>
      <c r="O96" s="1">
        <v>11.245832070000001</v>
      </c>
      <c r="P96" s="1">
        <f t="shared" si="0"/>
        <v>3</v>
      </c>
      <c r="V96" t="str">
        <f t="shared" si="5"/>
        <v>Top Performer</v>
      </c>
      <c r="W96" t="e" cm="1">
        <f t="array" aca="1" ref="W96" ca="1">_xlfn.IFS(N96&gt;=20, "High",N96&gt;=10, "Medium", N96&lt;10, "Low")</f>
        <v>#NAME?</v>
      </c>
      <c r="X96" t="str">
        <f t="shared" si="6"/>
        <v>Low Budget</v>
      </c>
      <c r="Y96" s="7">
        <f>VLOOKUP(G96, Lookup_table!B:C,2,0)</f>
        <v>0.5</v>
      </c>
      <c r="Z96" t="str">
        <f t="shared" si="7"/>
        <v>Efficient Spend</v>
      </c>
      <c r="AA96" t="str">
        <f>VLOOKUP(H96, Lookup_table!E:F,2,0)</f>
        <v>High</v>
      </c>
    </row>
    <row r="97" spans="1:27" ht="17.5" customHeight="1" x14ac:dyDescent="0.35">
      <c r="A97" s="1" t="s">
        <v>204</v>
      </c>
      <c r="B97" s="2">
        <v>45507</v>
      </c>
      <c r="C97" s="1" t="s">
        <v>205</v>
      </c>
      <c r="D97" s="1">
        <v>45</v>
      </c>
      <c r="E97" s="1" t="s">
        <v>35</v>
      </c>
      <c r="F97" s="1" t="s">
        <v>24</v>
      </c>
      <c r="G97" s="1" t="s">
        <v>46</v>
      </c>
      <c r="H97" s="1" t="s">
        <v>36</v>
      </c>
      <c r="I97" s="1">
        <v>1526.56</v>
      </c>
      <c r="J97" s="1">
        <v>41500</v>
      </c>
      <c r="K97" s="1">
        <v>2791</v>
      </c>
      <c r="L97" s="1">
        <v>315</v>
      </c>
      <c r="M97" s="1">
        <v>5</v>
      </c>
      <c r="N97" s="1">
        <v>6.7253012050000001</v>
      </c>
      <c r="O97" s="1">
        <v>11.28627732</v>
      </c>
      <c r="P97" s="1">
        <f t="shared" si="0"/>
        <v>5</v>
      </c>
      <c r="V97" t="str">
        <f t="shared" si="5"/>
        <v>Average Performer</v>
      </c>
      <c r="W97" t="e" cm="1">
        <f t="array" aca="1" ref="W97" ca="1">_xlfn.IFS(N97&gt;=20, "High",N97&gt;=10, "Medium", N97&lt;10, "Low")</f>
        <v>#NAME?</v>
      </c>
      <c r="X97" t="str">
        <f t="shared" si="6"/>
        <v>High Budget</v>
      </c>
      <c r="Y97" s="7">
        <f>VLOOKUP(G97, Lookup_table!B:C,2,0)</f>
        <v>0.75</v>
      </c>
      <c r="Z97" t="str">
        <f t="shared" si="7"/>
        <v>Efficient Spend</v>
      </c>
      <c r="AA97" t="str">
        <f>VLOOKUP(H97, Lookup_table!E:F,2,0)</f>
        <v>High</v>
      </c>
    </row>
    <row r="98" spans="1:27" ht="17.5" customHeight="1" x14ac:dyDescent="0.35">
      <c r="A98" s="1" t="s">
        <v>206</v>
      </c>
      <c r="B98" s="2">
        <v>45331</v>
      </c>
      <c r="C98" s="1" t="s">
        <v>207</v>
      </c>
      <c r="D98" s="1">
        <v>43</v>
      </c>
      <c r="E98" s="1" t="s">
        <v>35</v>
      </c>
      <c r="F98" s="1" t="s">
        <v>24</v>
      </c>
      <c r="G98" s="1" t="s">
        <v>25</v>
      </c>
      <c r="H98" s="1" t="s">
        <v>36</v>
      </c>
      <c r="I98" s="1">
        <v>140.01</v>
      </c>
      <c r="J98" s="1">
        <v>42074</v>
      </c>
      <c r="K98" s="1">
        <v>2387</v>
      </c>
      <c r="L98" s="1">
        <v>299</v>
      </c>
      <c r="M98" s="1">
        <v>3</v>
      </c>
      <c r="N98" s="1">
        <v>5.6733374530000003</v>
      </c>
      <c r="O98" s="1">
        <v>12.526183489999999</v>
      </c>
      <c r="P98" s="1">
        <f t="shared" si="0"/>
        <v>3</v>
      </c>
      <c r="V98" t="str">
        <f t="shared" si="5"/>
        <v>Average Performer</v>
      </c>
      <c r="W98" t="e" cm="1">
        <f t="array" aca="1" ref="W98" ca="1">_xlfn.IFS(N98&gt;=20, "High",N98&gt;=10, "Medium", N98&lt;10, "Low")</f>
        <v>#NAME?</v>
      </c>
      <c r="X98" t="str">
        <f t="shared" si="6"/>
        <v>Low Budget</v>
      </c>
      <c r="Y98" s="7">
        <f>VLOOKUP(G98, Lookup_table!B:C,2,0)</f>
        <v>0.5</v>
      </c>
      <c r="Z98" t="str">
        <f t="shared" si="7"/>
        <v>Efficient Spend</v>
      </c>
      <c r="AA98" t="str">
        <f>VLOOKUP(H98, Lookup_table!E:F,2,0)</f>
        <v>High</v>
      </c>
    </row>
    <row r="99" spans="1:27" ht="17.5" customHeight="1" x14ac:dyDescent="0.35">
      <c r="A99" s="1" t="s">
        <v>208</v>
      </c>
      <c r="B99" s="2">
        <v>45423</v>
      </c>
      <c r="C99" s="1" t="s">
        <v>111</v>
      </c>
      <c r="D99" s="1">
        <v>20</v>
      </c>
      <c r="E99" s="1" t="s">
        <v>35</v>
      </c>
      <c r="F99" s="1" t="s">
        <v>30</v>
      </c>
      <c r="G99" s="1" t="s">
        <v>31</v>
      </c>
      <c r="H99" s="1" t="s">
        <v>26</v>
      </c>
      <c r="I99" s="1">
        <v>993.51</v>
      </c>
      <c r="J99" s="1">
        <v>19930</v>
      </c>
      <c r="K99" s="1">
        <v>1681</v>
      </c>
      <c r="L99" s="1">
        <v>299</v>
      </c>
      <c r="N99" s="1">
        <v>8.4345208229999997</v>
      </c>
      <c r="O99" s="1">
        <v>17.78703153</v>
      </c>
      <c r="P99" s="1">
        <f t="shared" si="0"/>
        <v>3</v>
      </c>
      <c r="V99" t="str">
        <f t="shared" si="5"/>
        <v>Average Performer</v>
      </c>
      <c r="W99" t="e" cm="1">
        <f t="array" aca="1" ref="W99" ca="1">_xlfn.IFS(N99&gt;=20, "High",N99&gt;=10, "Medium", N99&lt;10, "Low")</f>
        <v>#NAME?</v>
      </c>
      <c r="X99" t="str">
        <f t="shared" si="6"/>
        <v>Medium Budget</v>
      </c>
      <c r="Y99" s="7">
        <f>VLOOKUP(G99, Lookup_table!B:C,2,0)</f>
        <v>1.2</v>
      </c>
      <c r="Z99" t="str">
        <f t="shared" si="7"/>
        <v>Efficient Spend</v>
      </c>
      <c r="AA99" t="str">
        <f>VLOOKUP(H99, Lookup_table!E:F,2,0)</f>
        <v>High</v>
      </c>
    </row>
    <row r="100" spans="1:27" ht="17.5" customHeight="1" x14ac:dyDescent="0.35">
      <c r="A100" s="1" t="s">
        <v>209</v>
      </c>
      <c r="B100" s="2">
        <v>45627</v>
      </c>
      <c r="C100" s="1" t="s">
        <v>210</v>
      </c>
      <c r="D100" s="1">
        <v>39</v>
      </c>
      <c r="E100" s="1" t="s">
        <v>35</v>
      </c>
      <c r="F100" s="1" t="s">
        <v>57</v>
      </c>
      <c r="G100" s="1" t="s">
        <v>61</v>
      </c>
      <c r="H100" s="1" t="s">
        <v>36</v>
      </c>
      <c r="I100" s="1">
        <v>1203.5</v>
      </c>
      <c r="J100" s="1">
        <v>39872</v>
      </c>
      <c r="K100" s="1">
        <v>1246</v>
      </c>
      <c r="L100" s="1">
        <v>157</v>
      </c>
      <c r="M100" s="1">
        <v>2</v>
      </c>
      <c r="N100" s="1">
        <v>3.125</v>
      </c>
      <c r="O100" s="1">
        <v>12.60032103</v>
      </c>
      <c r="P100" s="1">
        <f t="shared" si="0"/>
        <v>2</v>
      </c>
      <c r="V100" t="str">
        <f t="shared" si="5"/>
        <v>Average Performer</v>
      </c>
      <c r="W100" t="e" cm="1">
        <f t="array" aca="1" ref="W100" ca="1">_xlfn.IFS(N100&gt;=20, "High",N100&gt;=10, "Medium", N100&lt;10, "Low")</f>
        <v>#NAME?</v>
      </c>
      <c r="X100" t="str">
        <f t="shared" si="6"/>
        <v>High Budget</v>
      </c>
      <c r="Y100" s="7">
        <f>VLOOKUP(G100, Lookup_table!B:C,2,0)</f>
        <v>0.2</v>
      </c>
      <c r="Z100" t="str">
        <f t="shared" si="7"/>
        <v>Inefficient Spend</v>
      </c>
      <c r="AA100" t="str">
        <f>VLOOKUP(H100, Lookup_table!E:F,2,0)</f>
        <v>High</v>
      </c>
    </row>
    <row r="101" spans="1:27" ht="17.5" customHeight="1" x14ac:dyDescent="0.35">
      <c r="A101" s="1" t="s">
        <v>211</v>
      </c>
      <c r="B101" s="2">
        <v>45577</v>
      </c>
      <c r="C101" s="1" t="s">
        <v>212</v>
      </c>
      <c r="D101" s="1">
        <v>62</v>
      </c>
      <c r="E101" s="1" t="s">
        <v>23</v>
      </c>
      <c r="F101" s="1" t="s">
        <v>24</v>
      </c>
      <c r="G101" s="1" t="s">
        <v>61</v>
      </c>
      <c r="H101" s="1" t="s">
        <v>36</v>
      </c>
      <c r="I101" s="1">
        <v>482.54</v>
      </c>
      <c r="J101" s="1">
        <v>10172</v>
      </c>
      <c r="K101" s="1">
        <v>2686</v>
      </c>
      <c r="L101" s="1">
        <v>254</v>
      </c>
      <c r="M101" s="1">
        <v>3</v>
      </c>
      <c r="N101" s="1">
        <v>26.405819900000001</v>
      </c>
      <c r="O101" s="1">
        <v>9.4564408039999996</v>
      </c>
      <c r="P101" s="1">
        <f t="shared" si="0"/>
        <v>3</v>
      </c>
      <c r="V101" t="str">
        <f t="shared" si="5"/>
        <v>Average Performer</v>
      </c>
      <c r="W101" t="e" cm="1">
        <f t="array" aca="1" ref="W101" ca="1">_xlfn.IFS(N101&gt;=20, "High",N101&gt;=10, "Medium", N101&lt;10, "Low")</f>
        <v>#NAME?</v>
      </c>
      <c r="X101" t="str">
        <f t="shared" si="6"/>
        <v>Low Budget</v>
      </c>
      <c r="Y101" s="7">
        <f>VLOOKUP(G101, Lookup_table!B:C,2,0)</f>
        <v>0.2</v>
      </c>
      <c r="Z101" t="str">
        <f t="shared" si="7"/>
        <v>Efficient Spend</v>
      </c>
      <c r="AA101" t="str">
        <f>VLOOKUP(H101, Lookup_table!E:F,2,0)</f>
        <v>High</v>
      </c>
    </row>
    <row r="102" spans="1:27" ht="17.5" customHeight="1" x14ac:dyDescent="0.35">
      <c r="A102" s="1" t="s">
        <v>213</v>
      </c>
      <c r="B102" s="2">
        <v>45428</v>
      </c>
      <c r="C102" s="1" t="s">
        <v>160</v>
      </c>
      <c r="D102" s="1">
        <v>38</v>
      </c>
      <c r="E102" s="1" t="s">
        <v>23</v>
      </c>
      <c r="F102" s="1" t="s">
        <v>24</v>
      </c>
      <c r="G102" s="1" t="s">
        <v>25</v>
      </c>
      <c r="H102" s="1" t="s">
        <v>26</v>
      </c>
      <c r="I102" s="1">
        <v>114.47</v>
      </c>
      <c r="J102" s="1">
        <v>38970</v>
      </c>
      <c r="K102" s="1">
        <v>4808</v>
      </c>
      <c r="L102" s="1">
        <v>89</v>
      </c>
      <c r="M102" s="1">
        <v>1</v>
      </c>
      <c r="N102" s="1">
        <v>12.33769566</v>
      </c>
      <c r="O102" s="1">
        <v>1.8510815309999999</v>
      </c>
      <c r="P102" s="1">
        <f t="shared" si="0"/>
        <v>1</v>
      </c>
      <c r="V102" t="str">
        <f t="shared" si="5"/>
        <v>Low Performer</v>
      </c>
      <c r="W102" t="e" cm="1">
        <f t="array" aca="1" ref="W102" ca="1">_xlfn.IFS(N102&gt;=20, "High",N102&gt;=10, "Medium", N102&lt;10, "Low")</f>
        <v>#NAME?</v>
      </c>
      <c r="X102" t="str">
        <f t="shared" si="6"/>
        <v>Low Budget</v>
      </c>
      <c r="Y102" s="7">
        <f>VLOOKUP(G102, Lookup_table!B:C,2,0)</f>
        <v>0.5</v>
      </c>
      <c r="Z102" t="str">
        <f t="shared" si="7"/>
        <v>Efficient Spend</v>
      </c>
      <c r="AA102" t="str">
        <f>VLOOKUP(H102, Lookup_table!E:F,2,0)</f>
        <v>High</v>
      </c>
    </row>
    <row r="103" spans="1:27" ht="17.5" customHeight="1" x14ac:dyDescent="0.35">
      <c r="A103" s="1" t="s">
        <v>214</v>
      </c>
      <c r="B103" s="2">
        <v>45346</v>
      </c>
      <c r="C103" s="1" t="s">
        <v>132</v>
      </c>
      <c r="D103" s="1">
        <v>28</v>
      </c>
      <c r="E103" s="1" t="s">
        <v>23</v>
      </c>
      <c r="F103" s="1" t="s">
        <v>41</v>
      </c>
      <c r="G103" s="1" t="s">
        <v>25</v>
      </c>
      <c r="H103" s="1" t="s">
        <v>36</v>
      </c>
      <c r="I103" s="1">
        <v>1426.75</v>
      </c>
      <c r="J103" s="1">
        <v>36303</v>
      </c>
      <c r="K103" s="1">
        <v>3298</v>
      </c>
      <c r="L103" s="1">
        <v>316</v>
      </c>
      <c r="M103" s="1">
        <v>2</v>
      </c>
      <c r="N103" s="1">
        <v>9.0846486520000003</v>
      </c>
      <c r="O103" s="1">
        <v>9.5815645850000006</v>
      </c>
      <c r="P103" s="1">
        <f t="shared" si="0"/>
        <v>2</v>
      </c>
      <c r="V103" t="str">
        <f t="shared" si="5"/>
        <v>Top Performer</v>
      </c>
      <c r="W103" t="e" cm="1">
        <f t="array" aca="1" ref="W103" ca="1">_xlfn.IFS(N103&gt;=20, "High",N103&gt;=10, "Medium", N103&lt;10, "Low")</f>
        <v>#NAME?</v>
      </c>
      <c r="X103" t="str">
        <f t="shared" si="6"/>
        <v>High Budget</v>
      </c>
      <c r="Y103" s="7">
        <f>VLOOKUP(G103, Lookup_table!B:C,2,0)</f>
        <v>0.5</v>
      </c>
      <c r="Z103" t="str">
        <f t="shared" si="7"/>
        <v>Efficient Spend</v>
      </c>
      <c r="AA103" t="str">
        <f>VLOOKUP(H103, Lookup_table!E:F,2,0)</f>
        <v>High</v>
      </c>
    </row>
    <row r="104" spans="1:27" ht="17.5" customHeight="1" x14ac:dyDescent="0.35">
      <c r="A104" s="1" t="s">
        <v>215</v>
      </c>
      <c r="B104" s="2">
        <v>45458</v>
      </c>
      <c r="C104" s="1" t="s">
        <v>115</v>
      </c>
      <c r="D104" s="1">
        <v>51</v>
      </c>
      <c r="E104" s="1" t="s">
        <v>35</v>
      </c>
      <c r="F104" s="1" t="s">
        <v>24</v>
      </c>
      <c r="G104" s="1" t="s">
        <v>61</v>
      </c>
      <c r="H104" s="1" t="s">
        <v>32</v>
      </c>
      <c r="I104" s="1">
        <v>1402.89</v>
      </c>
      <c r="J104" s="1">
        <v>2432</v>
      </c>
      <c r="K104" s="1">
        <v>2653</v>
      </c>
      <c r="L104" s="1">
        <v>26</v>
      </c>
      <c r="M104" s="1">
        <v>1</v>
      </c>
      <c r="N104" s="1">
        <v>109.08717110000001</v>
      </c>
      <c r="O104" s="1">
        <v>0.98002261599999996</v>
      </c>
      <c r="P104" s="1">
        <f t="shared" si="0"/>
        <v>1</v>
      </c>
      <c r="U104" s="1">
        <f>COUNTIF(N100:N1000, N104&gt;100)</f>
        <v>0</v>
      </c>
      <c r="V104" t="str">
        <f t="shared" si="5"/>
        <v>Low Performer</v>
      </c>
      <c r="W104" t="e" cm="1">
        <f t="array" aca="1" ref="W104" ca="1">_xlfn.IFS(N104&gt;=20, "High",N104&gt;=10, "Medium", N104&lt;10, "Low")</f>
        <v>#NAME?</v>
      </c>
      <c r="X104" t="str">
        <f t="shared" si="6"/>
        <v>High Budget</v>
      </c>
      <c r="Y104" s="7">
        <f>VLOOKUP(G104, Lookup_table!B:C,2,0)</f>
        <v>0.2</v>
      </c>
      <c r="Z104" t="str">
        <f t="shared" si="7"/>
        <v>Inefficient Spend</v>
      </c>
      <c r="AA104" t="str">
        <f>VLOOKUP(H104, Lookup_table!E:F,2,0)</f>
        <v>Medium</v>
      </c>
    </row>
    <row r="105" spans="1:27" ht="17.5" customHeight="1" x14ac:dyDescent="0.35">
      <c r="A105" s="1" t="s">
        <v>216</v>
      </c>
      <c r="B105" s="2">
        <v>45490</v>
      </c>
      <c r="C105" s="1" t="s">
        <v>217</v>
      </c>
      <c r="D105" s="1">
        <v>55</v>
      </c>
      <c r="E105" s="1" t="s">
        <v>23</v>
      </c>
      <c r="F105" s="1" t="s">
        <v>45</v>
      </c>
      <c r="G105" s="1" t="s">
        <v>46</v>
      </c>
      <c r="H105" s="1" t="s">
        <v>62</v>
      </c>
      <c r="I105" s="1">
        <v>107.97</v>
      </c>
      <c r="J105" s="1">
        <v>35959</v>
      </c>
      <c r="K105" s="1">
        <v>1021</v>
      </c>
      <c r="L105" s="1">
        <v>38</v>
      </c>
      <c r="M105" s="1">
        <v>5</v>
      </c>
      <c r="N105" s="1">
        <v>2.839344809</v>
      </c>
      <c r="O105" s="1">
        <v>3.7218413319999999</v>
      </c>
      <c r="P105" s="1">
        <f t="shared" si="0"/>
        <v>5</v>
      </c>
      <c r="V105" t="str">
        <f t="shared" si="5"/>
        <v>Low Performer</v>
      </c>
      <c r="W105" t="e" cm="1">
        <f t="array" aca="1" ref="W105" ca="1">_xlfn.IFS(N105&gt;=20, "High",N105&gt;=10, "Medium", N105&lt;10, "Low")</f>
        <v>#NAME?</v>
      </c>
      <c r="X105" t="str">
        <f t="shared" si="6"/>
        <v>Low Budget</v>
      </c>
      <c r="Y105" s="7">
        <f>VLOOKUP(G105, Lookup_table!B:C,2,0)</f>
        <v>0.75</v>
      </c>
      <c r="Z105" t="str">
        <f t="shared" si="7"/>
        <v>Efficient Spend</v>
      </c>
      <c r="AA105" t="str">
        <f>VLOOKUP(H105, Lookup_table!E:F,2,0)</f>
        <v>Medium</v>
      </c>
    </row>
    <row r="106" spans="1:27" ht="17.5" customHeight="1" x14ac:dyDescent="0.35">
      <c r="A106" s="1" t="s">
        <v>218</v>
      </c>
      <c r="B106" s="2">
        <v>45441</v>
      </c>
      <c r="C106" s="1" t="s">
        <v>142</v>
      </c>
      <c r="D106" s="1">
        <v>62</v>
      </c>
      <c r="E106" s="1" t="s">
        <v>35</v>
      </c>
      <c r="F106" s="1" t="s">
        <v>50</v>
      </c>
      <c r="G106" s="1" t="s">
        <v>61</v>
      </c>
      <c r="H106" s="1" t="s">
        <v>36</v>
      </c>
      <c r="I106" s="1">
        <v>384.4</v>
      </c>
      <c r="J106" s="1">
        <v>37506</v>
      </c>
      <c r="K106" s="1">
        <v>3461</v>
      </c>
      <c r="L106" s="1">
        <v>118</v>
      </c>
      <c r="M106" s="1">
        <v>3</v>
      </c>
      <c r="N106" s="1">
        <v>9.2278568760000006</v>
      </c>
      <c r="O106" s="1">
        <v>3.4094192429999999</v>
      </c>
      <c r="P106" s="1">
        <f t="shared" si="0"/>
        <v>3</v>
      </c>
      <c r="V106" t="str">
        <f t="shared" si="5"/>
        <v>Average Performer</v>
      </c>
      <c r="W106" t="e" cm="1">
        <f t="array" aca="1" ref="W106" ca="1">_xlfn.IFS(N106&gt;=20, "High",N106&gt;=10, "Medium", N106&lt;10, "Low")</f>
        <v>#NAME?</v>
      </c>
      <c r="X106" t="str">
        <f t="shared" si="6"/>
        <v>Low Budget</v>
      </c>
      <c r="Y106" s="7">
        <f>VLOOKUP(G106, Lookup_table!B:C,2,0)</f>
        <v>0.2</v>
      </c>
      <c r="Z106" t="str">
        <f t="shared" si="7"/>
        <v>Efficient Spend</v>
      </c>
      <c r="AA106" t="str">
        <f>VLOOKUP(H106, Lookup_table!E:F,2,0)</f>
        <v>High</v>
      </c>
    </row>
    <row r="107" spans="1:27" ht="17.5" customHeight="1" x14ac:dyDescent="0.35">
      <c r="A107" s="1" t="s">
        <v>219</v>
      </c>
      <c r="B107" s="2">
        <v>45336</v>
      </c>
      <c r="C107" s="1" t="s">
        <v>220</v>
      </c>
      <c r="D107" s="1">
        <v>36</v>
      </c>
      <c r="E107" s="1" t="s">
        <v>29</v>
      </c>
      <c r="F107" s="1" t="s">
        <v>30</v>
      </c>
      <c r="G107" s="1" t="s">
        <v>42</v>
      </c>
      <c r="H107" s="1" t="s">
        <v>32</v>
      </c>
      <c r="I107" s="1">
        <v>334.17</v>
      </c>
      <c r="J107" s="1">
        <v>38386</v>
      </c>
      <c r="K107" s="1">
        <v>2395</v>
      </c>
      <c r="L107" s="1">
        <v>121</v>
      </c>
      <c r="M107" s="1">
        <v>4</v>
      </c>
      <c r="N107" s="1">
        <v>6.239253895</v>
      </c>
      <c r="O107" s="1">
        <v>5.052192067</v>
      </c>
      <c r="P107" s="1">
        <f t="shared" si="0"/>
        <v>4</v>
      </c>
      <c r="V107" t="str">
        <f t="shared" si="5"/>
        <v>Average Performer</v>
      </c>
      <c r="W107" t="e" cm="1">
        <f t="array" aca="1" ref="W107" ca="1">_xlfn.IFS(N107&gt;=20, "High",N107&gt;=10, "Medium", N107&lt;10, "Low")</f>
        <v>#NAME?</v>
      </c>
      <c r="X107" t="str">
        <f t="shared" si="6"/>
        <v>Low Budget</v>
      </c>
      <c r="Y107" s="7">
        <f>VLOOKUP(G107, Lookup_table!B:C,2,0)</f>
        <v>0.3</v>
      </c>
      <c r="Z107" t="str">
        <f t="shared" si="7"/>
        <v>Efficient Spend</v>
      </c>
      <c r="AA107" t="str">
        <f>VLOOKUP(H107, Lookup_table!E:F,2,0)</f>
        <v>Medium</v>
      </c>
    </row>
    <row r="108" spans="1:27" ht="17.5" customHeight="1" x14ac:dyDescent="0.35">
      <c r="A108" s="1" t="s">
        <v>221</v>
      </c>
      <c r="B108" s="2">
        <v>45427</v>
      </c>
      <c r="C108" s="1" t="s">
        <v>222</v>
      </c>
      <c r="D108" s="1">
        <v>63</v>
      </c>
      <c r="E108" s="1" t="s">
        <v>23</v>
      </c>
      <c r="F108" s="1" t="s">
        <v>30</v>
      </c>
      <c r="G108" s="1" t="s">
        <v>42</v>
      </c>
      <c r="H108" s="1" t="s">
        <v>62</v>
      </c>
      <c r="I108" s="1">
        <v>725.13</v>
      </c>
      <c r="J108" s="1">
        <v>810</v>
      </c>
      <c r="K108" s="1">
        <v>4954</v>
      </c>
      <c r="L108" s="1">
        <v>141</v>
      </c>
      <c r="M108" s="1">
        <v>4</v>
      </c>
      <c r="N108" s="1">
        <v>611.60493829999996</v>
      </c>
      <c r="O108" s="1">
        <v>2.846184901</v>
      </c>
      <c r="P108" s="1">
        <f t="shared" si="0"/>
        <v>4</v>
      </c>
      <c r="U108" s="1">
        <f>COUNTIF(N104:N1000, N108&gt;100)</f>
        <v>0</v>
      </c>
      <c r="V108" t="str">
        <f t="shared" si="5"/>
        <v>Average Performer</v>
      </c>
      <c r="W108" t="e" cm="1">
        <f t="array" aca="1" ref="W108" ca="1">_xlfn.IFS(N108&gt;=20, "High",N108&gt;=10, "Medium", N108&lt;10, "Low")</f>
        <v>#NAME?</v>
      </c>
      <c r="X108" t="str">
        <f t="shared" si="6"/>
        <v>Medium Budget</v>
      </c>
      <c r="Y108" s="7">
        <f>VLOOKUP(G108, Lookup_table!B:C,2,0)</f>
        <v>0.3</v>
      </c>
      <c r="Z108" t="str">
        <f t="shared" si="7"/>
        <v>Efficient Spend</v>
      </c>
      <c r="AA108" t="str">
        <f>VLOOKUP(H108, Lookup_table!E:F,2,0)</f>
        <v>Medium</v>
      </c>
    </row>
    <row r="109" spans="1:27" ht="17.5" customHeight="1" x14ac:dyDescent="0.35">
      <c r="A109" s="1" t="s">
        <v>223</v>
      </c>
      <c r="B109" s="2">
        <v>45501</v>
      </c>
      <c r="C109" s="1" t="s">
        <v>224</v>
      </c>
      <c r="D109" s="1">
        <v>35</v>
      </c>
      <c r="E109" s="1" t="s">
        <v>29</v>
      </c>
      <c r="F109" s="1" t="s">
        <v>24</v>
      </c>
      <c r="G109" s="1" t="s">
        <v>46</v>
      </c>
      <c r="H109" s="1" t="s">
        <v>26</v>
      </c>
      <c r="I109" s="1">
        <v>361.56</v>
      </c>
      <c r="J109" s="1">
        <v>3589</v>
      </c>
      <c r="K109" s="1">
        <v>1477</v>
      </c>
      <c r="L109" s="1">
        <v>391</v>
      </c>
      <c r="M109" s="1">
        <v>3</v>
      </c>
      <c r="N109" s="1">
        <v>41.153524660000002</v>
      </c>
      <c r="O109" s="1">
        <v>26.472579549999999</v>
      </c>
      <c r="P109" s="1">
        <f t="shared" si="0"/>
        <v>3</v>
      </c>
      <c r="V109" t="str">
        <f t="shared" si="5"/>
        <v>Average Performer</v>
      </c>
      <c r="W109" t="e" cm="1">
        <f t="array" aca="1" ref="W109" ca="1">_xlfn.IFS(N109&gt;=20, "High",N109&gt;=10, "Medium", N109&lt;10, "Low")</f>
        <v>#NAME?</v>
      </c>
      <c r="X109" t="str">
        <f t="shared" si="6"/>
        <v>Low Budget</v>
      </c>
      <c r="Y109" s="7">
        <f>VLOOKUP(G109, Lookup_table!B:C,2,0)</f>
        <v>0.75</v>
      </c>
      <c r="Z109" t="str">
        <f t="shared" si="7"/>
        <v>Efficient Spend</v>
      </c>
      <c r="AA109" t="str">
        <f>VLOOKUP(H109, Lookup_table!E:F,2,0)</f>
        <v>High</v>
      </c>
    </row>
    <row r="110" spans="1:27" ht="17.5" customHeight="1" x14ac:dyDescent="0.35">
      <c r="A110" s="1" t="s">
        <v>225</v>
      </c>
      <c r="B110" s="2">
        <v>45489</v>
      </c>
      <c r="C110" s="1" t="s">
        <v>170</v>
      </c>
      <c r="D110" s="1">
        <v>64</v>
      </c>
      <c r="E110" s="1" t="s">
        <v>23</v>
      </c>
      <c r="F110" s="1" t="s">
        <v>45</v>
      </c>
      <c r="G110" s="1" t="s">
        <v>46</v>
      </c>
      <c r="H110" s="1" t="s">
        <v>26</v>
      </c>
      <c r="I110" s="1">
        <v>893.1</v>
      </c>
      <c r="J110" s="1">
        <v>7956</v>
      </c>
      <c r="K110" s="1">
        <v>2295</v>
      </c>
      <c r="L110" s="1">
        <v>133</v>
      </c>
      <c r="M110" s="1">
        <v>4</v>
      </c>
      <c r="N110" s="1">
        <v>28.84615385</v>
      </c>
      <c r="O110" s="1">
        <v>5.7952069719999999</v>
      </c>
      <c r="P110" s="1">
        <f t="shared" si="0"/>
        <v>4</v>
      </c>
      <c r="V110" t="str">
        <f t="shared" si="5"/>
        <v>Average Performer</v>
      </c>
      <c r="W110" t="e" cm="1">
        <f t="array" aca="1" ref="W110" ca="1">_xlfn.IFS(N110&gt;=20, "High",N110&gt;=10, "Medium", N110&lt;10, "Low")</f>
        <v>#NAME?</v>
      </c>
      <c r="X110" t="str">
        <f t="shared" si="6"/>
        <v>Medium Budget</v>
      </c>
      <c r="Y110" s="7">
        <f>VLOOKUP(G110, Lookup_table!B:C,2,0)</f>
        <v>0.75</v>
      </c>
      <c r="Z110" t="str">
        <f t="shared" si="7"/>
        <v>Efficient Spend</v>
      </c>
      <c r="AA110" t="str">
        <f>VLOOKUP(H110, Lookup_table!E:F,2,0)</f>
        <v>High</v>
      </c>
    </row>
    <row r="111" spans="1:27" ht="17.5" customHeight="1" x14ac:dyDescent="0.35">
      <c r="A111" s="1" t="s">
        <v>226</v>
      </c>
      <c r="B111" s="2">
        <v>45392</v>
      </c>
      <c r="C111" s="1" t="s">
        <v>227</v>
      </c>
      <c r="D111" s="1">
        <v>35</v>
      </c>
      <c r="E111" s="1" t="s">
        <v>23</v>
      </c>
      <c r="F111" s="1" t="s">
        <v>30</v>
      </c>
      <c r="G111" s="1" t="s">
        <v>25</v>
      </c>
      <c r="H111" s="1" t="s">
        <v>36</v>
      </c>
      <c r="I111" s="1">
        <v>1463.5</v>
      </c>
      <c r="J111" s="1">
        <v>42994</v>
      </c>
      <c r="K111" s="1">
        <v>1143</v>
      </c>
      <c r="L111" s="1">
        <v>63</v>
      </c>
      <c r="N111" s="1">
        <v>2.6585104899999998</v>
      </c>
      <c r="O111" s="1">
        <v>5.511811024</v>
      </c>
      <c r="P111" s="1">
        <f t="shared" si="0"/>
        <v>3</v>
      </c>
      <c r="V111" t="str">
        <f t="shared" si="5"/>
        <v>Low Performer</v>
      </c>
      <c r="W111" t="e" cm="1">
        <f t="array" aca="1" ref="W111" ca="1">_xlfn.IFS(N111&gt;=20, "High",N111&gt;=10, "Medium", N111&lt;10, "Low")</f>
        <v>#NAME?</v>
      </c>
      <c r="X111" t="str">
        <f t="shared" si="6"/>
        <v>High Budget</v>
      </c>
      <c r="Y111" s="7">
        <f>VLOOKUP(G111, Lookup_table!B:C,2,0)</f>
        <v>0.5</v>
      </c>
      <c r="Z111" t="str">
        <f t="shared" si="7"/>
        <v>Inefficient Spend</v>
      </c>
      <c r="AA111" t="str">
        <f>VLOOKUP(H111, Lookup_table!E:F,2,0)</f>
        <v>High</v>
      </c>
    </row>
    <row r="112" spans="1:27" ht="17.5" customHeight="1" x14ac:dyDescent="0.35">
      <c r="A112" s="1" t="s">
        <v>228</v>
      </c>
      <c r="B112" s="2">
        <v>45472</v>
      </c>
      <c r="C112" s="1" t="s">
        <v>132</v>
      </c>
      <c r="D112" s="1">
        <v>52</v>
      </c>
      <c r="E112" s="1" t="s">
        <v>35</v>
      </c>
      <c r="F112" s="1" t="s">
        <v>57</v>
      </c>
      <c r="G112" s="1" t="s">
        <v>31</v>
      </c>
      <c r="H112" s="1" t="s">
        <v>32</v>
      </c>
      <c r="I112" s="1">
        <v>1633.86</v>
      </c>
      <c r="J112" s="1">
        <v>24294</v>
      </c>
      <c r="K112" s="1">
        <v>4522</v>
      </c>
      <c r="L112" s="1">
        <v>82</v>
      </c>
      <c r="M112" s="1">
        <v>4</v>
      </c>
      <c r="N112" s="1">
        <v>18.613649460000001</v>
      </c>
      <c r="O112" s="1">
        <v>1.8133569220000001</v>
      </c>
      <c r="P112" s="1">
        <f t="shared" si="0"/>
        <v>4</v>
      </c>
      <c r="V112" t="str">
        <f t="shared" si="5"/>
        <v>Low Performer</v>
      </c>
      <c r="W112" t="e" cm="1">
        <f t="array" aca="1" ref="W112" ca="1">_xlfn.IFS(N112&gt;=20, "High",N112&gt;=10, "Medium", N112&lt;10, "Low")</f>
        <v>#NAME?</v>
      </c>
      <c r="X112" t="str">
        <f t="shared" si="6"/>
        <v>High Budget</v>
      </c>
      <c r="Y112" s="7">
        <f>VLOOKUP(G112, Lookup_table!B:C,2,0)</f>
        <v>1.2</v>
      </c>
      <c r="Z112" t="str">
        <f t="shared" si="7"/>
        <v>Efficient Spend</v>
      </c>
      <c r="AA112" t="str">
        <f>VLOOKUP(H112, Lookup_table!E:F,2,0)</f>
        <v>Medium</v>
      </c>
    </row>
    <row r="113" spans="1:27" ht="17.5" customHeight="1" x14ac:dyDescent="0.35">
      <c r="A113" s="1" t="s">
        <v>229</v>
      </c>
      <c r="B113" s="2">
        <v>45461</v>
      </c>
      <c r="C113" s="1" t="s">
        <v>230</v>
      </c>
      <c r="D113" s="1">
        <v>26</v>
      </c>
      <c r="E113" s="1" t="s">
        <v>29</v>
      </c>
      <c r="F113" s="1" t="s">
        <v>50</v>
      </c>
      <c r="G113" s="1" t="s">
        <v>46</v>
      </c>
      <c r="H113" s="1" t="s">
        <v>26</v>
      </c>
      <c r="I113" s="1">
        <v>1683.74</v>
      </c>
      <c r="J113" s="1">
        <v>49199</v>
      </c>
      <c r="K113" s="1">
        <v>1206</v>
      </c>
      <c r="L113" s="1">
        <v>143</v>
      </c>
      <c r="M113" s="1">
        <v>1</v>
      </c>
      <c r="N113" s="1">
        <v>2.4512693350000001</v>
      </c>
      <c r="O113" s="1">
        <v>11.85737977</v>
      </c>
      <c r="P113" s="1">
        <f t="shared" si="0"/>
        <v>1</v>
      </c>
      <c r="V113" t="str">
        <f t="shared" si="5"/>
        <v>Average Performer</v>
      </c>
      <c r="W113" t="e" cm="1">
        <f t="array" aca="1" ref="W113" ca="1">_xlfn.IFS(N113&gt;=20, "High",N113&gt;=10, "Medium", N113&lt;10, "Low")</f>
        <v>#NAME?</v>
      </c>
      <c r="X113" t="str">
        <f t="shared" si="6"/>
        <v>High Budget</v>
      </c>
      <c r="Y113" s="7">
        <f>VLOOKUP(G113, Lookup_table!B:C,2,0)</f>
        <v>0.75</v>
      </c>
      <c r="Z113" t="str">
        <f t="shared" si="7"/>
        <v>Inefficient Spend</v>
      </c>
      <c r="AA113" t="str">
        <f>VLOOKUP(H113, Lookup_table!E:F,2,0)</f>
        <v>High</v>
      </c>
    </row>
    <row r="114" spans="1:27" ht="17.5" customHeight="1" x14ac:dyDescent="0.35">
      <c r="A114" s="1" t="s">
        <v>231</v>
      </c>
      <c r="B114" s="2">
        <v>45321</v>
      </c>
      <c r="C114" s="1" t="s">
        <v>232</v>
      </c>
      <c r="D114" s="9">
        <v>41</v>
      </c>
      <c r="E114" s="1" t="s">
        <v>35</v>
      </c>
      <c r="G114" s="1" t="s">
        <v>25</v>
      </c>
      <c r="H114" s="1" t="s">
        <v>36</v>
      </c>
      <c r="I114" s="1">
        <v>520.96</v>
      </c>
      <c r="J114" s="1">
        <v>31499</v>
      </c>
      <c r="K114" s="1">
        <v>2032</v>
      </c>
      <c r="L114" s="1">
        <v>53</v>
      </c>
      <c r="N114" s="1">
        <v>6.4509984439999997</v>
      </c>
      <c r="O114" s="1">
        <v>2.6082677169999999</v>
      </c>
      <c r="P114" s="1">
        <f t="shared" si="0"/>
        <v>3</v>
      </c>
      <c r="V114" t="str">
        <f t="shared" si="5"/>
        <v>Low Performer</v>
      </c>
      <c r="W114" t="e" cm="1">
        <f t="array" aca="1" ref="W114" ca="1">_xlfn.IFS(N114&gt;=20, "High",N114&gt;=10, "Medium", N114&lt;10, "Low")</f>
        <v>#NAME?</v>
      </c>
      <c r="X114" t="str">
        <f t="shared" si="6"/>
        <v>Medium Budget</v>
      </c>
      <c r="Y114" s="7">
        <f>VLOOKUP(G114, Lookup_table!B:C,2,0)</f>
        <v>0.5</v>
      </c>
      <c r="Z114" t="str">
        <f t="shared" si="7"/>
        <v>Efficient Spend</v>
      </c>
      <c r="AA114" t="str">
        <f>VLOOKUP(H114, Lookup_table!E:F,2,0)</f>
        <v>High</v>
      </c>
    </row>
    <row r="115" spans="1:27" ht="17.5" customHeight="1" x14ac:dyDescent="0.35">
      <c r="A115" s="1" t="s">
        <v>233</v>
      </c>
      <c r="B115" s="2">
        <v>45574</v>
      </c>
      <c r="C115" s="1" t="s">
        <v>234</v>
      </c>
      <c r="D115" s="1">
        <v>23</v>
      </c>
      <c r="E115" s="1" t="s">
        <v>23</v>
      </c>
      <c r="F115" s="1" t="s">
        <v>57</v>
      </c>
      <c r="G115" s="1" t="s">
        <v>46</v>
      </c>
      <c r="H115" s="1" t="s">
        <v>26</v>
      </c>
      <c r="I115" s="1">
        <v>1012.19</v>
      </c>
      <c r="J115" s="1">
        <v>49830</v>
      </c>
      <c r="K115" s="1">
        <v>4377</v>
      </c>
      <c r="L115" s="1">
        <v>47</v>
      </c>
      <c r="M115" s="1">
        <v>4</v>
      </c>
      <c r="N115" s="1">
        <v>8.7838651409999997</v>
      </c>
      <c r="O115" s="1">
        <v>1.0737948369999999</v>
      </c>
      <c r="P115" s="1">
        <f t="shared" si="0"/>
        <v>4</v>
      </c>
      <c r="V115" t="str">
        <f t="shared" si="5"/>
        <v>Low Performer</v>
      </c>
      <c r="W115" t="e" cm="1">
        <f t="array" aca="1" ref="W115" ca="1">_xlfn.IFS(N115&gt;=20, "High",N115&gt;=10, "Medium", N115&lt;10, "Low")</f>
        <v>#NAME?</v>
      </c>
      <c r="X115" t="str">
        <f t="shared" si="6"/>
        <v>High Budget</v>
      </c>
      <c r="Y115" s="7">
        <f>VLOOKUP(G115, Lookup_table!B:C,2,0)</f>
        <v>0.75</v>
      </c>
      <c r="Z115" t="str">
        <f t="shared" si="7"/>
        <v>Efficient Spend</v>
      </c>
      <c r="AA115" t="str">
        <f>VLOOKUP(H115, Lookup_table!E:F,2,0)</f>
        <v>High</v>
      </c>
    </row>
    <row r="116" spans="1:27" ht="17.5" customHeight="1" x14ac:dyDescent="0.35">
      <c r="A116" s="1" t="s">
        <v>235</v>
      </c>
      <c r="B116" s="2">
        <v>45612</v>
      </c>
      <c r="C116" s="1" t="s">
        <v>157</v>
      </c>
      <c r="D116" s="1">
        <v>40</v>
      </c>
      <c r="E116" s="1" t="s">
        <v>29</v>
      </c>
      <c r="F116" s="1" t="s">
        <v>45</v>
      </c>
      <c r="G116" s="1" t="s">
        <v>42</v>
      </c>
      <c r="H116" s="1" t="s">
        <v>26</v>
      </c>
      <c r="I116" s="1">
        <v>1670.57</v>
      </c>
      <c r="J116" s="1">
        <v>6743</v>
      </c>
      <c r="K116" s="1">
        <v>4490</v>
      </c>
      <c r="L116" s="1">
        <v>267</v>
      </c>
      <c r="M116" s="1">
        <v>1</v>
      </c>
      <c r="N116" s="1">
        <v>66.587572300000005</v>
      </c>
      <c r="O116" s="1">
        <v>5.9465478840000001</v>
      </c>
      <c r="P116" s="1">
        <f t="shared" si="0"/>
        <v>1</v>
      </c>
      <c r="V116" t="str">
        <f t="shared" si="5"/>
        <v>Top Performer</v>
      </c>
      <c r="W116" t="e" cm="1">
        <f t="array" aca="1" ref="W116" ca="1">_xlfn.IFS(N116&gt;=20, "High",N116&gt;=10, "Medium", N116&lt;10, "Low")</f>
        <v>#NAME?</v>
      </c>
      <c r="X116" t="str">
        <f t="shared" si="6"/>
        <v>High Budget</v>
      </c>
      <c r="Y116" s="7">
        <f>VLOOKUP(G116, Lookup_table!B:C,2,0)</f>
        <v>0.3</v>
      </c>
      <c r="Z116" t="str">
        <f t="shared" si="7"/>
        <v>Inefficient Spend</v>
      </c>
      <c r="AA116" t="str">
        <f>VLOOKUP(H116, Lookup_table!E:F,2,0)</f>
        <v>High</v>
      </c>
    </row>
    <row r="117" spans="1:27" ht="17.5" customHeight="1" x14ac:dyDescent="0.35">
      <c r="A117" s="1" t="s">
        <v>236</v>
      </c>
      <c r="B117" s="2">
        <v>45544</v>
      </c>
      <c r="C117" s="1" t="s">
        <v>178</v>
      </c>
      <c r="D117" s="1">
        <v>58</v>
      </c>
      <c r="E117" s="1" t="s">
        <v>29</v>
      </c>
      <c r="F117" s="1" t="s">
        <v>45</v>
      </c>
      <c r="G117" s="1" t="s">
        <v>42</v>
      </c>
      <c r="H117" s="1" t="s">
        <v>32</v>
      </c>
      <c r="I117" s="1">
        <v>1827.49</v>
      </c>
      <c r="J117" s="1">
        <v>24691</v>
      </c>
      <c r="K117" s="1">
        <v>2290</v>
      </c>
      <c r="L117" s="1">
        <v>231</v>
      </c>
      <c r="M117" s="1">
        <v>4</v>
      </c>
      <c r="N117" s="1">
        <v>9.2746344819999997</v>
      </c>
      <c r="O117" s="1">
        <v>10.087336240000001</v>
      </c>
      <c r="P117" s="1">
        <f t="shared" si="0"/>
        <v>4</v>
      </c>
      <c r="V117" t="str">
        <f t="shared" si="5"/>
        <v>Average Performer</v>
      </c>
      <c r="W117" t="e" cm="1">
        <f t="array" aca="1" ref="W117" ca="1">_xlfn.IFS(N117&gt;=20, "High",N117&gt;=10, "Medium", N117&lt;10, "Low")</f>
        <v>#NAME?</v>
      </c>
      <c r="X117" t="str">
        <f t="shared" si="6"/>
        <v>High Budget</v>
      </c>
      <c r="Y117" s="7">
        <f>VLOOKUP(G117, Lookup_table!B:C,2,0)</f>
        <v>0.3</v>
      </c>
      <c r="Z117" t="str">
        <f t="shared" si="7"/>
        <v>Inefficient Spend</v>
      </c>
      <c r="AA117" t="str">
        <f>VLOOKUP(H117, Lookup_table!E:F,2,0)</f>
        <v>Medium</v>
      </c>
    </row>
    <row r="118" spans="1:27" ht="17.5" customHeight="1" x14ac:dyDescent="0.35">
      <c r="A118" s="1" t="s">
        <v>237</v>
      </c>
      <c r="B118" s="2">
        <v>45482</v>
      </c>
      <c r="C118" s="1" t="s">
        <v>238</v>
      </c>
      <c r="D118" s="1">
        <v>36</v>
      </c>
      <c r="E118" s="1" t="s">
        <v>23</v>
      </c>
      <c r="F118" s="1" t="s">
        <v>24</v>
      </c>
      <c r="G118" s="1" t="s">
        <v>42</v>
      </c>
      <c r="H118" s="1" t="s">
        <v>62</v>
      </c>
      <c r="I118" s="1">
        <v>1461.83</v>
      </c>
      <c r="J118" s="1">
        <v>37177</v>
      </c>
      <c r="K118" s="1">
        <v>2771</v>
      </c>
      <c r="L118" s="1">
        <v>158</v>
      </c>
      <c r="N118" s="1">
        <v>7.4535330980000003</v>
      </c>
      <c r="O118" s="1">
        <v>5.7019126670000002</v>
      </c>
      <c r="P118" s="1">
        <f t="shared" si="0"/>
        <v>3</v>
      </c>
      <c r="V118" t="str">
        <f t="shared" si="5"/>
        <v>Average Performer</v>
      </c>
      <c r="W118" t="e" cm="1">
        <f t="array" aca="1" ref="W118" ca="1">_xlfn.IFS(N118&gt;=20, "High",N118&gt;=10, "Medium", N118&lt;10, "Low")</f>
        <v>#NAME?</v>
      </c>
      <c r="X118" t="str">
        <f t="shared" si="6"/>
        <v>High Budget</v>
      </c>
      <c r="Y118" s="7">
        <f>VLOOKUP(G118, Lookup_table!B:C,2,0)</f>
        <v>0.3</v>
      </c>
      <c r="Z118" t="str">
        <f t="shared" si="7"/>
        <v>Inefficient Spend</v>
      </c>
      <c r="AA118" t="str">
        <f>VLOOKUP(H118, Lookup_table!E:F,2,0)</f>
        <v>Medium</v>
      </c>
    </row>
    <row r="119" spans="1:27" ht="17.5" customHeight="1" x14ac:dyDescent="0.35">
      <c r="A119" s="1" t="s">
        <v>239</v>
      </c>
      <c r="B119" s="2">
        <v>45506</v>
      </c>
      <c r="C119" s="1" t="s">
        <v>90</v>
      </c>
      <c r="D119" s="1">
        <v>19</v>
      </c>
      <c r="E119" s="1" t="s">
        <v>29</v>
      </c>
      <c r="F119" s="1" t="s">
        <v>57</v>
      </c>
      <c r="G119" s="1" t="s">
        <v>61</v>
      </c>
      <c r="H119" s="1" t="s">
        <v>32</v>
      </c>
      <c r="I119" s="1">
        <v>982.76</v>
      </c>
      <c r="J119" s="1">
        <v>37435</v>
      </c>
      <c r="K119" s="1">
        <v>4776</v>
      </c>
      <c r="L119" s="1">
        <v>312</v>
      </c>
      <c r="N119" s="1">
        <v>12.75811406</v>
      </c>
      <c r="O119" s="1">
        <v>6.5326633169999999</v>
      </c>
      <c r="P119" s="1">
        <f t="shared" si="0"/>
        <v>3</v>
      </c>
      <c r="V119" t="str">
        <f t="shared" si="5"/>
        <v>Top Performer</v>
      </c>
      <c r="W119" t="e" cm="1">
        <f t="array" aca="1" ref="W119" ca="1">_xlfn.IFS(N119&gt;=20, "High",N119&gt;=10, "Medium", N119&lt;10, "Low")</f>
        <v>#NAME?</v>
      </c>
      <c r="X119" t="str">
        <f t="shared" si="6"/>
        <v>Medium Budget</v>
      </c>
      <c r="Y119" s="7">
        <f>VLOOKUP(G119, Lookup_table!B:C,2,0)</f>
        <v>0.2</v>
      </c>
      <c r="Z119" t="str">
        <f t="shared" si="7"/>
        <v>Inefficient Spend</v>
      </c>
      <c r="AA119" t="str">
        <f>VLOOKUP(H119, Lookup_table!E:F,2,0)</f>
        <v>Medium</v>
      </c>
    </row>
    <row r="120" spans="1:27" ht="17.5" customHeight="1" x14ac:dyDescent="0.35">
      <c r="A120" s="1" t="s">
        <v>240</v>
      </c>
      <c r="B120" s="2">
        <v>45518</v>
      </c>
      <c r="C120" s="1" t="s">
        <v>241</v>
      </c>
      <c r="D120" s="1">
        <v>63</v>
      </c>
      <c r="E120" s="1" t="s">
        <v>35</v>
      </c>
      <c r="F120" s="1" t="s">
        <v>41</v>
      </c>
      <c r="G120" s="1" t="s">
        <v>25</v>
      </c>
      <c r="H120" s="1" t="s">
        <v>32</v>
      </c>
      <c r="I120" s="1">
        <v>366.7</v>
      </c>
      <c r="J120" s="1">
        <v>3377</v>
      </c>
      <c r="K120" s="1">
        <v>1408</v>
      </c>
      <c r="L120" s="1">
        <v>95</v>
      </c>
      <c r="M120" s="1">
        <v>1</v>
      </c>
      <c r="N120" s="1">
        <v>41.693811070000002</v>
      </c>
      <c r="O120" s="1">
        <v>6.7471590910000003</v>
      </c>
      <c r="P120" s="1">
        <f t="shared" si="0"/>
        <v>1</v>
      </c>
      <c r="V120" t="str">
        <f t="shared" si="5"/>
        <v>Low Performer</v>
      </c>
      <c r="W120" t="e" cm="1">
        <f t="array" aca="1" ref="W120" ca="1">_xlfn.IFS(N120&gt;=20, "High",N120&gt;=10, "Medium", N120&lt;10, "Low")</f>
        <v>#NAME?</v>
      </c>
      <c r="X120" t="str">
        <f t="shared" si="6"/>
        <v>Low Budget</v>
      </c>
      <c r="Y120" s="7">
        <f>VLOOKUP(G120, Lookup_table!B:C,2,0)</f>
        <v>0.5</v>
      </c>
      <c r="Z120" t="str">
        <f t="shared" si="7"/>
        <v>Efficient Spend</v>
      </c>
      <c r="AA120" t="str">
        <f>VLOOKUP(H120, Lookup_table!E:F,2,0)</f>
        <v>Medium</v>
      </c>
    </row>
    <row r="121" spans="1:27" ht="17.5" customHeight="1" x14ac:dyDescent="0.35">
      <c r="A121" s="1" t="s">
        <v>242</v>
      </c>
      <c r="B121" s="2">
        <v>45304</v>
      </c>
      <c r="C121" s="1" t="s">
        <v>243</v>
      </c>
      <c r="D121" s="1">
        <v>50</v>
      </c>
      <c r="E121" s="1" t="s">
        <v>23</v>
      </c>
      <c r="F121" s="1" t="s">
        <v>45</v>
      </c>
      <c r="G121" s="1" t="s">
        <v>25</v>
      </c>
      <c r="H121" s="1" t="s">
        <v>36</v>
      </c>
      <c r="I121" s="1">
        <v>1592.51</v>
      </c>
      <c r="J121" s="1">
        <v>39679</v>
      </c>
      <c r="K121" s="1">
        <v>4507</v>
      </c>
      <c r="L121" s="1">
        <v>282</v>
      </c>
      <c r="M121" s="1">
        <v>4</v>
      </c>
      <c r="N121" s="1">
        <v>11.35865319</v>
      </c>
      <c r="O121" s="1">
        <v>6.2569336590000004</v>
      </c>
      <c r="P121" s="1">
        <f t="shared" si="0"/>
        <v>4</v>
      </c>
      <c r="V121" t="str">
        <f t="shared" si="5"/>
        <v>Top Performer</v>
      </c>
      <c r="W121" t="e" cm="1">
        <f t="array" aca="1" ref="W121" ca="1">_xlfn.IFS(N121&gt;=20, "High",N121&gt;=10, "Medium", N121&lt;10, "Low")</f>
        <v>#NAME?</v>
      </c>
      <c r="X121" t="str">
        <f t="shared" si="6"/>
        <v>High Budget</v>
      </c>
      <c r="Y121" s="7">
        <f>VLOOKUP(G121, Lookup_table!B:C,2,0)</f>
        <v>0.5</v>
      </c>
      <c r="Z121" t="str">
        <f t="shared" si="7"/>
        <v>Efficient Spend</v>
      </c>
      <c r="AA121" t="str">
        <f>VLOOKUP(H121, Lookup_table!E:F,2,0)</f>
        <v>High</v>
      </c>
    </row>
    <row r="122" spans="1:27" ht="17.5" customHeight="1" x14ac:dyDescent="0.35">
      <c r="A122" s="1" t="s">
        <v>244</v>
      </c>
      <c r="B122" s="2">
        <v>45426</v>
      </c>
      <c r="C122" s="1" t="s">
        <v>245</v>
      </c>
      <c r="D122" s="1">
        <v>25</v>
      </c>
      <c r="E122" s="1" t="s">
        <v>35</v>
      </c>
      <c r="F122" s="1" t="s">
        <v>57</v>
      </c>
      <c r="G122" s="1" t="s">
        <v>42</v>
      </c>
      <c r="H122" s="1" t="s">
        <v>36</v>
      </c>
      <c r="I122" s="1">
        <v>606.88</v>
      </c>
      <c r="J122" s="1">
        <v>23642</v>
      </c>
      <c r="K122" s="1">
        <v>2061</v>
      </c>
      <c r="L122" s="1">
        <v>334</v>
      </c>
      <c r="M122" s="1">
        <v>5</v>
      </c>
      <c r="N122" s="1">
        <v>8.7175365869999997</v>
      </c>
      <c r="O122" s="1">
        <v>16.205725380000001</v>
      </c>
      <c r="P122" s="1">
        <f t="shared" si="0"/>
        <v>5</v>
      </c>
      <c r="V122" t="str">
        <f t="shared" si="5"/>
        <v>Average Performer</v>
      </c>
      <c r="W122" t="e" cm="1">
        <f t="array" aca="1" ref="W122" ca="1">_xlfn.IFS(N122&gt;=20, "High",N122&gt;=10, "Medium", N122&lt;10, "Low")</f>
        <v>#NAME?</v>
      </c>
      <c r="X122" t="str">
        <f t="shared" si="6"/>
        <v>Medium Budget</v>
      </c>
      <c r="Y122" s="7">
        <f>VLOOKUP(G122, Lookup_table!B:C,2,0)</f>
        <v>0.3</v>
      </c>
      <c r="Z122" t="str">
        <f t="shared" si="7"/>
        <v>Efficient Spend</v>
      </c>
      <c r="AA122" t="str">
        <f>VLOOKUP(H122, Lookup_table!E:F,2,0)</f>
        <v>High</v>
      </c>
    </row>
    <row r="123" spans="1:27" ht="17.5" customHeight="1" x14ac:dyDescent="0.35">
      <c r="A123" s="1" t="s">
        <v>246</v>
      </c>
      <c r="B123" s="2">
        <v>45398</v>
      </c>
      <c r="C123" s="1" t="s">
        <v>38</v>
      </c>
      <c r="D123" s="1">
        <v>22</v>
      </c>
      <c r="E123" s="1" t="s">
        <v>29</v>
      </c>
      <c r="F123" s="1" t="s">
        <v>57</v>
      </c>
      <c r="G123" s="1" t="s">
        <v>46</v>
      </c>
      <c r="H123" s="1" t="s">
        <v>36</v>
      </c>
      <c r="I123" s="1">
        <v>371.95</v>
      </c>
      <c r="J123" s="1">
        <v>31624</v>
      </c>
      <c r="K123" s="1">
        <v>1475</v>
      </c>
      <c r="L123" s="1">
        <v>103</v>
      </c>
      <c r="M123" s="1">
        <v>5</v>
      </c>
      <c r="N123" s="1">
        <v>4.6641791039999996</v>
      </c>
      <c r="O123" s="1">
        <v>6.9830508470000003</v>
      </c>
      <c r="P123" s="1">
        <f t="shared" si="0"/>
        <v>5</v>
      </c>
      <c r="V123" t="str">
        <f t="shared" si="5"/>
        <v>Average Performer</v>
      </c>
      <c r="W123" t="e" cm="1">
        <f t="array" aca="1" ref="W123" ca="1">_xlfn.IFS(N123&gt;=20, "High",N123&gt;=10, "Medium", N123&lt;10, "Low")</f>
        <v>#NAME?</v>
      </c>
      <c r="X123" t="str">
        <f t="shared" si="6"/>
        <v>Low Budget</v>
      </c>
      <c r="Y123" s="7">
        <f>VLOOKUP(G123, Lookup_table!B:C,2,0)</f>
        <v>0.75</v>
      </c>
      <c r="Z123" t="str">
        <f t="shared" si="7"/>
        <v>Efficient Spend</v>
      </c>
      <c r="AA123" t="str">
        <f>VLOOKUP(H123, Lookup_table!E:F,2,0)</f>
        <v>High</v>
      </c>
    </row>
    <row r="124" spans="1:27" ht="17.5" customHeight="1" x14ac:dyDescent="0.35">
      <c r="A124" s="1" t="s">
        <v>247</v>
      </c>
      <c r="B124" s="2">
        <v>45402</v>
      </c>
      <c r="C124" s="1" t="s">
        <v>40</v>
      </c>
      <c r="D124" s="1">
        <v>47</v>
      </c>
      <c r="E124" s="1" t="s">
        <v>29</v>
      </c>
      <c r="F124" s="1" t="s">
        <v>45</v>
      </c>
      <c r="G124" s="1" t="s">
        <v>61</v>
      </c>
      <c r="H124" s="1" t="s">
        <v>26</v>
      </c>
      <c r="I124" s="1">
        <v>406.11</v>
      </c>
      <c r="J124" s="1">
        <v>6274</v>
      </c>
      <c r="K124" s="1">
        <v>4683</v>
      </c>
      <c r="L124" s="1">
        <v>300</v>
      </c>
      <c r="M124" s="1">
        <v>1</v>
      </c>
      <c r="N124" s="1">
        <v>74.641377109999993</v>
      </c>
      <c r="O124" s="1">
        <v>6.4061499040000003</v>
      </c>
      <c r="P124" s="1">
        <f t="shared" si="0"/>
        <v>1</v>
      </c>
      <c r="V124" t="str">
        <f t="shared" si="5"/>
        <v>Top Performer</v>
      </c>
      <c r="W124" t="e" cm="1">
        <f t="array" aca="1" ref="W124" ca="1">_xlfn.IFS(N124&gt;=20, "High",N124&gt;=10, "Medium", N124&lt;10, "Low")</f>
        <v>#NAME?</v>
      </c>
      <c r="X124" t="str">
        <f t="shared" si="6"/>
        <v>Low Budget</v>
      </c>
      <c r="Y124" s="7">
        <f>VLOOKUP(G124, Lookup_table!B:C,2,0)</f>
        <v>0.2</v>
      </c>
      <c r="Z124" t="str">
        <f t="shared" si="7"/>
        <v>Efficient Spend</v>
      </c>
      <c r="AA124" t="str">
        <f>VLOOKUP(H124, Lookup_table!E:F,2,0)</f>
        <v>High</v>
      </c>
    </row>
    <row r="125" spans="1:27" ht="17.5" customHeight="1" x14ac:dyDescent="0.35">
      <c r="A125" s="1" t="s">
        <v>248</v>
      </c>
      <c r="B125" s="2">
        <v>45641</v>
      </c>
      <c r="C125" s="1" t="s">
        <v>34</v>
      </c>
      <c r="D125" s="1">
        <v>30</v>
      </c>
      <c r="E125" s="1" t="s">
        <v>29</v>
      </c>
      <c r="F125" s="1" t="s">
        <v>30</v>
      </c>
      <c r="G125" s="1" t="s">
        <v>61</v>
      </c>
      <c r="H125" s="1" t="s">
        <v>62</v>
      </c>
      <c r="I125" s="1">
        <v>1414.99</v>
      </c>
      <c r="J125" s="1">
        <v>36111</v>
      </c>
      <c r="K125" s="1">
        <v>1260</v>
      </c>
      <c r="L125" s="1">
        <v>176</v>
      </c>
      <c r="M125" s="1">
        <v>1</v>
      </c>
      <c r="N125" s="1">
        <v>3.4892415049999999</v>
      </c>
      <c r="O125" s="1">
        <v>13.968253969999999</v>
      </c>
      <c r="P125" s="1">
        <f t="shared" si="0"/>
        <v>1</v>
      </c>
      <c r="V125" t="str">
        <f t="shared" si="5"/>
        <v>Average Performer</v>
      </c>
      <c r="W125" t="e" cm="1">
        <f t="array" aca="1" ref="W125" ca="1">_xlfn.IFS(N125&gt;=20, "High",N125&gt;=10, "Medium", N125&lt;10, "Low")</f>
        <v>#NAME?</v>
      </c>
      <c r="X125" t="str">
        <f t="shared" si="6"/>
        <v>High Budget</v>
      </c>
      <c r="Y125" s="7">
        <f>VLOOKUP(G125, Lookup_table!B:C,2,0)</f>
        <v>0.2</v>
      </c>
      <c r="Z125" t="str">
        <f t="shared" si="7"/>
        <v>Inefficient Spend</v>
      </c>
      <c r="AA125" t="str">
        <f>VLOOKUP(H125, Lookup_table!E:F,2,0)</f>
        <v>Medium</v>
      </c>
    </row>
    <row r="126" spans="1:27" ht="17.5" customHeight="1" x14ac:dyDescent="0.35">
      <c r="A126" s="1" t="s">
        <v>249</v>
      </c>
      <c r="B126" s="2">
        <v>45526</v>
      </c>
      <c r="C126" s="1" t="s">
        <v>100</v>
      </c>
      <c r="D126" s="1">
        <v>54</v>
      </c>
      <c r="E126" s="1" t="s">
        <v>35</v>
      </c>
      <c r="F126" s="1" t="s">
        <v>50</v>
      </c>
      <c r="G126" s="1" t="s">
        <v>42</v>
      </c>
      <c r="H126" s="1" t="s">
        <v>62</v>
      </c>
      <c r="I126" s="1">
        <v>1846.41</v>
      </c>
      <c r="J126" s="1">
        <v>37794</v>
      </c>
      <c r="K126" s="1">
        <v>2188</v>
      </c>
      <c r="L126" s="1">
        <v>245</v>
      </c>
      <c r="N126" s="1">
        <v>5.7892787209999996</v>
      </c>
      <c r="O126" s="1">
        <v>11.197440589999999</v>
      </c>
      <c r="P126" s="1">
        <f t="shared" si="0"/>
        <v>3</v>
      </c>
      <c r="V126" t="str">
        <f t="shared" si="5"/>
        <v>Average Performer</v>
      </c>
      <c r="W126" t="e" cm="1">
        <f t="array" aca="1" ref="W126" ca="1">_xlfn.IFS(N126&gt;=20, "High",N126&gt;=10, "Medium", N126&lt;10, "Low")</f>
        <v>#NAME?</v>
      </c>
      <c r="X126" t="str">
        <f t="shared" si="6"/>
        <v>High Budget</v>
      </c>
      <c r="Y126" s="7">
        <f>VLOOKUP(G126, Lookup_table!B:C,2,0)</f>
        <v>0.3</v>
      </c>
      <c r="Z126" t="str">
        <f t="shared" si="7"/>
        <v>Inefficient Spend</v>
      </c>
      <c r="AA126" t="str">
        <f>VLOOKUP(H126, Lookup_table!E:F,2,0)</f>
        <v>Medium</v>
      </c>
    </row>
    <row r="127" spans="1:27" ht="17.5" customHeight="1" x14ac:dyDescent="0.35">
      <c r="A127" s="1" t="s">
        <v>250</v>
      </c>
      <c r="B127" s="2">
        <v>45309</v>
      </c>
      <c r="C127" s="1" t="s">
        <v>251</v>
      </c>
      <c r="D127" s="1">
        <v>18</v>
      </c>
      <c r="E127" s="1" t="s">
        <v>35</v>
      </c>
      <c r="F127" s="1" t="s">
        <v>30</v>
      </c>
      <c r="G127" s="1" t="s">
        <v>25</v>
      </c>
      <c r="H127" s="1" t="s">
        <v>26</v>
      </c>
      <c r="I127" s="1">
        <v>311.69</v>
      </c>
      <c r="J127" s="1">
        <v>43403</v>
      </c>
      <c r="K127" s="1">
        <v>2605</v>
      </c>
      <c r="L127" s="1">
        <v>101</v>
      </c>
      <c r="M127" s="1">
        <v>3</v>
      </c>
      <c r="N127" s="1">
        <v>6.0018892700000004</v>
      </c>
      <c r="O127" s="1">
        <v>3.8771593090000001</v>
      </c>
      <c r="P127" s="1">
        <f t="shared" si="0"/>
        <v>3</v>
      </c>
      <c r="V127" t="str">
        <f t="shared" si="5"/>
        <v>Average Performer</v>
      </c>
      <c r="W127" t="e" cm="1">
        <f t="array" aca="1" ref="W127" ca="1">_xlfn.IFS(N127&gt;=20, "High",N127&gt;=10, "Medium", N127&lt;10, "Low")</f>
        <v>#NAME?</v>
      </c>
      <c r="X127" t="str">
        <f t="shared" si="6"/>
        <v>Low Budget</v>
      </c>
      <c r="Y127" s="7">
        <f>VLOOKUP(G127, Lookup_table!B:C,2,0)</f>
        <v>0.5</v>
      </c>
      <c r="Z127" t="str">
        <f t="shared" si="7"/>
        <v>Efficient Spend</v>
      </c>
      <c r="AA127" t="str">
        <f>VLOOKUP(H127, Lookup_table!E:F,2,0)</f>
        <v>High</v>
      </c>
    </row>
    <row r="128" spans="1:27" ht="17.5" customHeight="1" x14ac:dyDescent="0.35">
      <c r="A128" s="1" t="s">
        <v>252</v>
      </c>
      <c r="B128" s="2">
        <v>45297</v>
      </c>
      <c r="C128" s="1" t="s">
        <v>253</v>
      </c>
      <c r="D128" s="9">
        <v>41</v>
      </c>
      <c r="E128" s="1" t="s">
        <v>23</v>
      </c>
      <c r="G128" s="1" t="s">
        <v>42</v>
      </c>
      <c r="H128" s="1" t="s">
        <v>32</v>
      </c>
      <c r="I128" s="1">
        <v>1961.14</v>
      </c>
      <c r="J128" s="1">
        <v>25099</v>
      </c>
      <c r="K128" s="1">
        <v>4902</v>
      </c>
      <c r="L128" s="1">
        <v>85</v>
      </c>
      <c r="N128" s="1">
        <v>19.530658590000002</v>
      </c>
      <c r="O128" s="1">
        <v>1.733986128</v>
      </c>
      <c r="P128" s="1">
        <f t="shared" si="0"/>
        <v>3</v>
      </c>
      <c r="V128" t="str">
        <f t="shared" si="5"/>
        <v>Low Performer</v>
      </c>
      <c r="W128" t="e" cm="1">
        <f t="array" aca="1" ref="W128" ca="1">_xlfn.IFS(N128&gt;=20, "High",N128&gt;=10, "Medium", N128&lt;10, "Low")</f>
        <v>#NAME?</v>
      </c>
      <c r="X128" t="str">
        <f t="shared" si="6"/>
        <v>High Budget</v>
      </c>
      <c r="Y128" s="7">
        <f>VLOOKUP(G128, Lookup_table!B:C,2,0)</f>
        <v>0.3</v>
      </c>
      <c r="Z128" t="str">
        <f t="shared" si="7"/>
        <v>Inefficient Spend</v>
      </c>
      <c r="AA128" t="str">
        <f>VLOOKUP(H128, Lookup_table!E:F,2,0)</f>
        <v>Medium</v>
      </c>
    </row>
    <row r="129" spans="1:27" ht="17.5" customHeight="1" x14ac:dyDescent="0.35">
      <c r="A129" s="1" t="s">
        <v>254</v>
      </c>
      <c r="B129" s="2">
        <v>45627</v>
      </c>
      <c r="C129" s="1" t="s">
        <v>251</v>
      </c>
      <c r="D129" s="1">
        <v>20</v>
      </c>
      <c r="E129" s="1" t="s">
        <v>29</v>
      </c>
      <c r="F129" s="1" t="s">
        <v>45</v>
      </c>
      <c r="G129" s="1" t="s">
        <v>61</v>
      </c>
      <c r="H129" s="1" t="s">
        <v>62</v>
      </c>
      <c r="I129" s="1">
        <v>1555.39</v>
      </c>
      <c r="J129" s="1">
        <v>31478</v>
      </c>
      <c r="K129" s="1">
        <v>4363</v>
      </c>
      <c r="L129" s="1">
        <v>34</v>
      </c>
      <c r="M129" s="1">
        <v>5</v>
      </c>
      <c r="N129" s="1">
        <v>13.86047398</v>
      </c>
      <c r="O129" s="1">
        <v>0.77928031200000003</v>
      </c>
      <c r="P129" s="1">
        <f t="shared" si="0"/>
        <v>5</v>
      </c>
      <c r="V129" t="str">
        <f t="shared" si="5"/>
        <v>Low Performer</v>
      </c>
      <c r="W129" t="e" cm="1">
        <f t="array" aca="1" ref="W129" ca="1">_xlfn.IFS(N129&gt;=20, "High",N129&gt;=10, "Medium", N129&lt;10, "Low")</f>
        <v>#NAME?</v>
      </c>
      <c r="X129" t="str">
        <f t="shared" si="6"/>
        <v>High Budget</v>
      </c>
      <c r="Y129" s="7">
        <f>VLOOKUP(G129, Lookup_table!B:C,2,0)</f>
        <v>0.2</v>
      </c>
      <c r="Z129" t="str">
        <f t="shared" si="7"/>
        <v>Inefficient Spend</v>
      </c>
      <c r="AA129" t="str">
        <f>VLOOKUP(H129, Lookup_table!E:F,2,0)</f>
        <v>Medium</v>
      </c>
    </row>
    <row r="130" spans="1:27" ht="17.5" customHeight="1" x14ac:dyDescent="0.35">
      <c r="A130" s="1" t="s">
        <v>255</v>
      </c>
      <c r="B130" s="2">
        <v>45341</v>
      </c>
      <c r="C130" s="1" t="s">
        <v>256</v>
      </c>
      <c r="D130" s="1">
        <v>39</v>
      </c>
      <c r="E130" s="1" t="s">
        <v>29</v>
      </c>
      <c r="F130" s="1" t="s">
        <v>24</v>
      </c>
      <c r="G130" s="1" t="s">
        <v>42</v>
      </c>
      <c r="H130" s="1" t="s">
        <v>32</v>
      </c>
      <c r="I130" s="1">
        <v>731.27</v>
      </c>
      <c r="J130" s="1">
        <v>12521</v>
      </c>
      <c r="K130" s="1">
        <v>4634</v>
      </c>
      <c r="L130" s="1">
        <v>372</v>
      </c>
      <c r="M130" s="1">
        <v>5</v>
      </c>
      <c r="N130" s="1">
        <v>37.009823500000003</v>
      </c>
      <c r="O130" s="1">
        <v>8.027621925</v>
      </c>
      <c r="P130" s="1">
        <f t="shared" si="0"/>
        <v>5</v>
      </c>
      <c r="V130" t="str">
        <f t="shared" ref="V130:V193" si="8">IF(AND(L130&gt;200,K130&gt;3000),"Top Performer", IF(AND(L130&gt;=100,K130&gt;=1000),"Average Performer","Low Performer"))</f>
        <v>Top Performer</v>
      </c>
      <c r="W130" t="e" cm="1">
        <f t="array" aca="1" ref="W130" ca="1">_xlfn.IFS(N130&gt;=20, "High",N130&gt;=10, "Medium", N130&lt;10, "Low")</f>
        <v>#NAME?</v>
      </c>
      <c r="X130" t="str">
        <f t="shared" ref="X130:X193" si="9">IF(I130&gt;1000, "High Budget",IF(I130&gt;=500, "Medium Budget", "Low Budget"))</f>
        <v>Medium Budget</v>
      </c>
      <c r="Y130" s="7">
        <f>VLOOKUP(G130, Lookup_table!B:C,2,0)</f>
        <v>0.3</v>
      </c>
      <c r="Z130" t="str">
        <f t="shared" ref="Z130:Z193" si="10">IF(I130/K130&lt;Y130, "Efficient Spend", "Inefficient Spend")</f>
        <v>Efficient Spend</v>
      </c>
      <c r="AA130" t="str">
        <f>VLOOKUP(H130, Lookup_table!E:F,2,0)</f>
        <v>Medium</v>
      </c>
    </row>
    <row r="131" spans="1:27" ht="17.5" customHeight="1" x14ac:dyDescent="0.35">
      <c r="A131" s="1" t="s">
        <v>257</v>
      </c>
      <c r="B131" s="2">
        <v>45624</v>
      </c>
      <c r="C131" s="1" t="s">
        <v>121</v>
      </c>
      <c r="D131" s="1">
        <v>40</v>
      </c>
      <c r="E131" s="1" t="s">
        <v>29</v>
      </c>
      <c r="F131" s="1" t="s">
        <v>30</v>
      </c>
      <c r="G131" s="1" t="s">
        <v>31</v>
      </c>
      <c r="H131" s="1" t="s">
        <v>36</v>
      </c>
      <c r="I131" s="1">
        <v>178.21</v>
      </c>
      <c r="J131" s="1">
        <v>10056</v>
      </c>
      <c r="K131" s="1">
        <v>1992</v>
      </c>
      <c r="L131" s="1">
        <v>322</v>
      </c>
      <c r="M131" s="1">
        <v>1</v>
      </c>
      <c r="N131" s="1">
        <v>19.809069210000001</v>
      </c>
      <c r="O131" s="1">
        <v>16.164658630000002</v>
      </c>
      <c r="P131" s="1">
        <f t="shared" si="0"/>
        <v>1</v>
      </c>
      <c r="V131" t="str">
        <f t="shared" si="8"/>
        <v>Average Performer</v>
      </c>
      <c r="W131" t="e" cm="1">
        <f t="array" aca="1" ref="W131" ca="1">_xlfn.IFS(N131&gt;=20, "High",N131&gt;=10, "Medium", N131&lt;10, "Low")</f>
        <v>#NAME?</v>
      </c>
      <c r="X131" t="str">
        <f t="shared" si="9"/>
        <v>Low Budget</v>
      </c>
      <c r="Y131" s="7">
        <f>VLOOKUP(G131, Lookup_table!B:C,2,0)</f>
        <v>1.2</v>
      </c>
      <c r="Z131" t="str">
        <f t="shared" si="10"/>
        <v>Efficient Spend</v>
      </c>
      <c r="AA131" t="str">
        <f>VLOOKUP(H131, Lookup_table!E:F,2,0)</f>
        <v>High</v>
      </c>
    </row>
    <row r="132" spans="1:27" ht="17.5" customHeight="1" x14ac:dyDescent="0.35">
      <c r="A132" s="1" t="s">
        <v>258</v>
      </c>
      <c r="B132" s="2">
        <v>45397</v>
      </c>
      <c r="C132" s="1" t="s">
        <v>259</v>
      </c>
      <c r="D132" s="9">
        <v>41</v>
      </c>
      <c r="E132" s="1" t="s">
        <v>35</v>
      </c>
      <c r="G132" s="1" t="s">
        <v>61</v>
      </c>
      <c r="H132" s="1" t="s">
        <v>32</v>
      </c>
      <c r="I132" s="1">
        <v>858.1</v>
      </c>
      <c r="J132" s="1">
        <v>16509</v>
      </c>
      <c r="K132" s="1">
        <v>1411</v>
      </c>
      <c r="L132" s="1">
        <v>139</v>
      </c>
      <c r="N132" s="1">
        <v>8.5468532320000001</v>
      </c>
      <c r="O132" s="1">
        <v>9.8511693830000002</v>
      </c>
      <c r="P132" s="1">
        <f t="shared" si="0"/>
        <v>3</v>
      </c>
      <c r="V132" t="str">
        <f t="shared" si="8"/>
        <v>Average Performer</v>
      </c>
      <c r="W132" t="e" cm="1">
        <f t="array" aca="1" ref="W132" ca="1">_xlfn.IFS(N132&gt;=20, "High",N132&gt;=10, "Medium", N132&lt;10, "Low")</f>
        <v>#NAME?</v>
      </c>
      <c r="X132" t="str">
        <f t="shared" si="9"/>
        <v>Medium Budget</v>
      </c>
      <c r="Y132" s="7">
        <f>VLOOKUP(G132, Lookup_table!B:C,2,0)</f>
        <v>0.2</v>
      </c>
      <c r="Z132" t="str">
        <f t="shared" si="10"/>
        <v>Inefficient Spend</v>
      </c>
      <c r="AA132" t="str">
        <f>VLOOKUP(H132, Lookup_table!E:F,2,0)</f>
        <v>Medium</v>
      </c>
    </row>
    <row r="133" spans="1:27" ht="17.5" customHeight="1" x14ac:dyDescent="0.35">
      <c r="A133" s="1" t="s">
        <v>260</v>
      </c>
      <c r="B133" s="2">
        <v>45474</v>
      </c>
      <c r="C133" s="1" t="s">
        <v>261</v>
      </c>
      <c r="D133" s="1">
        <v>48</v>
      </c>
      <c r="E133" s="1" t="s">
        <v>29</v>
      </c>
      <c r="F133" s="1" t="s">
        <v>45</v>
      </c>
      <c r="G133" s="1" t="s">
        <v>31</v>
      </c>
      <c r="H133" s="1" t="s">
        <v>36</v>
      </c>
      <c r="I133" s="1">
        <v>1106.97</v>
      </c>
      <c r="J133" s="1">
        <v>23254</v>
      </c>
      <c r="K133" s="1">
        <v>4996</v>
      </c>
      <c r="L133" s="1">
        <v>131</v>
      </c>
      <c r="M133" s="1">
        <v>3</v>
      </c>
      <c r="N133" s="1">
        <v>21.484475790000001</v>
      </c>
      <c r="O133" s="1">
        <v>2.6220976779999998</v>
      </c>
      <c r="P133" s="1">
        <f t="shared" si="0"/>
        <v>3</v>
      </c>
      <c r="V133" t="str">
        <f t="shared" si="8"/>
        <v>Average Performer</v>
      </c>
      <c r="W133" t="e" cm="1">
        <f t="array" aca="1" ref="W133" ca="1">_xlfn.IFS(N133&gt;=20, "High",N133&gt;=10, "Medium", N133&lt;10, "Low")</f>
        <v>#NAME?</v>
      </c>
      <c r="X133" t="str">
        <f t="shared" si="9"/>
        <v>High Budget</v>
      </c>
      <c r="Y133" s="7">
        <f>VLOOKUP(G133, Lookup_table!B:C,2,0)</f>
        <v>1.2</v>
      </c>
      <c r="Z133" t="str">
        <f t="shared" si="10"/>
        <v>Efficient Spend</v>
      </c>
      <c r="AA133" t="str">
        <f>VLOOKUP(H133, Lookup_table!E:F,2,0)</f>
        <v>High</v>
      </c>
    </row>
    <row r="134" spans="1:27" ht="17.5" customHeight="1" x14ac:dyDescent="0.35">
      <c r="A134" s="1" t="s">
        <v>262</v>
      </c>
      <c r="B134" s="2">
        <v>45467</v>
      </c>
      <c r="C134" s="1" t="s">
        <v>95</v>
      </c>
      <c r="D134" s="1">
        <v>40</v>
      </c>
      <c r="E134" s="1" t="s">
        <v>29</v>
      </c>
      <c r="F134" s="1" t="s">
        <v>24</v>
      </c>
      <c r="G134" s="1" t="s">
        <v>25</v>
      </c>
      <c r="H134" s="1" t="s">
        <v>36</v>
      </c>
      <c r="I134" s="1">
        <v>732.38</v>
      </c>
      <c r="J134" s="1">
        <v>9318</v>
      </c>
      <c r="K134" s="1">
        <v>108</v>
      </c>
      <c r="L134" s="1">
        <v>280</v>
      </c>
      <c r="M134" s="1">
        <v>2</v>
      </c>
      <c r="N134" s="1">
        <v>1.159047006</v>
      </c>
      <c r="O134" s="1">
        <v>259.2592593</v>
      </c>
      <c r="P134" s="1">
        <f t="shared" si="0"/>
        <v>2</v>
      </c>
      <c r="V134" t="str">
        <f t="shared" si="8"/>
        <v>Low Performer</v>
      </c>
      <c r="W134" t="e" cm="1">
        <f t="array" aca="1" ref="W134" ca="1">_xlfn.IFS(N134&gt;=20, "High",N134&gt;=10, "Medium", N134&lt;10, "Low")</f>
        <v>#NAME?</v>
      </c>
      <c r="X134" t="str">
        <f t="shared" si="9"/>
        <v>Medium Budget</v>
      </c>
      <c r="Y134" s="7">
        <f>VLOOKUP(G134, Lookup_table!B:C,2,0)</f>
        <v>0.5</v>
      </c>
      <c r="Z134" t="str">
        <f t="shared" si="10"/>
        <v>Inefficient Spend</v>
      </c>
      <c r="AA134" t="str">
        <f>VLOOKUP(H134, Lookup_table!E:F,2,0)</f>
        <v>High</v>
      </c>
    </row>
    <row r="135" spans="1:27" ht="17.5" customHeight="1" x14ac:dyDescent="0.35">
      <c r="A135" s="1" t="s">
        <v>263</v>
      </c>
      <c r="B135" s="2">
        <v>45379</v>
      </c>
      <c r="C135" s="1" t="s">
        <v>212</v>
      </c>
      <c r="D135" s="1">
        <v>41</v>
      </c>
      <c r="E135" s="1" t="s">
        <v>23</v>
      </c>
      <c r="F135" s="1" t="s">
        <v>57</v>
      </c>
      <c r="G135" s="1" t="s">
        <v>42</v>
      </c>
      <c r="H135" s="1" t="s">
        <v>62</v>
      </c>
      <c r="I135" s="1">
        <v>1635.18</v>
      </c>
      <c r="J135" s="1">
        <v>33244</v>
      </c>
      <c r="K135" s="1">
        <v>1876</v>
      </c>
      <c r="L135" s="1">
        <v>83</v>
      </c>
      <c r="M135" s="1">
        <v>4</v>
      </c>
      <c r="N135" s="1">
        <v>5.6431235710000003</v>
      </c>
      <c r="O135" s="1">
        <v>4.4243070360000001</v>
      </c>
      <c r="P135" s="1">
        <f t="shared" si="0"/>
        <v>4</v>
      </c>
      <c r="V135" t="str">
        <f t="shared" si="8"/>
        <v>Low Performer</v>
      </c>
      <c r="W135" t="e" cm="1">
        <f t="array" aca="1" ref="W135" ca="1">_xlfn.IFS(N135&gt;=20, "High",N135&gt;=10, "Medium", N135&lt;10, "Low")</f>
        <v>#NAME?</v>
      </c>
      <c r="X135" t="str">
        <f t="shared" si="9"/>
        <v>High Budget</v>
      </c>
      <c r="Y135" s="7">
        <f>VLOOKUP(G135, Lookup_table!B:C,2,0)</f>
        <v>0.3</v>
      </c>
      <c r="Z135" t="str">
        <f t="shared" si="10"/>
        <v>Inefficient Spend</v>
      </c>
      <c r="AA135" t="str">
        <f>VLOOKUP(H135, Lookup_table!E:F,2,0)</f>
        <v>Medium</v>
      </c>
    </row>
    <row r="136" spans="1:27" ht="17.5" customHeight="1" x14ac:dyDescent="0.35">
      <c r="A136" s="1" t="s">
        <v>264</v>
      </c>
      <c r="B136" s="2">
        <v>45441</v>
      </c>
      <c r="C136" s="1" t="s">
        <v>259</v>
      </c>
      <c r="D136" s="1">
        <v>61</v>
      </c>
      <c r="E136" s="1" t="s">
        <v>23</v>
      </c>
      <c r="F136" s="1" t="s">
        <v>41</v>
      </c>
      <c r="G136" s="1" t="s">
        <v>61</v>
      </c>
      <c r="H136" s="1" t="s">
        <v>26</v>
      </c>
      <c r="I136" s="1">
        <v>785.86</v>
      </c>
      <c r="J136" s="1">
        <v>35340</v>
      </c>
      <c r="K136" s="1">
        <v>2350</v>
      </c>
      <c r="L136" s="1">
        <v>367</v>
      </c>
      <c r="M136" s="1">
        <v>4</v>
      </c>
      <c r="N136" s="1">
        <v>6.649688738</v>
      </c>
      <c r="O136" s="1">
        <v>15.617021279999999</v>
      </c>
      <c r="P136" s="1">
        <f t="shared" si="0"/>
        <v>4</v>
      </c>
      <c r="V136" t="str">
        <f t="shared" si="8"/>
        <v>Average Performer</v>
      </c>
      <c r="W136" t="e" cm="1">
        <f t="array" aca="1" ref="W136" ca="1">_xlfn.IFS(N136&gt;=20, "High",N136&gt;=10, "Medium", N136&lt;10, "Low")</f>
        <v>#NAME?</v>
      </c>
      <c r="X136" t="str">
        <f t="shared" si="9"/>
        <v>Medium Budget</v>
      </c>
      <c r="Y136" s="7">
        <f>VLOOKUP(G136, Lookup_table!B:C,2,0)</f>
        <v>0.2</v>
      </c>
      <c r="Z136" t="str">
        <f t="shared" si="10"/>
        <v>Inefficient Spend</v>
      </c>
      <c r="AA136" t="str">
        <f>VLOOKUP(H136, Lookup_table!E:F,2,0)</f>
        <v>High</v>
      </c>
    </row>
    <row r="137" spans="1:27" ht="17.5" customHeight="1" x14ac:dyDescent="0.35">
      <c r="A137" s="1" t="s">
        <v>265</v>
      </c>
      <c r="B137" s="2">
        <v>45552</v>
      </c>
      <c r="C137" s="1" t="s">
        <v>147</v>
      </c>
      <c r="D137" s="1">
        <v>28</v>
      </c>
      <c r="E137" s="1" t="s">
        <v>35</v>
      </c>
      <c r="F137" s="1" t="s">
        <v>50</v>
      </c>
      <c r="G137" s="1" t="s">
        <v>31</v>
      </c>
      <c r="H137" s="1" t="s">
        <v>36</v>
      </c>
      <c r="I137" s="1">
        <v>1086.05</v>
      </c>
      <c r="J137" s="1">
        <v>6621</v>
      </c>
      <c r="K137" s="1">
        <v>720</v>
      </c>
      <c r="L137" s="1">
        <v>329</v>
      </c>
      <c r="M137" s="1">
        <v>4</v>
      </c>
      <c r="N137" s="1">
        <v>10.87449026</v>
      </c>
      <c r="O137" s="1">
        <v>45.694444439999998</v>
      </c>
      <c r="P137" s="1">
        <f t="shared" si="0"/>
        <v>4</v>
      </c>
      <c r="V137" t="str">
        <f t="shared" si="8"/>
        <v>Low Performer</v>
      </c>
      <c r="W137" t="e" cm="1">
        <f t="array" aca="1" ref="W137" ca="1">_xlfn.IFS(N137&gt;=20, "High",N137&gt;=10, "Medium", N137&lt;10, "Low")</f>
        <v>#NAME?</v>
      </c>
      <c r="X137" t="str">
        <f t="shared" si="9"/>
        <v>High Budget</v>
      </c>
      <c r="Y137" s="7">
        <f>VLOOKUP(G137, Lookup_table!B:C,2,0)</f>
        <v>1.2</v>
      </c>
      <c r="Z137" t="str">
        <f t="shared" si="10"/>
        <v>Inefficient Spend</v>
      </c>
      <c r="AA137" t="str">
        <f>VLOOKUP(H137, Lookup_table!E:F,2,0)</f>
        <v>High</v>
      </c>
    </row>
    <row r="138" spans="1:27" ht="17.5" customHeight="1" x14ac:dyDescent="0.35">
      <c r="A138" s="1" t="s">
        <v>266</v>
      </c>
      <c r="B138" s="2">
        <v>45368</v>
      </c>
      <c r="C138" s="1" t="s">
        <v>92</v>
      </c>
      <c r="D138" s="1">
        <v>26</v>
      </c>
      <c r="E138" s="1" t="s">
        <v>23</v>
      </c>
      <c r="F138" s="1" t="s">
        <v>24</v>
      </c>
      <c r="G138" s="1" t="s">
        <v>31</v>
      </c>
      <c r="H138" s="1" t="s">
        <v>36</v>
      </c>
      <c r="I138" s="1">
        <v>1176.19</v>
      </c>
      <c r="J138" s="1">
        <v>26486</v>
      </c>
      <c r="K138" s="1">
        <v>3603</v>
      </c>
      <c r="L138" s="1">
        <v>38</v>
      </c>
      <c r="M138" s="1">
        <v>1</v>
      </c>
      <c r="N138" s="1">
        <v>13.603413120000001</v>
      </c>
      <c r="O138" s="1">
        <v>1.054676658</v>
      </c>
      <c r="P138" s="1">
        <f t="shared" si="0"/>
        <v>1</v>
      </c>
      <c r="V138" t="str">
        <f t="shared" si="8"/>
        <v>Low Performer</v>
      </c>
      <c r="W138" t="e" cm="1">
        <f t="array" aca="1" ref="W138" ca="1">_xlfn.IFS(N138&gt;=20, "High",N138&gt;=10, "Medium", N138&lt;10, "Low")</f>
        <v>#NAME?</v>
      </c>
      <c r="X138" t="str">
        <f t="shared" si="9"/>
        <v>High Budget</v>
      </c>
      <c r="Y138" s="7">
        <f>VLOOKUP(G138, Lookup_table!B:C,2,0)</f>
        <v>1.2</v>
      </c>
      <c r="Z138" t="str">
        <f t="shared" si="10"/>
        <v>Efficient Spend</v>
      </c>
      <c r="AA138" t="str">
        <f>VLOOKUP(H138, Lookup_table!E:F,2,0)</f>
        <v>High</v>
      </c>
    </row>
    <row r="139" spans="1:27" ht="17.5" customHeight="1" x14ac:dyDescent="0.35">
      <c r="A139" s="1" t="s">
        <v>267</v>
      </c>
      <c r="B139" s="2">
        <v>45525</v>
      </c>
      <c r="C139" s="1" t="s">
        <v>64</v>
      </c>
      <c r="D139" s="1">
        <v>29</v>
      </c>
      <c r="E139" s="1" t="s">
        <v>35</v>
      </c>
      <c r="F139" s="1" t="s">
        <v>24</v>
      </c>
      <c r="G139" s="1" t="s">
        <v>42</v>
      </c>
      <c r="H139" s="1" t="s">
        <v>62</v>
      </c>
      <c r="I139" s="1">
        <v>1581.66</v>
      </c>
      <c r="J139" s="1">
        <v>42855</v>
      </c>
      <c r="K139" s="1">
        <v>236</v>
      </c>
      <c r="L139" s="1">
        <v>38</v>
      </c>
      <c r="M139" s="1">
        <v>4</v>
      </c>
      <c r="N139" s="1">
        <v>0.55069420099999999</v>
      </c>
      <c r="O139" s="1">
        <v>16.10169492</v>
      </c>
      <c r="P139" s="1">
        <f t="shared" si="0"/>
        <v>4</v>
      </c>
      <c r="V139" t="str">
        <f t="shared" si="8"/>
        <v>Low Performer</v>
      </c>
      <c r="W139" t="e" cm="1">
        <f t="array" aca="1" ref="W139" ca="1">_xlfn.IFS(N139&gt;=20, "High",N139&gt;=10, "Medium", N139&lt;10, "Low")</f>
        <v>#NAME?</v>
      </c>
      <c r="X139" t="str">
        <f t="shared" si="9"/>
        <v>High Budget</v>
      </c>
      <c r="Y139" s="7">
        <f>VLOOKUP(G139, Lookup_table!B:C,2,0)</f>
        <v>0.3</v>
      </c>
      <c r="Z139" t="str">
        <f t="shared" si="10"/>
        <v>Inefficient Spend</v>
      </c>
      <c r="AA139" t="str">
        <f>VLOOKUP(H139, Lookup_table!E:F,2,0)</f>
        <v>Medium</v>
      </c>
    </row>
    <row r="140" spans="1:27" ht="17.5" customHeight="1" x14ac:dyDescent="0.35">
      <c r="A140" s="1" t="s">
        <v>268</v>
      </c>
      <c r="B140" s="2">
        <v>45623</v>
      </c>
      <c r="C140" s="1" t="s">
        <v>256</v>
      </c>
      <c r="D140" s="1">
        <v>57</v>
      </c>
      <c r="E140" s="1" t="s">
        <v>23</v>
      </c>
      <c r="F140" s="1" t="s">
        <v>57</v>
      </c>
      <c r="G140" s="1" t="s">
        <v>46</v>
      </c>
      <c r="H140" s="1" t="s">
        <v>32</v>
      </c>
      <c r="I140" s="1">
        <v>236.13</v>
      </c>
      <c r="J140" s="1">
        <v>47941</v>
      </c>
      <c r="K140" s="1">
        <v>1296</v>
      </c>
      <c r="L140" s="1">
        <v>304</v>
      </c>
      <c r="M140" s="1">
        <v>3</v>
      </c>
      <c r="N140" s="1">
        <v>2.7033228340000002</v>
      </c>
      <c r="O140" s="1">
        <v>23.456790120000001</v>
      </c>
      <c r="P140" s="1">
        <f t="shared" si="0"/>
        <v>3</v>
      </c>
      <c r="V140" t="str">
        <f t="shared" si="8"/>
        <v>Average Performer</v>
      </c>
      <c r="W140" t="e" cm="1">
        <f t="array" aca="1" ref="W140" ca="1">_xlfn.IFS(N140&gt;=20, "High",N140&gt;=10, "Medium", N140&lt;10, "Low")</f>
        <v>#NAME?</v>
      </c>
      <c r="X140" t="str">
        <f t="shared" si="9"/>
        <v>Low Budget</v>
      </c>
      <c r="Y140" s="7">
        <f>VLOOKUP(G140, Lookup_table!B:C,2,0)</f>
        <v>0.75</v>
      </c>
      <c r="Z140" t="str">
        <f t="shared" si="10"/>
        <v>Efficient Spend</v>
      </c>
      <c r="AA140" t="str">
        <f>VLOOKUP(H140, Lookup_table!E:F,2,0)</f>
        <v>Medium</v>
      </c>
    </row>
    <row r="141" spans="1:27" ht="17.5" customHeight="1" x14ac:dyDescent="0.35">
      <c r="A141" s="1" t="s">
        <v>269</v>
      </c>
      <c r="B141" s="2">
        <v>45554</v>
      </c>
      <c r="C141" s="1" t="s">
        <v>270</v>
      </c>
      <c r="D141" s="1">
        <v>21</v>
      </c>
      <c r="E141" s="1" t="s">
        <v>23</v>
      </c>
      <c r="F141" s="1" t="s">
        <v>30</v>
      </c>
      <c r="G141" s="1" t="s">
        <v>31</v>
      </c>
      <c r="H141" s="1" t="s">
        <v>36</v>
      </c>
      <c r="I141" s="1">
        <v>1679.21</v>
      </c>
      <c r="J141" s="1">
        <v>514</v>
      </c>
      <c r="K141" s="1">
        <v>4015</v>
      </c>
      <c r="L141" s="1">
        <v>292</v>
      </c>
      <c r="M141" s="1">
        <v>4</v>
      </c>
      <c r="N141" s="1">
        <v>781.12840470000003</v>
      </c>
      <c r="O141" s="1">
        <v>7.2727272730000001</v>
      </c>
      <c r="P141" s="1">
        <f t="shared" si="0"/>
        <v>4</v>
      </c>
      <c r="U141" s="1">
        <f>COUNTIF(N137:N1000, N141&gt;100)</f>
        <v>0</v>
      </c>
      <c r="V141" t="str">
        <f t="shared" si="8"/>
        <v>Top Performer</v>
      </c>
      <c r="W141" t="e" cm="1">
        <f t="array" aca="1" ref="W141" ca="1">_xlfn.IFS(N141&gt;=20, "High",N141&gt;=10, "Medium", N141&lt;10, "Low")</f>
        <v>#NAME?</v>
      </c>
      <c r="X141" t="str">
        <f t="shared" si="9"/>
        <v>High Budget</v>
      </c>
      <c r="Y141" s="7">
        <f>VLOOKUP(G141, Lookup_table!B:C,2,0)</f>
        <v>1.2</v>
      </c>
      <c r="Z141" t="str">
        <f t="shared" si="10"/>
        <v>Efficient Spend</v>
      </c>
      <c r="AA141" t="str">
        <f>VLOOKUP(H141, Lookup_table!E:F,2,0)</f>
        <v>High</v>
      </c>
    </row>
    <row r="142" spans="1:27" ht="17.5" customHeight="1" x14ac:dyDescent="0.35">
      <c r="A142" s="1" t="s">
        <v>271</v>
      </c>
      <c r="B142" s="2">
        <v>45517</v>
      </c>
      <c r="C142" s="1" t="s">
        <v>142</v>
      </c>
      <c r="D142" s="1">
        <v>25</v>
      </c>
      <c r="E142" s="1" t="s">
        <v>23</v>
      </c>
      <c r="F142" s="1" t="s">
        <v>50</v>
      </c>
      <c r="G142" s="1" t="s">
        <v>25</v>
      </c>
      <c r="H142" s="1" t="s">
        <v>26</v>
      </c>
      <c r="I142" s="1">
        <v>1194.81</v>
      </c>
      <c r="J142" s="1">
        <v>27254</v>
      </c>
      <c r="K142" s="1">
        <v>2450</v>
      </c>
      <c r="L142" s="1">
        <v>306</v>
      </c>
      <c r="M142" s="1">
        <v>5</v>
      </c>
      <c r="N142" s="1">
        <v>8.9895061280000004</v>
      </c>
      <c r="O142" s="1">
        <v>12.489795920000001</v>
      </c>
      <c r="P142" s="1">
        <f t="shared" si="0"/>
        <v>5</v>
      </c>
      <c r="V142" t="str">
        <f t="shared" si="8"/>
        <v>Average Performer</v>
      </c>
      <c r="W142" t="e" cm="1">
        <f t="array" aca="1" ref="W142" ca="1">_xlfn.IFS(N142&gt;=20, "High",N142&gt;=10, "Medium", N142&lt;10, "Low")</f>
        <v>#NAME?</v>
      </c>
      <c r="X142" t="str">
        <f t="shared" si="9"/>
        <v>High Budget</v>
      </c>
      <c r="Y142" s="7">
        <f>VLOOKUP(G142, Lookup_table!B:C,2,0)</f>
        <v>0.5</v>
      </c>
      <c r="Z142" t="str">
        <f t="shared" si="10"/>
        <v>Efficient Spend</v>
      </c>
      <c r="AA142" t="str">
        <f>VLOOKUP(H142, Lookup_table!E:F,2,0)</f>
        <v>High</v>
      </c>
    </row>
    <row r="143" spans="1:27" ht="17.5" customHeight="1" x14ac:dyDescent="0.35">
      <c r="A143" s="1" t="s">
        <v>272</v>
      </c>
      <c r="B143" s="2">
        <v>45377</v>
      </c>
      <c r="C143" s="1" t="s">
        <v>243</v>
      </c>
      <c r="D143" s="1">
        <v>34</v>
      </c>
      <c r="E143" s="1" t="s">
        <v>23</v>
      </c>
      <c r="F143" s="1" t="s">
        <v>41</v>
      </c>
      <c r="G143" s="1" t="s">
        <v>61</v>
      </c>
      <c r="H143" s="1" t="s">
        <v>62</v>
      </c>
      <c r="I143" s="1">
        <v>1672.02</v>
      </c>
      <c r="J143" s="1">
        <v>21176</v>
      </c>
      <c r="K143" s="1">
        <v>4692</v>
      </c>
      <c r="L143" s="1">
        <v>80</v>
      </c>
      <c r="M143" s="1">
        <v>3</v>
      </c>
      <c r="N143" s="1">
        <v>22.157159050000001</v>
      </c>
      <c r="O143" s="1">
        <v>1.705029838</v>
      </c>
      <c r="P143" s="1">
        <f t="shared" si="0"/>
        <v>3</v>
      </c>
      <c r="V143" t="str">
        <f t="shared" si="8"/>
        <v>Low Performer</v>
      </c>
      <c r="W143" t="e" cm="1">
        <f t="array" aca="1" ref="W143" ca="1">_xlfn.IFS(N143&gt;=20, "High",N143&gt;=10, "Medium", N143&lt;10, "Low")</f>
        <v>#NAME?</v>
      </c>
      <c r="X143" t="str">
        <f t="shared" si="9"/>
        <v>High Budget</v>
      </c>
      <c r="Y143" s="7">
        <f>VLOOKUP(G143, Lookup_table!B:C,2,0)</f>
        <v>0.2</v>
      </c>
      <c r="Z143" t="str">
        <f t="shared" si="10"/>
        <v>Inefficient Spend</v>
      </c>
      <c r="AA143" t="str">
        <f>VLOOKUP(H143, Lookup_table!E:F,2,0)</f>
        <v>Medium</v>
      </c>
    </row>
    <row r="144" spans="1:27" ht="17.5" customHeight="1" x14ac:dyDescent="0.35">
      <c r="A144" s="1" t="s">
        <v>273</v>
      </c>
      <c r="B144" s="2">
        <v>45450</v>
      </c>
      <c r="C144" s="1" t="s">
        <v>274</v>
      </c>
      <c r="D144" s="1">
        <v>24</v>
      </c>
      <c r="E144" s="1" t="s">
        <v>29</v>
      </c>
      <c r="F144" s="1" t="s">
        <v>24</v>
      </c>
      <c r="G144" s="1" t="s">
        <v>46</v>
      </c>
      <c r="H144" s="1" t="s">
        <v>62</v>
      </c>
      <c r="I144" s="1">
        <v>1023.46</v>
      </c>
      <c r="J144" s="1">
        <v>9697</v>
      </c>
      <c r="K144" s="1">
        <v>2536</v>
      </c>
      <c r="L144" s="1">
        <v>376</v>
      </c>
      <c r="M144" s="1">
        <v>4</v>
      </c>
      <c r="N144" s="1">
        <v>26.152418269999998</v>
      </c>
      <c r="O144" s="1">
        <v>14.82649842</v>
      </c>
      <c r="P144" s="1">
        <f t="shared" si="0"/>
        <v>4</v>
      </c>
      <c r="V144" t="str">
        <f t="shared" si="8"/>
        <v>Average Performer</v>
      </c>
      <c r="W144" t="e" cm="1">
        <f t="array" aca="1" ref="W144" ca="1">_xlfn.IFS(N144&gt;=20, "High",N144&gt;=10, "Medium", N144&lt;10, "Low")</f>
        <v>#NAME?</v>
      </c>
      <c r="X144" t="str">
        <f t="shared" si="9"/>
        <v>High Budget</v>
      </c>
      <c r="Y144" s="7">
        <f>VLOOKUP(G144, Lookup_table!B:C,2,0)</f>
        <v>0.75</v>
      </c>
      <c r="Z144" t="str">
        <f t="shared" si="10"/>
        <v>Efficient Spend</v>
      </c>
      <c r="AA144" t="str">
        <f>VLOOKUP(H144, Lookup_table!E:F,2,0)</f>
        <v>Medium</v>
      </c>
    </row>
    <row r="145" spans="1:27" ht="17.5" customHeight="1" x14ac:dyDescent="0.35">
      <c r="A145" s="1" t="s">
        <v>275</v>
      </c>
      <c r="B145" s="2">
        <v>45655</v>
      </c>
      <c r="C145" s="1" t="s">
        <v>75</v>
      </c>
      <c r="D145" s="1">
        <v>25</v>
      </c>
      <c r="E145" s="1" t="s">
        <v>29</v>
      </c>
      <c r="F145" s="1" t="s">
        <v>45</v>
      </c>
      <c r="G145" s="1" t="s">
        <v>31</v>
      </c>
      <c r="H145" s="1" t="s">
        <v>62</v>
      </c>
      <c r="I145" s="1">
        <v>1146.9000000000001</v>
      </c>
      <c r="J145" s="1">
        <v>22595</v>
      </c>
      <c r="K145" s="1">
        <v>3499</v>
      </c>
      <c r="L145" s="1">
        <v>373</v>
      </c>
      <c r="M145" s="1">
        <v>1</v>
      </c>
      <c r="N145" s="1">
        <v>15.48572693</v>
      </c>
      <c r="O145" s="1">
        <v>10.66018863</v>
      </c>
      <c r="P145" s="1">
        <f t="shared" si="0"/>
        <v>1</v>
      </c>
      <c r="V145" t="str">
        <f t="shared" si="8"/>
        <v>Top Performer</v>
      </c>
      <c r="W145" t="e" cm="1">
        <f t="array" aca="1" ref="W145" ca="1">_xlfn.IFS(N145&gt;=20, "High",N145&gt;=10, "Medium", N145&lt;10, "Low")</f>
        <v>#NAME?</v>
      </c>
      <c r="X145" t="str">
        <f t="shared" si="9"/>
        <v>High Budget</v>
      </c>
      <c r="Y145" s="7">
        <f>VLOOKUP(G145, Lookup_table!B:C,2,0)</f>
        <v>1.2</v>
      </c>
      <c r="Z145" t="str">
        <f t="shared" si="10"/>
        <v>Efficient Spend</v>
      </c>
      <c r="AA145" t="str">
        <f>VLOOKUP(H145, Lookup_table!E:F,2,0)</f>
        <v>Medium</v>
      </c>
    </row>
    <row r="146" spans="1:27" ht="17.5" customHeight="1" x14ac:dyDescent="0.35">
      <c r="A146" s="1" t="s">
        <v>276</v>
      </c>
      <c r="B146" s="2">
        <v>45604</v>
      </c>
      <c r="C146" s="1" t="s">
        <v>186</v>
      </c>
      <c r="D146" s="1">
        <v>31</v>
      </c>
      <c r="E146" s="1" t="s">
        <v>29</v>
      </c>
      <c r="F146" s="1" t="s">
        <v>50</v>
      </c>
      <c r="G146" s="1" t="s">
        <v>31</v>
      </c>
      <c r="H146" s="1" t="s">
        <v>62</v>
      </c>
      <c r="I146" s="1">
        <v>1868.56</v>
      </c>
      <c r="J146" s="1">
        <v>23299</v>
      </c>
      <c r="K146" s="1">
        <v>3404</v>
      </c>
      <c r="L146" s="1">
        <v>125</v>
      </c>
      <c r="M146" s="1">
        <v>4</v>
      </c>
      <c r="N146" s="1">
        <v>14.6100691</v>
      </c>
      <c r="O146" s="1">
        <v>3.6721504110000001</v>
      </c>
      <c r="P146" s="1">
        <f t="shared" si="0"/>
        <v>4</v>
      </c>
      <c r="V146" t="str">
        <f t="shared" si="8"/>
        <v>Average Performer</v>
      </c>
      <c r="W146" t="e" cm="1">
        <f t="array" aca="1" ref="W146" ca="1">_xlfn.IFS(N146&gt;=20, "High",N146&gt;=10, "Medium", N146&lt;10, "Low")</f>
        <v>#NAME?</v>
      </c>
      <c r="X146" t="str">
        <f t="shared" si="9"/>
        <v>High Budget</v>
      </c>
      <c r="Y146" s="7">
        <f>VLOOKUP(G146, Lookup_table!B:C,2,0)</f>
        <v>1.2</v>
      </c>
      <c r="Z146" t="str">
        <f t="shared" si="10"/>
        <v>Efficient Spend</v>
      </c>
      <c r="AA146" t="str">
        <f>VLOOKUP(H146, Lookup_table!E:F,2,0)</f>
        <v>Medium</v>
      </c>
    </row>
    <row r="147" spans="1:27" ht="17.5" customHeight="1" x14ac:dyDescent="0.35">
      <c r="A147" s="1" t="s">
        <v>277</v>
      </c>
      <c r="B147" s="2">
        <v>45599</v>
      </c>
      <c r="C147" s="1" t="s">
        <v>48</v>
      </c>
      <c r="D147" s="1">
        <v>34</v>
      </c>
      <c r="E147" s="1" t="s">
        <v>29</v>
      </c>
      <c r="F147" s="1" t="s">
        <v>24</v>
      </c>
      <c r="G147" s="1" t="s">
        <v>25</v>
      </c>
      <c r="H147" s="1" t="s">
        <v>26</v>
      </c>
      <c r="I147" s="1">
        <v>1263.78</v>
      </c>
      <c r="J147" s="1">
        <v>34090</v>
      </c>
      <c r="K147" s="1">
        <v>2015</v>
      </c>
      <c r="L147" s="1">
        <v>14</v>
      </c>
      <c r="M147" s="1">
        <v>3</v>
      </c>
      <c r="N147" s="1">
        <v>5.9108242889999998</v>
      </c>
      <c r="O147" s="1">
        <v>0.694789082</v>
      </c>
      <c r="P147" s="1">
        <f t="shared" si="0"/>
        <v>3</v>
      </c>
      <c r="V147" t="str">
        <f t="shared" si="8"/>
        <v>Low Performer</v>
      </c>
      <c r="W147" t="e" cm="1">
        <f t="array" aca="1" ref="W147" ca="1">_xlfn.IFS(N147&gt;=20, "High",N147&gt;=10, "Medium", N147&lt;10, "Low")</f>
        <v>#NAME?</v>
      </c>
      <c r="X147" t="str">
        <f t="shared" si="9"/>
        <v>High Budget</v>
      </c>
      <c r="Y147" s="7">
        <f>VLOOKUP(G147, Lookup_table!B:C,2,0)</f>
        <v>0.5</v>
      </c>
      <c r="Z147" t="str">
        <f t="shared" si="10"/>
        <v>Inefficient Spend</v>
      </c>
      <c r="AA147" t="str">
        <f>VLOOKUP(H147, Lookup_table!E:F,2,0)</f>
        <v>High</v>
      </c>
    </row>
    <row r="148" spans="1:27" ht="17.5" customHeight="1" x14ac:dyDescent="0.35">
      <c r="A148" s="1" t="s">
        <v>278</v>
      </c>
      <c r="B148" s="2">
        <v>45539</v>
      </c>
      <c r="C148" s="1" t="s">
        <v>279</v>
      </c>
      <c r="D148" s="1">
        <v>20</v>
      </c>
      <c r="E148" s="1" t="s">
        <v>23</v>
      </c>
      <c r="F148" s="1" t="s">
        <v>50</v>
      </c>
      <c r="G148" s="1" t="s">
        <v>61</v>
      </c>
      <c r="H148" s="1" t="s">
        <v>32</v>
      </c>
      <c r="I148" s="1">
        <v>1308.43</v>
      </c>
      <c r="J148" s="1">
        <v>18719</v>
      </c>
      <c r="K148" s="1">
        <v>894</v>
      </c>
      <c r="L148" s="1">
        <v>173</v>
      </c>
      <c r="M148" s="1">
        <v>4</v>
      </c>
      <c r="N148" s="1">
        <v>4.7758961480000002</v>
      </c>
      <c r="O148" s="1">
        <v>19.351230430000001</v>
      </c>
      <c r="P148" s="1">
        <f t="shared" si="0"/>
        <v>4</v>
      </c>
      <c r="V148" t="str">
        <f t="shared" si="8"/>
        <v>Low Performer</v>
      </c>
      <c r="W148" t="e" cm="1">
        <f t="array" aca="1" ref="W148" ca="1">_xlfn.IFS(N148&gt;=20, "High",N148&gt;=10, "Medium", N148&lt;10, "Low")</f>
        <v>#NAME?</v>
      </c>
      <c r="X148" t="str">
        <f t="shared" si="9"/>
        <v>High Budget</v>
      </c>
      <c r="Y148" s="7">
        <f>VLOOKUP(G148, Lookup_table!B:C,2,0)</f>
        <v>0.2</v>
      </c>
      <c r="Z148" t="str">
        <f t="shared" si="10"/>
        <v>Inefficient Spend</v>
      </c>
      <c r="AA148" t="str">
        <f>VLOOKUP(H148, Lookup_table!E:F,2,0)</f>
        <v>Medium</v>
      </c>
    </row>
    <row r="149" spans="1:27" ht="17.5" customHeight="1" x14ac:dyDescent="0.35">
      <c r="A149" s="1" t="s">
        <v>280</v>
      </c>
      <c r="B149" s="2">
        <v>45475</v>
      </c>
      <c r="C149" s="1" t="s">
        <v>281</v>
      </c>
      <c r="D149" s="1">
        <v>57</v>
      </c>
      <c r="E149" s="1" t="s">
        <v>29</v>
      </c>
      <c r="F149" s="1" t="s">
        <v>24</v>
      </c>
      <c r="G149" s="1" t="s">
        <v>31</v>
      </c>
      <c r="H149" s="1" t="s">
        <v>26</v>
      </c>
      <c r="I149" s="1">
        <v>1682.99</v>
      </c>
      <c r="J149" s="1">
        <v>11667</v>
      </c>
      <c r="K149" s="1">
        <v>779</v>
      </c>
      <c r="L149" s="1">
        <v>301</v>
      </c>
      <c r="M149" s="1">
        <v>1</v>
      </c>
      <c r="N149" s="1">
        <v>6.6769520870000001</v>
      </c>
      <c r="O149" s="1">
        <v>38.639281130000001</v>
      </c>
      <c r="P149" s="1">
        <f t="shared" si="0"/>
        <v>1</v>
      </c>
      <c r="V149" t="str">
        <f t="shared" si="8"/>
        <v>Low Performer</v>
      </c>
      <c r="W149" t="e" cm="1">
        <f t="array" aca="1" ref="W149" ca="1">_xlfn.IFS(N149&gt;=20, "High",N149&gt;=10, "Medium", N149&lt;10, "Low")</f>
        <v>#NAME?</v>
      </c>
      <c r="X149" t="str">
        <f t="shared" si="9"/>
        <v>High Budget</v>
      </c>
      <c r="Y149" s="7">
        <f>VLOOKUP(G149, Lookup_table!B:C,2,0)</f>
        <v>1.2</v>
      </c>
      <c r="Z149" t="str">
        <f t="shared" si="10"/>
        <v>Inefficient Spend</v>
      </c>
      <c r="AA149" t="str">
        <f>VLOOKUP(H149, Lookup_table!E:F,2,0)</f>
        <v>High</v>
      </c>
    </row>
    <row r="150" spans="1:27" ht="17.5" customHeight="1" x14ac:dyDescent="0.35">
      <c r="A150" s="1" t="s">
        <v>282</v>
      </c>
      <c r="B150" s="2">
        <v>45413</v>
      </c>
      <c r="C150" s="1" t="s">
        <v>283</v>
      </c>
      <c r="D150" s="1">
        <v>22</v>
      </c>
      <c r="E150" s="1" t="s">
        <v>29</v>
      </c>
      <c r="F150" s="1" t="s">
        <v>50</v>
      </c>
      <c r="G150" s="1" t="s">
        <v>61</v>
      </c>
      <c r="H150" s="1" t="s">
        <v>62</v>
      </c>
      <c r="I150" s="1">
        <v>1821.16</v>
      </c>
      <c r="J150" s="1">
        <v>48120</v>
      </c>
      <c r="K150" s="1">
        <v>3814</v>
      </c>
      <c r="L150" s="1">
        <v>380</v>
      </c>
      <c r="M150" s="1">
        <v>2</v>
      </c>
      <c r="N150" s="1">
        <v>7.9260182879999999</v>
      </c>
      <c r="O150" s="1">
        <v>9.9632931310000004</v>
      </c>
      <c r="P150" s="1">
        <f t="shared" si="0"/>
        <v>2</v>
      </c>
      <c r="V150" t="str">
        <f t="shared" si="8"/>
        <v>Top Performer</v>
      </c>
      <c r="W150" t="e" cm="1">
        <f t="array" aca="1" ref="W150" ca="1">_xlfn.IFS(N150&gt;=20, "High",N150&gt;=10, "Medium", N150&lt;10, "Low")</f>
        <v>#NAME?</v>
      </c>
      <c r="X150" t="str">
        <f t="shared" si="9"/>
        <v>High Budget</v>
      </c>
      <c r="Y150" s="7">
        <f>VLOOKUP(G150, Lookup_table!B:C,2,0)</f>
        <v>0.2</v>
      </c>
      <c r="Z150" t="str">
        <f t="shared" si="10"/>
        <v>Inefficient Spend</v>
      </c>
      <c r="AA150" t="str">
        <f>VLOOKUP(H150, Lookup_table!E:F,2,0)</f>
        <v>Medium</v>
      </c>
    </row>
    <row r="151" spans="1:27" ht="17.5" customHeight="1" x14ac:dyDescent="0.35">
      <c r="A151" s="1" t="s">
        <v>284</v>
      </c>
      <c r="B151" s="2">
        <v>45368</v>
      </c>
      <c r="C151" s="1" t="s">
        <v>97</v>
      </c>
      <c r="D151" s="1">
        <v>20</v>
      </c>
      <c r="E151" s="1" t="s">
        <v>23</v>
      </c>
      <c r="F151" s="1" t="s">
        <v>24</v>
      </c>
      <c r="G151" s="1" t="s">
        <v>61</v>
      </c>
      <c r="H151" s="1" t="s">
        <v>62</v>
      </c>
      <c r="I151" s="1">
        <v>525.1</v>
      </c>
      <c r="J151" s="1">
        <v>28975</v>
      </c>
      <c r="K151" s="1">
        <v>3451</v>
      </c>
      <c r="L151" s="1">
        <v>226</v>
      </c>
      <c r="M151" s="1">
        <v>3</v>
      </c>
      <c r="N151" s="1">
        <v>11.910267470000001</v>
      </c>
      <c r="O151" s="1">
        <v>6.5488264269999998</v>
      </c>
      <c r="P151" s="1">
        <f t="shared" si="0"/>
        <v>3</v>
      </c>
      <c r="V151" t="str">
        <f t="shared" si="8"/>
        <v>Top Performer</v>
      </c>
      <c r="W151" t="e" cm="1">
        <f t="array" aca="1" ref="W151" ca="1">_xlfn.IFS(N151&gt;=20, "High",N151&gt;=10, "Medium", N151&lt;10, "Low")</f>
        <v>#NAME?</v>
      </c>
      <c r="X151" t="str">
        <f t="shared" si="9"/>
        <v>Medium Budget</v>
      </c>
      <c r="Y151" s="7">
        <f>VLOOKUP(G151, Lookup_table!B:C,2,0)</f>
        <v>0.2</v>
      </c>
      <c r="Z151" t="str">
        <f t="shared" si="10"/>
        <v>Efficient Spend</v>
      </c>
      <c r="AA151" t="str">
        <f>VLOOKUP(H151, Lookup_table!E:F,2,0)</f>
        <v>Medium</v>
      </c>
    </row>
    <row r="152" spans="1:27" ht="17.5" customHeight="1" x14ac:dyDescent="0.35">
      <c r="A152" s="1" t="s">
        <v>285</v>
      </c>
      <c r="B152" s="2">
        <v>45491</v>
      </c>
      <c r="C152" s="1" t="s">
        <v>286</v>
      </c>
      <c r="D152" s="1">
        <v>47</v>
      </c>
      <c r="E152" s="1" t="s">
        <v>35</v>
      </c>
      <c r="F152" s="1" t="s">
        <v>24</v>
      </c>
      <c r="G152" s="1" t="s">
        <v>61</v>
      </c>
      <c r="H152" s="1" t="s">
        <v>62</v>
      </c>
      <c r="I152" s="1">
        <v>1341.12</v>
      </c>
      <c r="J152" s="1">
        <v>44838</v>
      </c>
      <c r="K152" s="1">
        <v>513</v>
      </c>
      <c r="L152" s="1">
        <v>116</v>
      </c>
      <c r="M152" s="1">
        <v>3</v>
      </c>
      <c r="N152" s="1">
        <v>1.1441188280000001</v>
      </c>
      <c r="O152" s="1">
        <v>22.61208577</v>
      </c>
      <c r="P152" s="1">
        <f t="shared" si="0"/>
        <v>3</v>
      </c>
      <c r="V152" t="str">
        <f t="shared" si="8"/>
        <v>Low Performer</v>
      </c>
      <c r="W152" t="e" cm="1">
        <f t="array" aca="1" ref="W152" ca="1">_xlfn.IFS(N152&gt;=20, "High",N152&gt;=10, "Medium", N152&lt;10, "Low")</f>
        <v>#NAME?</v>
      </c>
      <c r="X152" t="str">
        <f t="shared" si="9"/>
        <v>High Budget</v>
      </c>
      <c r="Y152" s="7">
        <f>VLOOKUP(G152, Lookup_table!B:C,2,0)</f>
        <v>0.2</v>
      </c>
      <c r="Z152" t="str">
        <f t="shared" si="10"/>
        <v>Inefficient Spend</v>
      </c>
      <c r="AA152" t="str">
        <f>VLOOKUP(H152, Lookup_table!E:F,2,0)</f>
        <v>Medium</v>
      </c>
    </row>
    <row r="153" spans="1:27" ht="17.5" customHeight="1" x14ac:dyDescent="0.35">
      <c r="A153" s="1" t="s">
        <v>287</v>
      </c>
      <c r="B153" s="2">
        <v>45377</v>
      </c>
      <c r="C153" s="1" t="s">
        <v>138</v>
      </c>
      <c r="D153" s="1">
        <v>55</v>
      </c>
      <c r="E153" s="1" t="s">
        <v>23</v>
      </c>
      <c r="F153" s="1" t="s">
        <v>50</v>
      </c>
      <c r="G153" s="1" t="s">
        <v>42</v>
      </c>
      <c r="H153" s="1" t="s">
        <v>32</v>
      </c>
      <c r="I153" s="1">
        <v>284.70999999999998</v>
      </c>
      <c r="J153" s="1">
        <v>14614</v>
      </c>
      <c r="K153" s="1">
        <v>4094</v>
      </c>
      <c r="L153" s="1">
        <v>350</v>
      </c>
      <c r="M153" s="1">
        <v>1</v>
      </c>
      <c r="N153" s="1">
        <v>28.014232929999999</v>
      </c>
      <c r="O153" s="1">
        <v>8.5490962380000006</v>
      </c>
      <c r="P153" s="1">
        <f t="shared" si="0"/>
        <v>1</v>
      </c>
      <c r="V153" t="str">
        <f t="shared" si="8"/>
        <v>Top Performer</v>
      </c>
      <c r="W153" t="e" cm="1">
        <f t="array" aca="1" ref="W153" ca="1">_xlfn.IFS(N153&gt;=20, "High",N153&gt;=10, "Medium", N153&lt;10, "Low")</f>
        <v>#NAME?</v>
      </c>
      <c r="X153" t="str">
        <f t="shared" si="9"/>
        <v>Low Budget</v>
      </c>
      <c r="Y153" s="7">
        <f>VLOOKUP(G153, Lookup_table!B:C,2,0)</f>
        <v>0.3</v>
      </c>
      <c r="Z153" t="str">
        <f t="shared" si="10"/>
        <v>Efficient Spend</v>
      </c>
      <c r="AA153" t="str">
        <f>VLOOKUP(H153, Lookup_table!E:F,2,0)</f>
        <v>Medium</v>
      </c>
    </row>
    <row r="154" spans="1:27" ht="17.5" customHeight="1" x14ac:dyDescent="0.35">
      <c r="A154" s="1" t="s">
        <v>288</v>
      </c>
      <c r="B154" s="2">
        <v>45478</v>
      </c>
      <c r="C154" s="1" t="s">
        <v>289</v>
      </c>
      <c r="D154" s="1">
        <v>31</v>
      </c>
      <c r="E154" s="1" t="s">
        <v>23</v>
      </c>
      <c r="F154" s="1" t="s">
        <v>50</v>
      </c>
      <c r="G154" s="1" t="s">
        <v>42</v>
      </c>
      <c r="H154" s="1" t="s">
        <v>26</v>
      </c>
      <c r="I154" s="1">
        <v>177.34</v>
      </c>
      <c r="J154" s="1">
        <v>46988</v>
      </c>
      <c r="K154" s="1">
        <v>1878</v>
      </c>
      <c r="L154" s="1">
        <v>165</v>
      </c>
      <c r="M154" s="1">
        <v>1</v>
      </c>
      <c r="N154" s="1">
        <v>3.9967651320000002</v>
      </c>
      <c r="O154" s="1">
        <v>8.7859424920000002</v>
      </c>
      <c r="P154" s="1">
        <f t="shared" si="0"/>
        <v>1</v>
      </c>
      <c r="V154" t="str">
        <f t="shared" si="8"/>
        <v>Average Performer</v>
      </c>
      <c r="W154" t="e" cm="1">
        <f t="array" aca="1" ref="W154" ca="1">_xlfn.IFS(N154&gt;=20, "High",N154&gt;=10, "Medium", N154&lt;10, "Low")</f>
        <v>#NAME?</v>
      </c>
      <c r="X154" t="str">
        <f t="shared" si="9"/>
        <v>Low Budget</v>
      </c>
      <c r="Y154" s="7">
        <f>VLOOKUP(G154, Lookup_table!B:C,2,0)</f>
        <v>0.3</v>
      </c>
      <c r="Z154" t="str">
        <f t="shared" si="10"/>
        <v>Efficient Spend</v>
      </c>
      <c r="AA154" t="str">
        <f>VLOOKUP(H154, Lookup_table!E:F,2,0)</f>
        <v>High</v>
      </c>
    </row>
    <row r="155" spans="1:27" ht="17.5" customHeight="1" x14ac:dyDescent="0.35">
      <c r="A155" s="1" t="s">
        <v>290</v>
      </c>
      <c r="B155" s="2">
        <v>45589</v>
      </c>
      <c r="C155" s="1" t="s">
        <v>38</v>
      </c>
      <c r="D155" s="9">
        <v>41</v>
      </c>
      <c r="E155" s="1" t="s">
        <v>35</v>
      </c>
      <c r="G155" s="1" t="s">
        <v>46</v>
      </c>
      <c r="H155" s="1" t="s">
        <v>32</v>
      </c>
      <c r="I155" s="1">
        <v>1292.6099999999999</v>
      </c>
      <c r="J155" s="1">
        <v>5323</v>
      </c>
      <c r="K155" s="1">
        <v>874</v>
      </c>
      <c r="L155" s="1">
        <v>48</v>
      </c>
      <c r="N155" s="1">
        <v>16.419312420000001</v>
      </c>
      <c r="O155" s="1">
        <v>5.4919908470000003</v>
      </c>
      <c r="P155" s="1">
        <f t="shared" si="0"/>
        <v>3</v>
      </c>
      <c r="V155" t="str">
        <f t="shared" si="8"/>
        <v>Low Performer</v>
      </c>
      <c r="W155" t="e" cm="1">
        <f t="array" aca="1" ref="W155" ca="1">_xlfn.IFS(N155&gt;=20, "High",N155&gt;=10, "Medium", N155&lt;10, "Low")</f>
        <v>#NAME?</v>
      </c>
      <c r="X155" t="str">
        <f t="shared" si="9"/>
        <v>High Budget</v>
      </c>
      <c r="Y155" s="7">
        <f>VLOOKUP(G155, Lookup_table!B:C,2,0)</f>
        <v>0.75</v>
      </c>
      <c r="Z155" t="str">
        <f t="shared" si="10"/>
        <v>Inefficient Spend</v>
      </c>
      <c r="AA155" t="str">
        <f>VLOOKUP(H155, Lookup_table!E:F,2,0)</f>
        <v>Medium</v>
      </c>
    </row>
    <row r="156" spans="1:27" ht="17.5" customHeight="1" x14ac:dyDescent="0.35">
      <c r="A156" s="1" t="s">
        <v>291</v>
      </c>
      <c r="B156" s="2">
        <v>45522</v>
      </c>
      <c r="C156" s="1" t="s">
        <v>292</v>
      </c>
      <c r="D156" s="1">
        <v>18</v>
      </c>
      <c r="E156" s="1" t="s">
        <v>29</v>
      </c>
      <c r="F156" s="1" t="s">
        <v>30</v>
      </c>
      <c r="G156" s="1" t="s">
        <v>46</v>
      </c>
      <c r="H156" s="1" t="s">
        <v>62</v>
      </c>
      <c r="I156" s="1">
        <v>1005.88</v>
      </c>
      <c r="J156" s="1">
        <v>2393</v>
      </c>
      <c r="K156" s="1">
        <v>478</v>
      </c>
      <c r="L156" s="1">
        <v>251</v>
      </c>
      <c r="M156" s="1">
        <v>3</v>
      </c>
      <c r="N156" s="1">
        <v>19.974926870000001</v>
      </c>
      <c r="O156" s="1">
        <v>52.510460250000001</v>
      </c>
      <c r="P156" s="1">
        <f t="shared" si="0"/>
        <v>3</v>
      </c>
      <c r="V156" t="str">
        <f t="shared" si="8"/>
        <v>Low Performer</v>
      </c>
      <c r="W156" t="e" cm="1">
        <f t="array" aca="1" ref="W156" ca="1">_xlfn.IFS(N156&gt;=20, "High",N156&gt;=10, "Medium", N156&lt;10, "Low")</f>
        <v>#NAME?</v>
      </c>
      <c r="X156" t="str">
        <f t="shared" si="9"/>
        <v>High Budget</v>
      </c>
      <c r="Y156" s="7">
        <f>VLOOKUP(G156, Lookup_table!B:C,2,0)</f>
        <v>0.75</v>
      </c>
      <c r="Z156" t="str">
        <f t="shared" si="10"/>
        <v>Inefficient Spend</v>
      </c>
      <c r="AA156" t="str">
        <f>VLOOKUP(H156, Lookup_table!E:F,2,0)</f>
        <v>Medium</v>
      </c>
    </row>
    <row r="157" spans="1:27" ht="17.5" customHeight="1" x14ac:dyDescent="0.35">
      <c r="A157" s="1" t="s">
        <v>293</v>
      </c>
      <c r="B157" s="2">
        <v>45591</v>
      </c>
      <c r="C157" s="1" t="s">
        <v>170</v>
      </c>
      <c r="D157" s="1">
        <v>39</v>
      </c>
      <c r="E157" s="1" t="s">
        <v>29</v>
      </c>
      <c r="F157" s="1" t="s">
        <v>57</v>
      </c>
      <c r="G157" s="1" t="s">
        <v>25</v>
      </c>
      <c r="H157" s="1" t="s">
        <v>26</v>
      </c>
      <c r="I157" s="1">
        <v>1768.56</v>
      </c>
      <c r="J157" s="1">
        <v>33373</v>
      </c>
      <c r="K157" s="1">
        <v>4445</v>
      </c>
      <c r="L157" s="1">
        <v>17</v>
      </c>
      <c r="M157" s="1">
        <v>1</v>
      </c>
      <c r="N157" s="1">
        <v>13.31915021</v>
      </c>
      <c r="O157" s="1">
        <v>0.382452193</v>
      </c>
      <c r="P157" s="1">
        <f t="shared" si="0"/>
        <v>1</v>
      </c>
      <c r="V157" t="str">
        <f t="shared" si="8"/>
        <v>Low Performer</v>
      </c>
      <c r="W157" t="e" cm="1">
        <f t="array" aca="1" ref="W157" ca="1">_xlfn.IFS(N157&gt;=20, "High",N157&gt;=10, "Medium", N157&lt;10, "Low")</f>
        <v>#NAME?</v>
      </c>
      <c r="X157" t="str">
        <f t="shared" si="9"/>
        <v>High Budget</v>
      </c>
      <c r="Y157" s="7">
        <f>VLOOKUP(G157, Lookup_table!B:C,2,0)</f>
        <v>0.5</v>
      </c>
      <c r="Z157" t="str">
        <f t="shared" si="10"/>
        <v>Efficient Spend</v>
      </c>
      <c r="AA157" t="str">
        <f>VLOOKUP(H157, Lookup_table!E:F,2,0)</f>
        <v>High</v>
      </c>
    </row>
    <row r="158" spans="1:27" ht="17.5" customHeight="1" x14ac:dyDescent="0.35">
      <c r="A158" s="1" t="s">
        <v>294</v>
      </c>
      <c r="B158" s="2">
        <v>45607</v>
      </c>
      <c r="C158" s="1" t="s">
        <v>295</v>
      </c>
      <c r="D158" s="1">
        <v>53</v>
      </c>
      <c r="E158" s="1" t="s">
        <v>23</v>
      </c>
      <c r="F158" s="1" t="s">
        <v>50</v>
      </c>
      <c r="G158" s="1" t="s">
        <v>31</v>
      </c>
      <c r="H158" s="1" t="s">
        <v>26</v>
      </c>
      <c r="I158" s="1">
        <v>769.37</v>
      </c>
      <c r="J158" s="1">
        <v>10164</v>
      </c>
      <c r="K158" s="1">
        <v>2399</v>
      </c>
      <c r="L158" s="1">
        <v>81</v>
      </c>
      <c r="M158" s="1">
        <v>3</v>
      </c>
      <c r="N158" s="1">
        <v>23.602912239999998</v>
      </c>
      <c r="O158" s="1">
        <v>3.3764068360000001</v>
      </c>
      <c r="P158" s="1">
        <f t="shared" si="0"/>
        <v>3</v>
      </c>
      <c r="V158" t="str">
        <f t="shared" si="8"/>
        <v>Low Performer</v>
      </c>
      <c r="W158" t="e" cm="1">
        <f t="array" aca="1" ref="W158" ca="1">_xlfn.IFS(N158&gt;=20, "High",N158&gt;=10, "Medium", N158&lt;10, "Low")</f>
        <v>#NAME?</v>
      </c>
      <c r="X158" t="str">
        <f t="shared" si="9"/>
        <v>Medium Budget</v>
      </c>
      <c r="Y158" s="7">
        <f>VLOOKUP(G158, Lookup_table!B:C,2,0)</f>
        <v>1.2</v>
      </c>
      <c r="Z158" t="str">
        <f t="shared" si="10"/>
        <v>Efficient Spend</v>
      </c>
      <c r="AA158" t="str">
        <f>VLOOKUP(H158, Lookup_table!E:F,2,0)</f>
        <v>High</v>
      </c>
    </row>
    <row r="159" spans="1:27" ht="17.5" customHeight="1" x14ac:dyDescent="0.35">
      <c r="A159" s="1" t="s">
        <v>296</v>
      </c>
      <c r="B159" s="2">
        <v>45630</v>
      </c>
      <c r="C159" s="1" t="s">
        <v>297</v>
      </c>
      <c r="D159" s="9">
        <v>41</v>
      </c>
      <c r="E159" s="1" t="s">
        <v>29</v>
      </c>
      <c r="G159" s="1" t="s">
        <v>42</v>
      </c>
      <c r="H159" s="1" t="s">
        <v>26</v>
      </c>
      <c r="I159" s="1">
        <v>1716.19</v>
      </c>
      <c r="J159" s="1">
        <v>23319</v>
      </c>
      <c r="K159" s="1">
        <v>3525</v>
      </c>
      <c r="L159" s="1">
        <v>263</v>
      </c>
      <c r="N159" s="1">
        <v>15.11642866</v>
      </c>
      <c r="O159" s="1">
        <v>7.4609929079999997</v>
      </c>
      <c r="P159" s="1">
        <f t="shared" si="0"/>
        <v>3</v>
      </c>
      <c r="V159" t="str">
        <f t="shared" si="8"/>
        <v>Top Performer</v>
      </c>
      <c r="W159" t="e" cm="1">
        <f t="array" aca="1" ref="W159" ca="1">_xlfn.IFS(N159&gt;=20, "High",N159&gt;=10, "Medium", N159&lt;10, "Low")</f>
        <v>#NAME?</v>
      </c>
      <c r="X159" t="str">
        <f t="shared" si="9"/>
        <v>High Budget</v>
      </c>
      <c r="Y159" s="7">
        <f>VLOOKUP(G159, Lookup_table!B:C,2,0)</f>
        <v>0.3</v>
      </c>
      <c r="Z159" t="str">
        <f t="shared" si="10"/>
        <v>Inefficient Spend</v>
      </c>
      <c r="AA159" t="str">
        <f>VLOOKUP(H159, Lookup_table!E:F,2,0)</f>
        <v>High</v>
      </c>
    </row>
    <row r="160" spans="1:27" ht="17.5" customHeight="1" x14ac:dyDescent="0.35">
      <c r="A160" s="1" t="s">
        <v>298</v>
      </c>
      <c r="B160" s="2">
        <v>45355</v>
      </c>
      <c r="C160" s="1" t="s">
        <v>299</v>
      </c>
      <c r="D160" s="1">
        <v>44</v>
      </c>
      <c r="E160" s="1" t="s">
        <v>23</v>
      </c>
      <c r="F160" s="1" t="s">
        <v>41</v>
      </c>
      <c r="G160" s="1" t="s">
        <v>42</v>
      </c>
      <c r="H160" s="1" t="s">
        <v>26</v>
      </c>
      <c r="I160" s="1">
        <v>1538</v>
      </c>
      <c r="J160" s="1">
        <v>44434</v>
      </c>
      <c r="K160" s="1">
        <v>4867</v>
      </c>
      <c r="L160" s="1">
        <v>300</v>
      </c>
      <c r="N160" s="1">
        <v>10.953324029999999</v>
      </c>
      <c r="O160" s="1">
        <v>6.1639613730000002</v>
      </c>
      <c r="P160" s="1">
        <f t="shared" si="0"/>
        <v>3</v>
      </c>
      <c r="V160" t="str">
        <f t="shared" si="8"/>
        <v>Top Performer</v>
      </c>
      <c r="W160" t="e" cm="1">
        <f t="array" aca="1" ref="W160" ca="1">_xlfn.IFS(N160&gt;=20, "High",N160&gt;=10, "Medium", N160&lt;10, "Low")</f>
        <v>#NAME?</v>
      </c>
      <c r="X160" t="str">
        <f t="shared" si="9"/>
        <v>High Budget</v>
      </c>
      <c r="Y160" s="7">
        <f>VLOOKUP(G160, Lookup_table!B:C,2,0)</f>
        <v>0.3</v>
      </c>
      <c r="Z160" t="str">
        <f t="shared" si="10"/>
        <v>Inefficient Spend</v>
      </c>
      <c r="AA160" t="str">
        <f>VLOOKUP(H160, Lookup_table!E:F,2,0)</f>
        <v>High</v>
      </c>
    </row>
    <row r="161" spans="1:27" ht="17.5" customHeight="1" x14ac:dyDescent="0.35">
      <c r="A161" s="1" t="s">
        <v>300</v>
      </c>
      <c r="B161" s="2">
        <v>45327</v>
      </c>
      <c r="C161" s="1" t="s">
        <v>286</v>
      </c>
      <c r="D161" s="1">
        <v>47</v>
      </c>
      <c r="E161" s="1" t="s">
        <v>23</v>
      </c>
      <c r="F161" s="1" t="s">
        <v>41</v>
      </c>
      <c r="G161" s="1" t="s">
        <v>46</v>
      </c>
      <c r="H161" s="1" t="s">
        <v>62</v>
      </c>
      <c r="I161" s="1">
        <v>684.45</v>
      </c>
      <c r="J161" s="1">
        <v>30615</v>
      </c>
      <c r="K161" s="1">
        <v>4526</v>
      </c>
      <c r="L161" s="1">
        <v>325</v>
      </c>
      <c r="N161" s="1">
        <v>14.78360281</v>
      </c>
      <c r="O161" s="1">
        <v>7.1807335400000003</v>
      </c>
      <c r="P161" s="1">
        <f t="shared" si="0"/>
        <v>3</v>
      </c>
      <c r="V161" t="str">
        <f t="shared" si="8"/>
        <v>Top Performer</v>
      </c>
      <c r="W161" t="e" cm="1">
        <f t="array" aca="1" ref="W161" ca="1">_xlfn.IFS(N161&gt;=20, "High",N161&gt;=10, "Medium", N161&lt;10, "Low")</f>
        <v>#NAME?</v>
      </c>
      <c r="X161" t="str">
        <f t="shared" si="9"/>
        <v>Medium Budget</v>
      </c>
      <c r="Y161" s="7">
        <f>VLOOKUP(G161, Lookup_table!B:C,2,0)</f>
        <v>0.75</v>
      </c>
      <c r="Z161" t="str">
        <f t="shared" si="10"/>
        <v>Efficient Spend</v>
      </c>
      <c r="AA161" t="str">
        <f>VLOOKUP(H161, Lookup_table!E:F,2,0)</f>
        <v>Medium</v>
      </c>
    </row>
    <row r="162" spans="1:27" ht="17.5" customHeight="1" x14ac:dyDescent="0.35">
      <c r="A162" s="1" t="s">
        <v>301</v>
      </c>
      <c r="B162" s="2">
        <v>45369</v>
      </c>
      <c r="C162" s="1" t="s">
        <v>302</v>
      </c>
      <c r="D162" s="1">
        <v>33</v>
      </c>
      <c r="E162" s="1" t="s">
        <v>29</v>
      </c>
      <c r="F162" s="1" t="s">
        <v>41</v>
      </c>
      <c r="G162" s="1" t="s">
        <v>31</v>
      </c>
      <c r="H162" s="1" t="s">
        <v>26</v>
      </c>
      <c r="I162" s="1">
        <v>592.63</v>
      </c>
      <c r="J162" s="1">
        <v>17339</v>
      </c>
      <c r="K162" s="1">
        <v>3613</v>
      </c>
      <c r="L162" s="1">
        <v>72</v>
      </c>
      <c r="N162" s="1">
        <v>20.837418540000002</v>
      </c>
      <c r="O162" s="1">
        <v>1.992803764</v>
      </c>
      <c r="P162" s="1">
        <f t="shared" si="0"/>
        <v>3</v>
      </c>
      <c r="V162" t="str">
        <f t="shared" si="8"/>
        <v>Low Performer</v>
      </c>
      <c r="W162" t="e" cm="1">
        <f t="array" aca="1" ref="W162" ca="1">_xlfn.IFS(N162&gt;=20, "High",N162&gt;=10, "Medium", N162&lt;10, "Low")</f>
        <v>#NAME?</v>
      </c>
      <c r="X162" t="str">
        <f t="shared" si="9"/>
        <v>Medium Budget</v>
      </c>
      <c r="Y162" s="7">
        <f>VLOOKUP(G162, Lookup_table!B:C,2,0)</f>
        <v>1.2</v>
      </c>
      <c r="Z162" t="str">
        <f t="shared" si="10"/>
        <v>Efficient Spend</v>
      </c>
      <c r="AA162" t="str">
        <f>VLOOKUP(H162, Lookup_table!E:F,2,0)</f>
        <v>High</v>
      </c>
    </row>
    <row r="163" spans="1:27" ht="17.5" customHeight="1" x14ac:dyDescent="0.35">
      <c r="A163" s="1" t="s">
        <v>303</v>
      </c>
      <c r="B163" s="2">
        <v>45580</v>
      </c>
      <c r="C163" s="1" t="s">
        <v>111</v>
      </c>
      <c r="D163" s="1">
        <v>22</v>
      </c>
      <c r="E163" s="1" t="s">
        <v>29</v>
      </c>
      <c r="F163" s="1" t="s">
        <v>57</v>
      </c>
      <c r="G163" s="1" t="s">
        <v>42</v>
      </c>
      <c r="H163" s="1" t="s">
        <v>26</v>
      </c>
      <c r="I163" s="1">
        <v>1433.46</v>
      </c>
      <c r="J163" s="1">
        <v>42777</v>
      </c>
      <c r="K163" s="1">
        <v>2839</v>
      </c>
      <c r="L163" s="1">
        <v>264</v>
      </c>
      <c r="M163" s="1">
        <v>3</v>
      </c>
      <c r="N163" s="1">
        <v>6.6367440450000004</v>
      </c>
      <c r="O163" s="1">
        <v>9.2990489610000004</v>
      </c>
      <c r="P163" s="1">
        <f t="shared" si="0"/>
        <v>3</v>
      </c>
      <c r="V163" t="str">
        <f t="shared" si="8"/>
        <v>Average Performer</v>
      </c>
      <c r="W163" t="e" cm="1">
        <f t="array" aca="1" ref="W163" ca="1">_xlfn.IFS(N163&gt;=20, "High",N163&gt;=10, "Medium", N163&lt;10, "Low")</f>
        <v>#NAME?</v>
      </c>
      <c r="X163" t="str">
        <f t="shared" si="9"/>
        <v>High Budget</v>
      </c>
      <c r="Y163" s="7">
        <f>VLOOKUP(G163, Lookup_table!B:C,2,0)</f>
        <v>0.3</v>
      </c>
      <c r="Z163" t="str">
        <f t="shared" si="10"/>
        <v>Inefficient Spend</v>
      </c>
      <c r="AA163" t="str">
        <f>VLOOKUP(H163, Lookup_table!E:F,2,0)</f>
        <v>High</v>
      </c>
    </row>
    <row r="164" spans="1:27" ht="17.5" customHeight="1" x14ac:dyDescent="0.35">
      <c r="A164" s="1" t="s">
        <v>304</v>
      </c>
      <c r="B164" s="2">
        <v>45409</v>
      </c>
      <c r="C164" s="1" t="s">
        <v>77</v>
      </c>
      <c r="D164" s="1">
        <v>39</v>
      </c>
      <c r="E164" s="1" t="s">
        <v>29</v>
      </c>
      <c r="F164" s="1" t="s">
        <v>41</v>
      </c>
      <c r="G164" s="1" t="s">
        <v>31</v>
      </c>
      <c r="H164" s="1" t="s">
        <v>26</v>
      </c>
      <c r="I164" s="1">
        <v>1562.84</v>
      </c>
      <c r="J164" s="1">
        <v>36265</v>
      </c>
      <c r="K164" s="1">
        <v>2424</v>
      </c>
      <c r="L164" s="1">
        <v>343</v>
      </c>
      <c r="M164" s="1">
        <v>1</v>
      </c>
      <c r="N164" s="1">
        <v>6.6841307050000003</v>
      </c>
      <c r="O164" s="1">
        <v>14.150165019999999</v>
      </c>
      <c r="P164" s="1">
        <f t="shared" si="0"/>
        <v>1</v>
      </c>
      <c r="V164" t="str">
        <f t="shared" si="8"/>
        <v>Average Performer</v>
      </c>
      <c r="W164" t="e" cm="1">
        <f t="array" aca="1" ref="W164" ca="1">_xlfn.IFS(N164&gt;=20, "High",N164&gt;=10, "Medium", N164&lt;10, "Low")</f>
        <v>#NAME?</v>
      </c>
      <c r="X164" t="str">
        <f t="shared" si="9"/>
        <v>High Budget</v>
      </c>
      <c r="Y164" s="7">
        <f>VLOOKUP(G164, Lookup_table!B:C,2,0)</f>
        <v>1.2</v>
      </c>
      <c r="Z164" t="str">
        <f t="shared" si="10"/>
        <v>Efficient Spend</v>
      </c>
      <c r="AA164" t="str">
        <f>VLOOKUP(H164, Lookup_table!E:F,2,0)</f>
        <v>High</v>
      </c>
    </row>
    <row r="165" spans="1:27" ht="17.5" customHeight="1" x14ac:dyDescent="0.35">
      <c r="A165" s="1" t="s">
        <v>305</v>
      </c>
      <c r="B165" s="2">
        <v>45507</v>
      </c>
      <c r="C165" s="1" t="s">
        <v>212</v>
      </c>
      <c r="D165" s="1">
        <v>64</v>
      </c>
      <c r="E165" s="1" t="s">
        <v>23</v>
      </c>
      <c r="F165" s="1" t="s">
        <v>45</v>
      </c>
      <c r="G165" s="1" t="s">
        <v>31</v>
      </c>
      <c r="H165" s="1" t="s">
        <v>32</v>
      </c>
      <c r="I165" s="1">
        <v>1173.8699999999999</v>
      </c>
      <c r="J165" s="1">
        <v>21220</v>
      </c>
      <c r="K165" s="1">
        <v>4446</v>
      </c>
      <c r="L165" s="1">
        <v>247</v>
      </c>
      <c r="N165" s="1">
        <v>20.95193214</v>
      </c>
      <c r="O165" s="1">
        <v>5.5555555559999998</v>
      </c>
      <c r="P165" s="1">
        <f t="shared" si="0"/>
        <v>3</v>
      </c>
      <c r="V165" t="str">
        <f t="shared" si="8"/>
        <v>Top Performer</v>
      </c>
      <c r="W165" t="e" cm="1">
        <f t="array" aca="1" ref="W165" ca="1">_xlfn.IFS(N165&gt;=20, "High",N165&gt;=10, "Medium", N165&lt;10, "Low")</f>
        <v>#NAME?</v>
      </c>
      <c r="X165" t="str">
        <f t="shared" si="9"/>
        <v>High Budget</v>
      </c>
      <c r="Y165" s="7">
        <f>VLOOKUP(G165, Lookup_table!B:C,2,0)</f>
        <v>1.2</v>
      </c>
      <c r="Z165" t="str">
        <f t="shared" si="10"/>
        <v>Efficient Spend</v>
      </c>
      <c r="AA165" t="str">
        <f>VLOOKUP(H165, Lookup_table!E:F,2,0)</f>
        <v>Medium</v>
      </c>
    </row>
    <row r="166" spans="1:27" ht="17.5" customHeight="1" x14ac:dyDescent="0.35">
      <c r="A166" s="1" t="s">
        <v>306</v>
      </c>
      <c r="B166" s="2">
        <v>45453</v>
      </c>
      <c r="C166" s="1" t="s">
        <v>297</v>
      </c>
      <c r="D166" s="1">
        <v>45</v>
      </c>
      <c r="E166" s="1" t="s">
        <v>29</v>
      </c>
      <c r="F166" s="1" t="s">
        <v>50</v>
      </c>
      <c r="G166" s="1" t="s">
        <v>31</v>
      </c>
      <c r="H166" s="1" t="s">
        <v>36</v>
      </c>
      <c r="I166" s="1">
        <v>316.95999999999998</v>
      </c>
      <c r="J166" s="1">
        <v>42898</v>
      </c>
      <c r="K166" s="1">
        <v>2113</v>
      </c>
      <c r="L166" s="1">
        <v>267</v>
      </c>
      <c r="M166" s="1">
        <v>1</v>
      </c>
      <c r="N166" s="1">
        <v>4.9256375590000001</v>
      </c>
      <c r="O166" s="1">
        <v>12.636062470000001</v>
      </c>
      <c r="P166" s="1">
        <f t="shared" si="0"/>
        <v>1</v>
      </c>
      <c r="V166" t="str">
        <f t="shared" si="8"/>
        <v>Average Performer</v>
      </c>
      <c r="W166" t="e" cm="1">
        <f t="array" aca="1" ref="W166" ca="1">_xlfn.IFS(N166&gt;=20, "High",N166&gt;=10, "Medium", N166&lt;10, "Low")</f>
        <v>#NAME?</v>
      </c>
      <c r="X166" t="str">
        <f t="shared" si="9"/>
        <v>Low Budget</v>
      </c>
      <c r="Y166" s="7">
        <f>VLOOKUP(G166, Lookup_table!B:C,2,0)</f>
        <v>1.2</v>
      </c>
      <c r="Z166" t="str">
        <f t="shared" si="10"/>
        <v>Efficient Spend</v>
      </c>
      <c r="AA166" t="str">
        <f>VLOOKUP(H166, Lookup_table!E:F,2,0)</f>
        <v>High</v>
      </c>
    </row>
    <row r="167" spans="1:27" ht="17.5" customHeight="1" x14ac:dyDescent="0.35">
      <c r="A167" s="1" t="s">
        <v>307</v>
      </c>
      <c r="B167" s="2">
        <v>45337</v>
      </c>
      <c r="C167" s="1" t="s">
        <v>123</v>
      </c>
      <c r="D167" s="1">
        <v>62</v>
      </c>
      <c r="E167" s="1" t="s">
        <v>29</v>
      </c>
      <c r="F167" s="1" t="s">
        <v>41</v>
      </c>
      <c r="G167" s="1" t="s">
        <v>25</v>
      </c>
      <c r="H167" s="1" t="s">
        <v>62</v>
      </c>
      <c r="I167" s="1">
        <v>1607.24</v>
      </c>
      <c r="J167" s="1">
        <v>7128</v>
      </c>
      <c r="K167" s="1">
        <v>3584</v>
      </c>
      <c r="L167" s="1">
        <v>371</v>
      </c>
      <c r="M167" s="1">
        <v>2</v>
      </c>
      <c r="N167" s="1">
        <v>50.280583610000001</v>
      </c>
      <c r="O167" s="1">
        <v>10.3515625</v>
      </c>
      <c r="P167" s="1">
        <f t="shared" si="0"/>
        <v>2</v>
      </c>
      <c r="V167" t="str">
        <f t="shared" si="8"/>
        <v>Top Performer</v>
      </c>
      <c r="W167" t="e" cm="1">
        <f t="array" aca="1" ref="W167" ca="1">_xlfn.IFS(N167&gt;=20, "High",N167&gt;=10, "Medium", N167&lt;10, "Low")</f>
        <v>#NAME?</v>
      </c>
      <c r="X167" t="str">
        <f t="shared" si="9"/>
        <v>High Budget</v>
      </c>
      <c r="Y167" s="7">
        <f>VLOOKUP(G167, Lookup_table!B:C,2,0)</f>
        <v>0.5</v>
      </c>
      <c r="Z167" t="str">
        <f t="shared" si="10"/>
        <v>Efficient Spend</v>
      </c>
      <c r="AA167" t="str">
        <f>VLOOKUP(H167, Lookup_table!E:F,2,0)</f>
        <v>Medium</v>
      </c>
    </row>
    <row r="168" spans="1:27" ht="17.5" customHeight="1" x14ac:dyDescent="0.35">
      <c r="A168" s="1" t="s">
        <v>308</v>
      </c>
      <c r="B168" s="2">
        <v>45408</v>
      </c>
      <c r="C168" s="1" t="s">
        <v>160</v>
      </c>
      <c r="D168" s="1">
        <v>28</v>
      </c>
      <c r="E168" s="1" t="s">
        <v>23</v>
      </c>
      <c r="F168" s="1" t="s">
        <v>45</v>
      </c>
      <c r="G168" s="1" t="s">
        <v>31</v>
      </c>
      <c r="H168" s="1" t="s">
        <v>36</v>
      </c>
      <c r="I168" s="1">
        <v>1275.19</v>
      </c>
      <c r="J168" s="1">
        <v>30571</v>
      </c>
      <c r="K168" s="1">
        <v>1296</v>
      </c>
      <c r="L168" s="1">
        <v>132</v>
      </c>
      <c r="M168" s="1">
        <v>1</v>
      </c>
      <c r="N168" s="1">
        <v>4.2393117660000001</v>
      </c>
      <c r="O168" s="1">
        <v>10.18518519</v>
      </c>
      <c r="P168" s="1">
        <f t="shared" si="0"/>
        <v>1</v>
      </c>
      <c r="V168" t="str">
        <f t="shared" si="8"/>
        <v>Average Performer</v>
      </c>
      <c r="W168" t="e" cm="1">
        <f t="array" aca="1" ref="W168" ca="1">_xlfn.IFS(N168&gt;=20, "High",N168&gt;=10, "Medium", N168&lt;10, "Low")</f>
        <v>#NAME?</v>
      </c>
      <c r="X168" t="str">
        <f t="shared" si="9"/>
        <v>High Budget</v>
      </c>
      <c r="Y168" s="7">
        <f>VLOOKUP(G168, Lookup_table!B:C,2,0)</f>
        <v>1.2</v>
      </c>
      <c r="Z168" t="str">
        <f t="shared" si="10"/>
        <v>Efficient Spend</v>
      </c>
      <c r="AA168" t="str">
        <f>VLOOKUP(H168, Lookup_table!E:F,2,0)</f>
        <v>High</v>
      </c>
    </row>
    <row r="169" spans="1:27" ht="17.5" customHeight="1" x14ac:dyDescent="0.35">
      <c r="A169" s="1" t="s">
        <v>309</v>
      </c>
      <c r="B169" s="2">
        <v>45337</v>
      </c>
      <c r="C169" s="1" t="s">
        <v>253</v>
      </c>
      <c r="D169" s="1">
        <v>45</v>
      </c>
      <c r="E169" s="1" t="s">
        <v>29</v>
      </c>
      <c r="F169" s="1" t="s">
        <v>57</v>
      </c>
      <c r="G169" s="1" t="s">
        <v>25</v>
      </c>
      <c r="H169" s="1" t="s">
        <v>36</v>
      </c>
      <c r="I169" s="1">
        <v>1302.56</v>
      </c>
      <c r="J169" s="1">
        <v>45017</v>
      </c>
      <c r="K169" s="1">
        <v>251</v>
      </c>
      <c r="L169" s="1">
        <v>50</v>
      </c>
      <c r="N169" s="1">
        <v>0.55756714100000004</v>
      </c>
      <c r="O169" s="1">
        <v>19.920318730000002</v>
      </c>
      <c r="P169" s="1">
        <f t="shared" si="0"/>
        <v>3</v>
      </c>
      <c r="V169" t="str">
        <f t="shared" si="8"/>
        <v>Low Performer</v>
      </c>
      <c r="W169" t="e" cm="1">
        <f t="array" aca="1" ref="W169" ca="1">_xlfn.IFS(N169&gt;=20, "High",N169&gt;=10, "Medium", N169&lt;10, "Low")</f>
        <v>#NAME?</v>
      </c>
      <c r="X169" t="str">
        <f t="shared" si="9"/>
        <v>High Budget</v>
      </c>
      <c r="Y169" s="7">
        <f>VLOOKUP(G169, Lookup_table!B:C,2,0)</f>
        <v>0.5</v>
      </c>
      <c r="Z169" t="str">
        <f t="shared" si="10"/>
        <v>Inefficient Spend</v>
      </c>
      <c r="AA169" t="str">
        <f>VLOOKUP(H169, Lookup_table!E:F,2,0)</f>
        <v>High</v>
      </c>
    </row>
    <row r="170" spans="1:27" ht="17.5" customHeight="1" x14ac:dyDescent="0.35">
      <c r="A170" s="1" t="s">
        <v>310</v>
      </c>
      <c r="B170" s="2">
        <v>45653</v>
      </c>
      <c r="C170" s="1" t="s">
        <v>68</v>
      </c>
      <c r="D170" s="1">
        <v>18</v>
      </c>
      <c r="E170" s="1" t="s">
        <v>35</v>
      </c>
      <c r="F170" s="1" t="s">
        <v>57</v>
      </c>
      <c r="G170" s="1" t="s">
        <v>42</v>
      </c>
      <c r="H170" s="1" t="s">
        <v>62</v>
      </c>
      <c r="I170" s="1">
        <v>1092.58</v>
      </c>
      <c r="J170" s="1">
        <v>41758</v>
      </c>
      <c r="K170" s="1">
        <v>4051</v>
      </c>
      <c r="L170" s="1">
        <v>84</v>
      </c>
      <c r="M170" s="1">
        <v>4</v>
      </c>
      <c r="N170" s="1">
        <v>9.7011351119999993</v>
      </c>
      <c r="O170" s="1">
        <v>2.0735620830000001</v>
      </c>
      <c r="P170" s="1">
        <f t="shared" si="0"/>
        <v>4</v>
      </c>
      <c r="V170" t="str">
        <f t="shared" si="8"/>
        <v>Low Performer</v>
      </c>
      <c r="W170" t="e" cm="1">
        <f t="array" aca="1" ref="W170" ca="1">_xlfn.IFS(N170&gt;=20, "High",N170&gt;=10, "Medium", N170&lt;10, "Low")</f>
        <v>#NAME?</v>
      </c>
      <c r="X170" t="str">
        <f t="shared" si="9"/>
        <v>High Budget</v>
      </c>
      <c r="Y170" s="7">
        <f>VLOOKUP(G170, Lookup_table!B:C,2,0)</f>
        <v>0.3</v>
      </c>
      <c r="Z170" t="str">
        <f t="shared" si="10"/>
        <v>Efficient Spend</v>
      </c>
      <c r="AA170" t="str">
        <f>VLOOKUP(H170, Lookup_table!E:F,2,0)</f>
        <v>Medium</v>
      </c>
    </row>
    <row r="171" spans="1:27" ht="17.5" customHeight="1" x14ac:dyDescent="0.35">
      <c r="A171" s="1" t="s">
        <v>311</v>
      </c>
      <c r="B171" s="2">
        <v>45334</v>
      </c>
      <c r="C171" s="1" t="s">
        <v>312</v>
      </c>
      <c r="D171" s="1">
        <v>39</v>
      </c>
      <c r="E171" s="1" t="s">
        <v>35</v>
      </c>
      <c r="F171" s="1" t="s">
        <v>45</v>
      </c>
      <c r="G171" s="1" t="s">
        <v>31</v>
      </c>
      <c r="H171" s="1" t="s">
        <v>36</v>
      </c>
      <c r="I171" s="1">
        <v>835.42</v>
      </c>
      <c r="J171" s="1">
        <v>7997</v>
      </c>
      <c r="K171" s="1">
        <v>2332</v>
      </c>
      <c r="L171" s="1">
        <v>117</v>
      </c>
      <c r="M171" s="1">
        <v>1</v>
      </c>
      <c r="N171" s="1">
        <v>29.160935349999999</v>
      </c>
      <c r="O171" s="1">
        <v>5.0171526589999997</v>
      </c>
      <c r="P171" s="1">
        <f t="shared" si="0"/>
        <v>1</v>
      </c>
      <c r="V171" t="str">
        <f t="shared" si="8"/>
        <v>Average Performer</v>
      </c>
      <c r="W171" t="e" cm="1">
        <f t="array" aca="1" ref="W171" ca="1">_xlfn.IFS(N171&gt;=20, "High",N171&gt;=10, "Medium", N171&lt;10, "Low")</f>
        <v>#NAME?</v>
      </c>
      <c r="X171" t="str">
        <f t="shared" si="9"/>
        <v>Medium Budget</v>
      </c>
      <c r="Y171" s="7">
        <f>VLOOKUP(G171, Lookup_table!B:C,2,0)</f>
        <v>1.2</v>
      </c>
      <c r="Z171" t="str">
        <f t="shared" si="10"/>
        <v>Efficient Spend</v>
      </c>
      <c r="AA171" t="str">
        <f>VLOOKUP(H171, Lookup_table!E:F,2,0)</f>
        <v>High</v>
      </c>
    </row>
    <row r="172" spans="1:27" ht="17.5" customHeight="1" x14ac:dyDescent="0.35">
      <c r="A172" s="1" t="s">
        <v>313</v>
      </c>
      <c r="B172" s="2">
        <v>45644</v>
      </c>
      <c r="C172" s="1" t="s">
        <v>77</v>
      </c>
      <c r="D172" s="9">
        <v>41</v>
      </c>
      <c r="E172" s="1" t="s">
        <v>35</v>
      </c>
      <c r="G172" s="1" t="s">
        <v>61</v>
      </c>
      <c r="H172" s="1" t="s">
        <v>36</v>
      </c>
      <c r="I172" s="1">
        <v>1636.97</v>
      </c>
      <c r="J172" s="1">
        <v>24481</v>
      </c>
      <c r="K172" s="1">
        <v>2827</v>
      </c>
      <c r="L172" s="1">
        <v>93</v>
      </c>
      <c r="N172" s="1">
        <v>11.54773089</v>
      </c>
      <c r="O172" s="1">
        <v>3.2897064029999998</v>
      </c>
      <c r="P172" s="1">
        <f t="shared" si="0"/>
        <v>3</v>
      </c>
      <c r="V172" t="str">
        <f t="shared" si="8"/>
        <v>Low Performer</v>
      </c>
      <c r="W172" t="e" cm="1">
        <f t="array" aca="1" ref="W172" ca="1">_xlfn.IFS(N172&gt;=20, "High",N172&gt;=10, "Medium", N172&lt;10, "Low")</f>
        <v>#NAME?</v>
      </c>
      <c r="X172" t="str">
        <f t="shared" si="9"/>
        <v>High Budget</v>
      </c>
      <c r="Y172" s="7">
        <f>VLOOKUP(G172, Lookup_table!B:C,2,0)</f>
        <v>0.2</v>
      </c>
      <c r="Z172" t="str">
        <f t="shared" si="10"/>
        <v>Inefficient Spend</v>
      </c>
      <c r="AA172" t="str">
        <f>VLOOKUP(H172, Lookup_table!E:F,2,0)</f>
        <v>High</v>
      </c>
    </row>
    <row r="173" spans="1:27" ht="17.5" customHeight="1" x14ac:dyDescent="0.35">
      <c r="A173" s="1" t="s">
        <v>314</v>
      </c>
      <c r="B173" s="2">
        <v>45582</v>
      </c>
      <c r="C173" s="1" t="s">
        <v>315</v>
      </c>
      <c r="D173" s="1">
        <v>63</v>
      </c>
      <c r="E173" s="1" t="s">
        <v>29</v>
      </c>
      <c r="F173" s="1" t="s">
        <v>57</v>
      </c>
      <c r="G173" s="1" t="s">
        <v>31</v>
      </c>
      <c r="H173" s="1" t="s">
        <v>26</v>
      </c>
      <c r="I173" s="1">
        <v>1077.04</v>
      </c>
      <c r="J173" s="1">
        <v>4347</v>
      </c>
      <c r="K173" s="1">
        <v>3382</v>
      </c>
      <c r="L173" s="1">
        <v>163</v>
      </c>
      <c r="M173" s="1">
        <v>2</v>
      </c>
      <c r="N173" s="1">
        <v>77.800782150000003</v>
      </c>
      <c r="O173" s="1">
        <v>4.8196333530000004</v>
      </c>
      <c r="P173" s="1">
        <f t="shared" si="0"/>
        <v>2</v>
      </c>
      <c r="V173" t="str">
        <f t="shared" si="8"/>
        <v>Average Performer</v>
      </c>
      <c r="W173" t="e" cm="1">
        <f t="array" aca="1" ref="W173" ca="1">_xlfn.IFS(N173&gt;=20, "High",N173&gt;=10, "Medium", N173&lt;10, "Low")</f>
        <v>#NAME?</v>
      </c>
      <c r="X173" t="str">
        <f t="shared" si="9"/>
        <v>High Budget</v>
      </c>
      <c r="Y173" s="7">
        <f>VLOOKUP(G173, Lookup_table!B:C,2,0)</f>
        <v>1.2</v>
      </c>
      <c r="Z173" t="str">
        <f t="shared" si="10"/>
        <v>Efficient Spend</v>
      </c>
      <c r="AA173" t="str">
        <f>VLOOKUP(H173, Lookup_table!E:F,2,0)</f>
        <v>High</v>
      </c>
    </row>
    <row r="174" spans="1:27" ht="17.5" customHeight="1" x14ac:dyDescent="0.35">
      <c r="A174" s="1" t="s">
        <v>316</v>
      </c>
      <c r="B174" s="2">
        <v>45387</v>
      </c>
      <c r="C174" s="1" t="s">
        <v>317</v>
      </c>
      <c r="D174" s="1">
        <v>21</v>
      </c>
      <c r="E174" s="1" t="s">
        <v>29</v>
      </c>
      <c r="F174" s="1" t="s">
        <v>45</v>
      </c>
      <c r="G174" s="1" t="s">
        <v>42</v>
      </c>
      <c r="H174" s="1" t="s">
        <v>36</v>
      </c>
      <c r="I174" s="1">
        <v>1509.02</v>
      </c>
      <c r="J174" s="1">
        <v>39791</v>
      </c>
      <c r="K174" s="1">
        <v>3198</v>
      </c>
      <c r="L174" s="1">
        <v>283</v>
      </c>
      <c r="M174" s="1">
        <v>2</v>
      </c>
      <c r="N174" s="1">
        <v>8.0369932899999998</v>
      </c>
      <c r="O174" s="1">
        <v>8.8492808010000008</v>
      </c>
      <c r="P174" s="1">
        <f t="shared" si="0"/>
        <v>2</v>
      </c>
      <c r="V174" t="str">
        <f t="shared" si="8"/>
        <v>Top Performer</v>
      </c>
      <c r="W174" t="e" cm="1">
        <f t="array" aca="1" ref="W174" ca="1">_xlfn.IFS(N174&gt;=20, "High",N174&gt;=10, "Medium", N174&lt;10, "Low")</f>
        <v>#NAME?</v>
      </c>
      <c r="X174" t="str">
        <f t="shared" si="9"/>
        <v>High Budget</v>
      </c>
      <c r="Y174" s="7">
        <f>VLOOKUP(G174, Lookup_table!B:C,2,0)</f>
        <v>0.3</v>
      </c>
      <c r="Z174" t="str">
        <f t="shared" si="10"/>
        <v>Inefficient Spend</v>
      </c>
      <c r="AA174" t="str">
        <f>VLOOKUP(H174, Lookup_table!E:F,2,0)</f>
        <v>High</v>
      </c>
    </row>
    <row r="175" spans="1:27" ht="17.5" customHeight="1" x14ac:dyDescent="0.35">
      <c r="A175" s="1" t="s">
        <v>318</v>
      </c>
      <c r="B175" s="2">
        <v>45475</v>
      </c>
      <c r="C175" s="1" t="s">
        <v>319</v>
      </c>
      <c r="D175" s="1">
        <v>23</v>
      </c>
      <c r="E175" s="1" t="s">
        <v>29</v>
      </c>
      <c r="F175" s="1" t="s">
        <v>50</v>
      </c>
      <c r="G175" s="1" t="s">
        <v>25</v>
      </c>
      <c r="H175" s="1" t="s">
        <v>36</v>
      </c>
      <c r="I175" s="1">
        <v>1057.3399999999999</v>
      </c>
      <c r="J175" s="1">
        <v>3895</v>
      </c>
      <c r="K175" s="1">
        <v>1298</v>
      </c>
      <c r="L175" s="1">
        <v>218</v>
      </c>
      <c r="M175" s="1">
        <v>5</v>
      </c>
      <c r="N175" s="1">
        <v>33.324775350000003</v>
      </c>
      <c r="O175" s="1">
        <v>16.795069340000001</v>
      </c>
      <c r="P175" s="1">
        <f t="shared" si="0"/>
        <v>5</v>
      </c>
      <c r="V175" t="str">
        <f t="shared" si="8"/>
        <v>Average Performer</v>
      </c>
      <c r="W175" t="e" cm="1">
        <f t="array" aca="1" ref="W175" ca="1">_xlfn.IFS(N175&gt;=20, "High",N175&gt;=10, "Medium", N175&lt;10, "Low")</f>
        <v>#NAME?</v>
      </c>
      <c r="X175" t="str">
        <f t="shared" si="9"/>
        <v>High Budget</v>
      </c>
      <c r="Y175" s="7">
        <f>VLOOKUP(G175, Lookup_table!B:C,2,0)</f>
        <v>0.5</v>
      </c>
      <c r="Z175" t="str">
        <f t="shared" si="10"/>
        <v>Inefficient Spend</v>
      </c>
      <c r="AA175" t="str">
        <f>VLOOKUP(H175, Lookup_table!E:F,2,0)</f>
        <v>High</v>
      </c>
    </row>
    <row r="176" spans="1:27" ht="17.5" customHeight="1" x14ac:dyDescent="0.35">
      <c r="A176" s="1" t="s">
        <v>320</v>
      </c>
      <c r="B176" s="2">
        <v>45522</v>
      </c>
      <c r="C176" s="1" t="s">
        <v>279</v>
      </c>
      <c r="D176" s="1">
        <v>18</v>
      </c>
      <c r="E176" s="1" t="s">
        <v>35</v>
      </c>
      <c r="F176" s="1" t="s">
        <v>24</v>
      </c>
      <c r="G176" s="1" t="s">
        <v>31</v>
      </c>
      <c r="H176" s="1" t="s">
        <v>32</v>
      </c>
      <c r="I176" s="1">
        <v>317.67</v>
      </c>
      <c r="J176" s="1">
        <v>23696</v>
      </c>
      <c r="K176" s="1">
        <v>2329</v>
      </c>
      <c r="L176" s="1">
        <v>341</v>
      </c>
      <c r="M176" s="1">
        <v>5</v>
      </c>
      <c r="N176" s="1">
        <v>9.8286630650000006</v>
      </c>
      <c r="O176" s="1">
        <v>14.641477030000001</v>
      </c>
      <c r="P176" s="1">
        <f t="shared" si="0"/>
        <v>5</v>
      </c>
      <c r="V176" t="str">
        <f t="shared" si="8"/>
        <v>Average Performer</v>
      </c>
      <c r="W176" t="e" cm="1">
        <f t="array" aca="1" ref="W176" ca="1">_xlfn.IFS(N176&gt;=20, "High",N176&gt;=10, "Medium", N176&lt;10, "Low")</f>
        <v>#NAME?</v>
      </c>
      <c r="X176" t="str">
        <f t="shared" si="9"/>
        <v>Low Budget</v>
      </c>
      <c r="Y176" s="7">
        <f>VLOOKUP(G176, Lookup_table!B:C,2,0)</f>
        <v>1.2</v>
      </c>
      <c r="Z176" t="str">
        <f t="shared" si="10"/>
        <v>Efficient Spend</v>
      </c>
      <c r="AA176" t="str">
        <f>VLOOKUP(H176, Lookup_table!E:F,2,0)</f>
        <v>Medium</v>
      </c>
    </row>
    <row r="177" spans="1:27" ht="17.5" customHeight="1" x14ac:dyDescent="0.35">
      <c r="A177" s="1" t="s">
        <v>321</v>
      </c>
      <c r="B177" s="2">
        <v>45557</v>
      </c>
      <c r="C177" s="1" t="s">
        <v>115</v>
      </c>
      <c r="D177" s="1">
        <v>63</v>
      </c>
      <c r="E177" s="1" t="s">
        <v>29</v>
      </c>
      <c r="F177" s="1" t="s">
        <v>57</v>
      </c>
      <c r="G177" s="1" t="s">
        <v>31</v>
      </c>
      <c r="H177" s="1" t="s">
        <v>26</v>
      </c>
      <c r="I177" s="1">
        <v>285.07</v>
      </c>
      <c r="J177" s="1">
        <v>38068</v>
      </c>
      <c r="K177" s="1">
        <v>2716</v>
      </c>
      <c r="L177" s="1">
        <v>243</v>
      </c>
      <c r="M177" s="1">
        <v>4</v>
      </c>
      <c r="N177" s="1">
        <v>7.1346012400000003</v>
      </c>
      <c r="O177" s="1">
        <v>8.9469808539999995</v>
      </c>
      <c r="P177" s="1">
        <f t="shared" si="0"/>
        <v>4</v>
      </c>
      <c r="V177" t="str">
        <f t="shared" si="8"/>
        <v>Average Performer</v>
      </c>
      <c r="W177" t="e" cm="1">
        <f t="array" aca="1" ref="W177" ca="1">_xlfn.IFS(N177&gt;=20, "High",N177&gt;=10, "Medium", N177&lt;10, "Low")</f>
        <v>#NAME?</v>
      </c>
      <c r="X177" t="str">
        <f t="shared" si="9"/>
        <v>Low Budget</v>
      </c>
      <c r="Y177" s="7">
        <f>VLOOKUP(G177, Lookup_table!B:C,2,0)</f>
        <v>1.2</v>
      </c>
      <c r="Z177" t="str">
        <f t="shared" si="10"/>
        <v>Efficient Spend</v>
      </c>
      <c r="AA177" t="str">
        <f>VLOOKUP(H177, Lookup_table!E:F,2,0)</f>
        <v>High</v>
      </c>
    </row>
    <row r="178" spans="1:27" ht="17.5" customHeight="1" x14ac:dyDescent="0.35">
      <c r="A178" s="1" t="s">
        <v>322</v>
      </c>
      <c r="B178" s="2">
        <v>45561</v>
      </c>
      <c r="C178" s="1" t="s">
        <v>302</v>
      </c>
      <c r="D178" s="1">
        <v>35</v>
      </c>
      <c r="E178" s="1" t="s">
        <v>23</v>
      </c>
      <c r="F178" s="1" t="s">
        <v>30</v>
      </c>
      <c r="G178" s="1" t="s">
        <v>25</v>
      </c>
      <c r="H178" s="1" t="s">
        <v>26</v>
      </c>
      <c r="I178" s="1">
        <v>110.33</v>
      </c>
      <c r="J178" s="1">
        <v>30034</v>
      </c>
      <c r="K178" s="1">
        <v>2366</v>
      </c>
      <c r="L178" s="1">
        <v>97</v>
      </c>
      <c r="M178" s="1">
        <v>3</v>
      </c>
      <c r="N178" s="1">
        <v>7.8777385630000003</v>
      </c>
      <c r="O178" s="1">
        <v>4.0997464069999996</v>
      </c>
      <c r="P178" s="1">
        <f t="shared" si="0"/>
        <v>3</v>
      </c>
      <c r="V178" t="str">
        <f t="shared" si="8"/>
        <v>Low Performer</v>
      </c>
      <c r="W178" t="e" cm="1">
        <f t="array" aca="1" ref="W178" ca="1">_xlfn.IFS(N178&gt;=20, "High",N178&gt;=10, "Medium", N178&lt;10, "Low")</f>
        <v>#NAME?</v>
      </c>
      <c r="X178" t="str">
        <f t="shared" si="9"/>
        <v>Low Budget</v>
      </c>
      <c r="Y178" s="7">
        <f>VLOOKUP(G178, Lookup_table!B:C,2,0)</f>
        <v>0.5</v>
      </c>
      <c r="Z178" t="str">
        <f t="shared" si="10"/>
        <v>Efficient Spend</v>
      </c>
      <c r="AA178" t="str">
        <f>VLOOKUP(H178, Lookup_table!E:F,2,0)</f>
        <v>High</v>
      </c>
    </row>
    <row r="179" spans="1:27" ht="17.5" customHeight="1" x14ac:dyDescent="0.35">
      <c r="A179" s="1" t="s">
        <v>323</v>
      </c>
      <c r="B179" s="2">
        <v>45633</v>
      </c>
      <c r="C179" s="1" t="s">
        <v>324</v>
      </c>
      <c r="D179" s="1">
        <v>28</v>
      </c>
      <c r="E179" s="1" t="s">
        <v>35</v>
      </c>
      <c r="F179" s="1" t="s">
        <v>41</v>
      </c>
      <c r="G179" s="1" t="s">
        <v>31</v>
      </c>
      <c r="H179" s="1" t="s">
        <v>62</v>
      </c>
      <c r="I179" s="1">
        <v>641.88</v>
      </c>
      <c r="J179" s="1">
        <v>33060</v>
      </c>
      <c r="K179" s="1">
        <v>560</v>
      </c>
      <c r="L179" s="1">
        <v>331</v>
      </c>
      <c r="M179" s="1">
        <v>1</v>
      </c>
      <c r="N179" s="1">
        <v>1.693889897</v>
      </c>
      <c r="O179" s="1">
        <v>59.107142860000003</v>
      </c>
      <c r="P179" s="1">
        <f t="shared" si="0"/>
        <v>1</v>
      </c>
      <c r="V179" t="str">
        <f t="shared" si="8"/>
        <v>Low Performer</v>
      </c>
      <c r="W179" t="e" cm="1">
        <f t="array" aca="1" ref="W179" ca="1">_xlfn.IFS(N179&gt;=20, "High",N179&gt;=10, "Medium", N179&lt;10, "Low")</f>
        <v>#NAME?</v>
      </c>
      <c r="X179" t="str">
        <f t="shared" si="9"/>
        <v>Medium Budget</v>
      </c>
      <c r="Y179" s="7">
        <f>VLOOKUP(G179, Lookup_table!B:C,2,0)</f>
        <v>1.2</v>
      </c>
      <c r="Z179" t="str">
        <f t="shared" si="10"/>
        <v>Efficient Spend</v>
      </c>
      <c r="AA179" t="str">
        <f>VLOOKUP(H179, Lookup_table!E:F,2,0)</f>
        <v>Medium</v>
      </c>
    </row>
    <row r="180" spans="1:27" ht="17.5" customHeight="1" x14ac:dyDescent="0.35">
      <c r="A180" s="1" t="s">
        <v>325</v>
      </c>
      <c r="B180" s="2">
        <v>45293</v>
      </c>
      <c r="C180" s="1" t="s">
        <v>199</v>
      </c>
      <c r="D180" s="1">
        <v>57</v>
      </c>
      <c r="E180" s="1" t="s">
        <v>35</v>
      </c>
      <c r="F180" s="1" t="s">
        <v>57</v>
      </c>
      <c r="G180" s="1" t="s">
        <v>42</v>
      </c>
      <c r="H180" s="1" t="s">
        <v>62</v>
      </c>
      <c r="I180" s="1">
        <v>304.58999999999997</v>
      </c>
      <c r="J180" s="1">
        <v>9742</v>
      </c>
      <c r="K180" s="1">
        <v>2808</v>
      </c>
      <c r="L180" s="1">
        <v>397</v>
      </c>
      <c r="M180" s="1">
        <v>2</v>
      </c>
      <c r="N180" s="1">
        <v>28.823650170000001</v>
      </c>
      <c r="O180" s="1">
        <v>14.138176639999999</v>
      </c>
      <c r="P180" s="1">
        <f t="shared" si="0"/>
        <v>2</v>
      </c>
      <c r="V180" t="str">
        <f t="shared" si="8"/>
        <v>Average Performer</v>
      </c>
      <c r="W180" t="e" cm="1">
        <f t="array" aca="1" ref="W180" ca="1">_xlfn.IFS(N180&gt;=20, "High",N180&gt;=10, "Medium", N180&lt;10, "Low")</f>
        <v>#NAME?</v>
      </c>
      <c r="X180" t="str">
        <f t="shared" si="9"/>
        <v>Low Budget</v>
      </c>
      <c r="Y180" s="7">
        <f>VLOOKUP(G180, Lookup_table!B:C,2,0)</f>
        <v>0.3</v>
      </c>
      <c r="Z180" t="str">
        <f t="shared" si="10"/>
        <v>Efficient Spend</v>
      </c>
      <c r="AA180" t="str">
        <f>VLOOKUP(H180, Lookup_table!E:F,2,0)</f>
        <v>Medium</v>
      </c>
    </row>
    <row r="181" spans="1:27" ht="17.5" customHeight="1" x14ac:dyDescent="0.35">
      <c r="A181" s="1" t="s">
        <v>326</v>
      </c>
      <c r="B181" s="2">
        <v>45579</v>
      </c>
      <c r="C181" s="1" t="s">
        <v>327</v>
      </c>
      <c r="D181" s="9">
        <v>41</v>
      </c>
      <c r="E181" s="1" t="s">
        <v>29</v>
      </c>
      <c r="G181" s="1" t="s">
        <v>61</v>
      </c>
      <c r="H181" s="1" t="s">
        <v>26</v>
      </c>
      <c r="I181" s="1">
        <v>1625.89</v>
      </c>
      <c r="J181" s="1">
        <v>737</v>
      </c>
      <c r="K181" s="1">
        <v>1817</v>
      </c>
      <c r="L181" s="1">
        <v>42</v>
      </c>
      <c r="N181" s="1">
        <v>246.5400271</v>
      </c>
      <c r="O181" s="1">
        <v>2.3115024769999999</v>
      </c>
      <c r="P181" s="1">
        <f t="shared" si="0"/>
        <v>3</v>
      </c>
      <c r="U181" s="1">
        <f>COUNTIF(N177:N1000, N181&gt;100)</f>
        <v>0</v>
      </c>
      <c r="V181" t="str">
        <f t="shared" si="8"/>
        <v>Low Performer</v>
      </c>
      <c r="W181" t="e" cm="1">
        <f t="array" aca="1" ref="W181" ca="1">_xlfn.IFS(N181&gt;=20, "High",N181&gt;=10, "Medium", N181&lt;10, "Low")</f>
        <v>#NAME?</v>
      </c>
      <c r="X181" t="str">
        <f t="shared" si="9"/>
        <v>High Budget</v>
      </c>
      <c r="Y181" s="7">
        <f>VLOOKUP(G181, Lookup_table!B:C,2,0)</f>
        <v>0.2</v>
      </c>
      <c r="Z181" t="str">
        <f t="shared" si="10"/>
        <v>Inefficient Spend</v>
      </c>
      <c r="AA181" t="str">
        <f>VLOOKUP(H181, Lookup_table!E:F,2,0)</f>
        <v>High</v>
      </c>
    </row>
    <row r="182" spans="1:27" ht="17.5" customHeight="1" x14ac:dyDescent="0.35">
      <c r="A182" s="1" t="s">
        <v>328</v>
      </c>
      <c r="B182" s="2">
        <v>45500</v>
      </c>
      <c r="C182" s="1" t="s">
        <v>329</v>
      </c>
      <c r="D182" s="1">
        <v>57</v>
      </c>
      <c r="E182" s="1" t="s">
        <v>23</v>
      </c>
      <c r="F182" s="1" t="s">
        <v>30</v>
      </c>
      <c r="G182" s="1" t="s">
        <v>46</v>
      </c>
      <c r="H182" s="1" t="s">
        <v>32</v>
      </c>
      <c r="I182" s="1">
        <v>1031.83</v>
      </c>
      <c r="J182" s="1">
        <v>41302</v>
      </c>
      <c r="K182" s="1">
        <v>1392</v>
      </c>
      <c r="L182" s="1">
        <v>289</v>
      </c>
      <c r="N182" s="1">
        <v>3.3702968379999998</v>
      </c>
      <c r="O182" s="1">
        <v>20.761494249999998</v>
      </c>
      <c r="P182" s="1">
        <f t="shared" si="0"/>
        <v>3</v>
      </c>
      <c r="V182" t="str">
        <f t="shared" si="8"/>
        <v>Average Performer</v>
      </c>
      <c r="W182" t="e" cm="1">
        <f t="array" aca="1" ref="W182" ca="1">_xlfn.IFS(N182&gt;=20, "High",N182&gt;=10, "Medium", N182&lt;10, "Low")</f>
        <v>#NAME?</v>
      </c>
      <c r="X182" t="str">
        <f t="shared" si="9"/>
        <v>High Budget</v>
      </c>
      <c r="Y182" s="7">
        <f>VLOOKUP(G182, Lookup_table!B:C,2,0)</f>
        <v>0.75</v>
      </c>
      <c r="Z182" t="str">
        <f t="shared" si="10"/>
        <v>Efficient Spend</v>
      </c>
      <c r="AA182" t="str">
        <f>VLOOKUP(H182, Lookup_table!E:F,2,0)</f>
        <v>Medium</v>
      </c>
    </row>
    <row r="183" spans="1:27" ht="17.5" customHeight="1" x14ac:dyDescent="0.35">
      <c r="A183" s="1" t="s">
        <v>330</v>
      </c>
      <c r="B183" s="2">
        <v>45340</v>
      </c>
      <c r="C183" s="1" t="s">
        <v>119</v>
      </c>
      <c r="D183" s="1">
        <v>20</v>
      </c>
      <c r="E183" s="1" t="s">
        <v>23</v>
      </c>
      <c r="F183" s="1" t="s">
        <v>41</v>
      </c>
      <c r="G183" s="1" t="s">
        <v>46</v>
      </c>
      <c r="H183" s="1" t="s">
        <v>26</v>
      </c>
      <c r="I183" s="1">
        <v>1164.83</v>
      </c>
      <c r="J183" s="1">
        <v>27872</v>
      </c>
      <c r="K183" s="1">
        <v>3872</v>
      </c>
      <c r="L183" s="1">
        <v>354</v>
      </c>
      <c r="M183" s="1">
        <v>2</v>
      </c>
      <c r="N183" s="1">
        <v>13.89207807</v>
      </c>
      <c r="O183" s="1">
        <v>9.1425619830000002</v>
      </c>
      <c r="P183" s="1">
        <f t="shared" si="0"/>
        <v>2</v>
      </c>
      <c r="V183" t="str">
        <f t="shared" si="8"/>
        <v>Top Performer</v>
      </c>
      <c r="W183" t="e" cm="1">
        <f t="array" aca="1" ref="W183" ca="1">_xlfn.IFS(N183&gt;=20, "High",N183&gt;=10, "Medium", N183&lt;10, "Low")</f>
        <v>#NAME?</v>
      </c>
      <c r="X183" t="str">
        <f t="shared" si="9"/>
        <v>High Budget</v>
      </c>
      <c r="Y183" s="7">
        <f>VLOOKUP(G183, Lookup_table!B:C,2,0)</f>
        <v>0.75</v>
      </c>
      <c r="Z183" t="str">
        <f t="shared" si="10"/>
        <v>Efficient Spend</v>
      </c>
      <c r="AA183" t="str">
        <f>VLOOKUP(H183, Lookup_table!E:F,2,0)</f>
        <v>High</v>
      </c>
    </row>
    <row r="184" spans="1:27" ht="17.5" customHeight="1" x14ac:dyDescent="0.35">
      <c r="A184" s="1" t="s">
        <v>331</v>
      </c>
      <c r="B184" s="2">
        <v>45445</v>
      </c>
      <c r="C184" s="1" t="s">
        <v>332</v>
      </c>
      <c r="D184" s="1">
        <v>37</v>
      </c>
      <c r="E184" s="1" t="s">
        <v>35</v>
      </c>
      <c r="F184" s="1" t="s">
        <v>24</v>
      </c>
      <c r="G184" s="1" t="s">
        <v>31</v>
      </c>
      <c r="H184" s="1" t="s">
        <v>62</v>
      </c>
      <c r="I184" s="1">
        <v>945.56</v>
      </c>
      <c r="J184" s="1">
        <v>11853</v>
      </c>
      <c r="K184" s="1">
        <v>81</v>
      </c>
      <c r="L184" s="1">
        <v>206</v>
      </c>
      <c r="N184" s="1">
        <v>0.68337129799999996</v>
      </c>
      <c r="O184" s="1">
        <v>254.32098769999999</v>
      </c>
      <c r="P184" s="1">
        <f t="shared" si="0"/>
        <v>3</v>
      </c>
      <c r="V184" t="str">
        <f t="shared" si="8"/>
        <v>Low Performer</v>
      </c>
      <c r="W184" t="e" cm="1">
        <f t="array" aca="1" ref="W184" ca="1">_xlfn.IFS(N184&gt;=20, "High",N184&gt;=10, "Medium", N184&lt;10, "Low")</f>
        <v>#NAME?</v>
      </c>
      <c r="X184" t="str">
        <f t="shared" si="9"/>
        <v>Medium Budget</v>
      </c>
      <c r="Y184" s="7">
        <f>VLOOKUP(G184, Lookup_table!B:C,2,0)</f>
        <v>1.2</v>
      </c>
      <c r="Z184" t="str">
        <f t="shared" si="10"/>
        <v>Inefficient Spend</v>
      </c>
      <c r="AA184" t="str">
        <f>VLOOKUP(H184, Lookup_table!E:F,2,0)</f>
        <v>Medium</v>
      </c>
    </row>
    <row r="185" spans="1:27" ht="17.5" customHeight="1" x14ac:dyDescent="0.35">
      <c r="A185" s="1" t="s">
        <v>333</v>
      </c>
      <c r="B185" s="2">
        <v>45453</v>
      </c>
      <c r="C185" s="1" t="s">
        <v>334</v>
      </c>
      <c r="D185" s="1">
        <v>40</v>
      </c>
      <c r="E185" s="1" t="s">
        <v>29</v>
      </c>
      <c r="F185" s="1" t="s">
        <v>30</v>
      </c>
      <c r="G185" s="1" t="s">
        <v>61</v>
      </c>
      <c r="H185" s="1" t="s">
        <v>36</v>
      </c>
      <c r="I185" s="1">
        <v>1340.52</v>
      </c>
      <c r="J185" s="1">
        <v>49606</v>
      </c>
      <c r="K185" s="1">
        <v>2365</v>
      </c>
      <c r="L185" s="1">
        <v>10</v>
      </c>
      <c r="M185" s="1">
        <v>2</v>
      </c>
      <c r="N185" s="1">
        <v>4.7675684389999997</v>
      </c>
      <c r="O185" s="1">
        <v>0.422832981</v>
      </c>
      <c r="P185" s="1">
        <f t="shared" si="0"/>
        <v>2</v>
      </c>
      <c r="V185" t="str">
        <f t="shared" si="8"/>
        <v>Low Performer</v>
      </c>
      <c r="W185" t="e" cm="1">
        <f t="array" aca="1" ref="W185" ca="1">_xlfn.IFS(N185&gt;=20, "High",N185&gt;=10, "Medium", N185&lt;10, "Low")</f>
        <v>#NAME?</v>
      </c>
      <c r="X185" t="str">
        <f t="shared" si="9"/>
        <v>High Budget</v>
      </c>
      <c r="Y185" s="7">
        <f>VLOOKUP(G185, Lookup_table!B:C,2,0)</f>
        <v>0.2</v>
      </c>
      <c r="Z185" t="str">
        <f t="shared" si="10"/>
        <v>Inefficient Spend</v>
      </c>
      <c r="AA185" t="str">
        <f>VLOOKUP(H185, Lookup_table!E:F,2,0)</f>
        <v>High</v>
      </c>
    </row>
    <row r="186" spans="1:27" ht="17.5" customHeight="1" x14ac:dyDescent="0.35">
      <c r="A186" s="1" t="s">
        <v>335</v>
      </c>
      <c r="B186" s="2">
        <v>45547</v>
      </c>
      <c r="C186" s="1" t="s">
        <v>336</v>
      </c>
      <c r="D186" s="1">
        <v>30</v>
      </c>
      <c r="E186" s="1" t="s">
        <v>23</v>
      </c>
      <c r="F186" s="1" t="s">
        <v>30</v>
      </c>
      <c r="G186" s="1" t="s">
        <v>42</v>
      </c>
      <c r="H186" s="1" t="s">
        <v>36</v>
      </c>
      <c r="I186" s="1">
        <v>1071.8800000000001</v>
      </c>
      <c r="J186" s="1">
        <v>19159</v>
      </c>
      <c r="K186" s="1">
        <v>4763</v>
      </c>
      <c r="L186" s="1">
        <v>302</v>
      </c>
      <c r="N186" s="1">
        <v>24.86037893</v>
      </c>
      <c r="O186" s="1">
        <v>6.3405416749999999</v>
      </c>
      <c r="P186" s="1">
        <f t="shared" si="0"/>
        <v>3</v>
      </c>
      <c r="V186" t="str">
        <f t="shared" si="8"/>
        <v>Top Performer</v>
      </c>
      <c r="W186" t="e" cm="1">
        <f t="array" aca="1" ref="W186" ca="1">_xlfn.IFS(N186&gt;=20, "High",N186&gt;=10, "Medium", N186&lt;10, "Low")</f>
        <v>#NAME?</v>
      </c>
      <c r="X186" t="str">
        <f t="shared" si="9"/>
        <v>High Budget</v>
      </c>
      <c r="Y186" s="7">
        <f>VLOOKUP(G186, Lookup_table!B:C,2,0)</f>
        <v>0.3</v>
      </c>
      <c r="Z186" t="str">
        <f t="shared" si="10"/>
        <v>Efficient Spend</v>
      </c>
      <c r="AA186" t="str">
        <f>VLOOKUP(H186, Lookup_table!E:F,2,0)</f>
        <v>High</v>
      </c>
    </row>
    <row r="187" spans="1:27" ht="17.5" customHeight="1" x14ac:dyDescent="0.35">
      <c r="A187" s="1" t="s">
        <v>337</v>
      </c>
      <c r="B187" s="2">
        <v>45630</v>
      </c>
      <c r="C187" s="1" t="s">
        <v>338</v>
      </c>
      <c r="D187" s="1">
        <v>42</v>
      </c>
      <c r="E187" s="1" t="s">
        <v>23</v>
      </c>
      <c r="F187" s="1" t="s">
        <v>24</v>
      </c>
      <c r="G187" s="1" t="s">
        <v>31</v>
      </c>
      <c r="H187" s="1" t="s">
        <v>36</v>
      </c>
      <c r="I187" s="1">
        <v>1871.86</v>
      </c>
      <c r="J187" s="1">
        <v>5843</v>
      </c>
      <c r="K187" s="1">
        <v>4548</v>
      </c>
      <c r="L187" s="1">
        <v>317</v>
      </c>
      <c r="M187" s="1">
        <v>5</v>
      </c>
      <c r="N187" s="1">
        <v>77.836727710000005</v>
      </c>
      <c r="O187" s="1">
        <v>6.9700967460000003</v>
      </c>
      <c r="P187" s="1">
        <f t="shared" si="0"/>
        <v>5</v>
      </c>
      <c r="V187" t="str">
        <f t="shared" si="8"/>
        <v>Top Performer</v>
      </c>
      <c r="W187" t="e" cm="1">
        <f t="array" aca="1" ref="W187" ca="1">_xlfn.IFS(N187&gt;=20, "High",N187&gt;=10, "Medium", N187&lt;10, "Low")</f>
        <v>#NAME?</v>
      </c>
      <c r="X187" t="str">
        <f t="shared" si="9"/>
        <v>High Budget</v>
      </c>
      <c r="Y187" s="7">
        <f>VLOOKUP(G187, Lookup_table!B:C,2,0)</f>
        <v>1.2</v>
      </c>
      <c r="Z187" t="str">
        <f t="shared" si="10"/>
        <v>Efficient Spend</v>
      </c>
      <c r="AA187" t="str">
        <f>VLOOKUP(H187, Lookup_table!E:F,2,0)</f>
        <v>High</v>
      </c>
    </row>
    <row r="188" spans="1:27" ht="17.5" customHeight="1" x14ac:dyDescent="0.35">
      <c r="A188" s="1" t="s">
        <v>339</v>
      </c>
      <c r="B188" s="2">
        <v>45356</v>
      </c>
      <c r="C188" s="1" t="s">
        <v>40</v>
      </c>
      <c r="D188" s="1">
        <v>20</v>
      </c>
      <c r="E188" s="1" t="s">
        <v>23</v>
      </c>
      <c r="F188" s="1" t="s">
        <v>24</v>
      </c>
      <c r="G188" s="1" t="s">
        <v>42</v>
      </c>
      <c r="H188" s="1" t="s">
        <v>32</v>
      </c>
      <c r="I188" s="1">
        <v>1691.24</v>
      </c>
      <c r="J188" s="1">
        <v>32091</v>
      </c>
      <c r="K188" s="1">
        <v>2988</v>
      </c>
      <c r="L188" s="1">
        <v>222</v>
      </c>
      <c r="N188" s="1">
        <v>9.3110217819999992</v>
      </c>
      <c r="O188" s="1">
        <v>7.4297188759999999</v>
      </c>
      <c r="P188" s="1">
        <f t="shared" si="0"/>
        <v>3</v>
      </c>
      <c r="V188" t="str">
        <f t="shared" si="8"/>
        <v>Average Performer</v>
      </c>
      <c r="W188" t="e" cm="1">
        <f t="array" aca="1" ref="W188" ca="1">_xlfn.IFS(N188&gt;=20, "High",N188&gt;=10, "Medium", N188&lt;10, "Low")</f>
        <v>#NAME?</v>
      </c>
      <c r="X188" t="str">
        <f t="shared" si="9"/>
        <v>High Budget</v>
      </c>
      <c r="Y188" s="7">
        <f>VLOOKUP(G188, Lookup_table!B:C,2,0)</f>
        <v>0.3</v>
      </c>
      <c r="Z188" t="str">
        <f t="shared" si="10"/>
        <v>Inefficient Spend</v>
      </c>
      <c r="AA188" t="str">
        <f>VLOOKUP(H188, Lookup_table!E:F,2,0)</f>
        <v>Medium</v>
      </c>
    </row>
    <row r="189" spans="1:27" ht="17.5" customHeight="1" x14ac:dyDescent="0.35">
      <c r="A189" s="1" t="s">
        <v>340</v>
      </c>
      <c r="B189" s="2">
        <v>45606</v>
      </c>
      <c r="C189" s="1" t="s">
        <v>40</v>
      </c>
      <c r="D189" s="1">
        <v>25</v>
      </c>
      <c r="E189" s="1" t="s">
        <v>29</v>
      </c>
      <c r="F189" s="1" t="s">
        <v>50</v>
      </c>
      <c r="G189" s="1" t="s">
        <v>46</v>
      </c>
      <c r="H189" s="1" t="s">
        <v>32</v>
      </c>
      <c r="I189" s="1">
        <v>412</v>
      </c>
      <c r="J189" s="1">
        <v>40238</v>
      </c>
      <c r="K189" s="1">
        <v>4935</v>
      </c>
      <c r="L189" s="1">
        <v>376</v>
      </c>
      <c r="M189" s="1">
        <v>4</v>
      </c>
      <c r="N189" s="1">
        <v>12.264526070000001</v>
      </c>
      <c r="O189" s="1">
        <v>7.6190476189999998</v>
      </c>
      <c r="P189" s="1">
        <f t="shared" si="0"/>
        <v>4</v>
      </c>
      <c r="V189" t="str">
        <f t="shared" si="8"/>
        <v>Top Performer</v>
      </c>
      <c r="W189" t="e" cm="1">
        <f t="array" aca="1" ref="W189" ca="1">_xlfn.IFS(N189&gt;=20, "High",N189&gt;=10, "Medium", N189&lt;10, "Low")</f>
        <v>#NAME?</v>
      </c>
      <c r="X189" t="str">
        <f t="shared" si="9"/>
        <v>Low Budget</v>
      </c>
      <c r="Y189" s="7">
        <f>VLOOKUP(G189, Lookup_table!B:C,2,0)</f>
        <v>0.75</v>
      </c>
      <c r="Z189" t="str">
        <f t="shared" si="10"/>
        <v>Efficient Spend</v>
      </c>
      <c r="AA189" t="str">
        <f>VLOOKUP(H189, Lookup_table!E:F,2,0)</f>
        <v>Medium</v>
      </c>
    </row>
    <row r="190" spans="1:27" ht="17.5" customHeight="1" x14ac:dyDescent="0.35">
      <c r="A190" s="1" t="s">
        <v>341</v>
      </c>
      <c r="B190" s="2">
        <v>45558</v>
      </c>
      <c r="C190" s="1" t="s">
        <v>297</v>
      </c>
      <c r="D190" s="1">
        <v>46</v>
      </c>
      <c r="E190" s="1" t="s">
        <v>35</v>
      </c>
      <c r="F190" s="1" t="s">
        <v>50</v>
      </c>
      <c r="G190" s="1" t="s">
        <v>25</v>
      </c>
      <c r="H190" s="1" t="s">
        <v>36</v>
      </c>
      <c r="I190" s="1">
        <v>1753.45</v>
      </c>
      <c r="J190" s="1">
        <v>46250</v>
      </c>
      <c r="K190" s="1">
        <v>243</v>
      </c>
      <c r="L190" s="1">
        <v>87</v>
      </c>
      <c r="M190" s="1">
        <v>5</v>
      </c>
      <c r="N190" s="1">
        <v>0.52540540499999999</v>
      </c>
      <c r="O190" s="1">
        <v>35.802469139999999</v>
      </c>
      <c r="P190" s="1">
        <f t="shared" si="0"/>
        <v>5</v>
      </c>
      <c r="V190" t="str">
        <f t="shared" si="8"/>
        <v>Low Performer</v>
      </c>
      <c r="W190" t="e" cm="1">
        <f t="array" aca="1" ref="W190" ca="1">_xlfn.IFS(N190&gt;=20, "High",N190&gt;=10, "Medium", N190&lt;10, "Low")</f>
        <v>#NAME?</v>
      </c>
      <c r="X190" t="str">
        <f t="shared" si="9"/>
        <v>High Budget</v>
      </c>
      <c r="Y190" s="7">
        <f>VLOOKUP(G190, Lookup_table!B:C,2,0)</f>
        <v>0.5</v>
      </c>
      <c r="Z190" t="str">
        <f t="shared" si="10"/>
        <v>Inefficient Spend</v>
      </c>
      <c r="AA190" t="str">
        <f>VLOOKUP(H190, Lookup_table!E:F,2,0)</f>
        <v>High</v>
      </c>
    </row>
    <row r="191" spans="1:27" ht="17.5" customHeight="1" x14ac:dyDescent="0.35">
      <c r="A191" s="1" t="s">
        <v>342</v>
      </c>
      <c r="B191" s="2">
        <v>45319</v>
      </c>
      <c r="C191" s="1" t="s">
        <v>343</v>
      </c>
      <c r="D191" s="1">
        <v>55</v>
      </c>
      <c r="E191" s="1" t="s">
        <v>29</v>
      </c>
      <c r="F191" s="1" t="s">
        <v>45</v>
      </c>
      <c r="G191" s="1" t="s">
        <v>42</v>
      </c>
      <c r="H191" s="1" t="s">
        <v>32</v>
      </c>
      <c r="I191" s="1">
        <v>965.48</v>
      </c>
      <c r="J191" s="1">
        <v>7358</v>
      </c>
      <c r="K191" s="1">
        <v>1985</v>
      </c>
      <c r="L191" s="1">
        <v>57</v>
      </c>
      <c r="M191" s="1">
        <v>4</v>
      </c>
      <c r="N191" s="1">
        <v>26.977439520000001</v>
      </c>
      <c r="O191" s="1">
        <v>2.8715365240000001</v>
      </c>
      <c r="P191" s="1">
        <f t="shared" si="0"/>
        <v>4</v>
      </c>
      <c r="V191" t="str">
        <f t="shared" si="8"/>
        <v>Low Performer</v>
      </c>
      <c r="W191" t="e" cm="1">
        <f t="array" aca="1" ref="W191" ca="1">_xlfn.IFS(N191&gt;=20, "High",N191&gt;=10, "Medium", N191&lt;10, "Low")</f>
        <v>#NAME?</v>
      </c>
      <c r="X191" t="str">
        <f t="shared" si="9"/>
        <v>Medium Budget</v>
      </c>
      <c r="Y191" s="7">
        <f>VLOOKUP(G191, Lookup_table!B:C,2,0)</f>
        <v>0.3</v>
      </c>
      <c r="Z191" t="str">
        <f t="shared" si="10"/>
        <v>Inefficient Spend</v>
      </c>
      <c r="AA191" t="str">
        <f>VLOOKUP(H191, Lookup_table!E:F,2,0)</f>
        <v>Medium</v>
      </c>
    </row>
    <row r="192" spans="1:27" ht="17.5" customHeight="1" x14ac:dyDescent="0.35">
      <c r="A192" s="1" t="s">
        <v>344</v>
      </c>
      <c r="B192" s="2">
        <v>45448</v>
      </c>
      <c r="C192" s="1" t="s">
        <v>329</v>
      </c>
      <c r="D192" s="1">
        <v>25</v>
      </c>
      <c r="E192" s="1" t="s">
        <v>35</v>
      </c>
      <c r="F192" s="1" t="s">
        <v>57</v>
      </c>
      <c r="G192" s="1" t="s">
        <v>25</v>
      </c>
      <c r="H192" s="1" t="s">
        <v>26</v>
      </c>
      <c r="I192" s="1">
        <v>1938.03</v>
      </c>
      <c r="J192" s="1">
        <v>40841</v>
      </c>
      <c r="K192" s="1">
        <v>32</v>
      </c>
      <c r="L192" s="1">
        <v>55</v>
      </c>
      <c r="M192" s="1">
        <v>1</v>
      </c>
      <c r="N192" s="1">
        <v>7.8352636000000003E-2</v>
      </c>
      <c r="O192" s="1">
        <v>171.875</v>
      </c>
      <c r="P192" s="1">
        <f t="shared" si="0"/>
        <v>1</v>
      </c>
      <c r="V192" t="str">
        <f t="shared" si="8"/>
        <v>Low Performer</v>
      </c>
      <c r="W192" t="e" cm="1">
        <f t="array" aca="1" ref="W192" ca="1">_xlfn.IFS(N192&gt;=20, "High",N192&gt;=10, "Medium", N192&lt;10, "Low")</f>
        <v>#NAME?</v>
      </c>
      <c r="X192" t="str">
        <f t="shared" si="9"/>
        <v>High Budget</v>
      </c>
      <c r="Y192" s="7">
        <f>VLOOKUP(G192, Lookup_table!B:C,2,0)</f>
        <v>0.5</v>
      </c>
      <c r="Z192" t="str">
        <f t="shared" si="10"/>
        <v>Inefficient Spend</v>
      </c>
      <c r="AA192" t="str">
        <f>VLOOKUP(H192, Lookup_table!E:F,2,0)</f>
        <v>High</v>
      </c>
    </row>
    <row r="193" spans="1:27" ht="17.5" customHeight="1" x14ac:dyDescent="0.35">
      <c r="A193" s="1" t="s">
        <v>345</v>
      </c>
      <c r="B193" s="2">
        <v>45300</v>
      </c>
      <c r="C193" s="1" t="s">
        <v>152</v>
      </c>
      <c r="D193" s="9">
        <v>41</v>
      </c>
      <c r="E193" s="1" t="s">
        <v>29</v>
      </c>
      <c r="G193" s="1" t="s">
        <v>25</v>
      </c>
      <c r="H193" s="1" t="s">
        <v>36</v>
      </c>
      <c r="I193" s="1">
        <v>1216.25</v>
      </c>
      <c r="J193" s="1">
        <v>33832</v>
      </c>
      <c r="K193" s="1">
        <v>3981</v>
      </c>
      <c r="L193" s="1">
        <v>132</v>
      </c>
      <c r="N193" s="1">
        <v>11.76696619</v>
      </c>
      <c r="O193" s="1">
        <v>3.315749812</v>
      </c>
      <c r="P193" s="1">
        <f t="shared" si="0"/>
        <v>3</v>
      </c>
      <c r="V193" t="str">
        <f t="shared" si="8"/>
        <v>Average Performer</v>
      </c>
      <c r="W193" t="e" cm="1">
        <f t="array" aca="1" ref="W193" ca="1">_xlfn.IFS(N193&gt;=20, "High",N193&gt;=10, "Medium", N193&lt;10, "Low")</f>
        <v>#NAME?</v>
      </c>
      <c r="X193" t="str">
        <f t="shared" si="9"/>
        <v>High Budget</v>
      </c>
      <c r="Y193" s="7">
        <f>VLOOKUP(G193, Lookup_table!B:C,2,0)</f>
        <v>0.5</v>
      </c>
      <c r="Z193" t="str">
        <f t="shared" si="10"/>
        <v>Efficient Spend</v>
      </c>
      <c r="AA193" t="str">
        <f>VLOOKUP(H193, Lookup_table!E:F,2,0)</f>
        <v>High</v>
      </c>
    </row>
    <row r="194" spans="1:27" ht="17.5" customHeight="1" x14ac:dyDescent="0.35">
      <c r="A194" s="1" t="s">
        <v>346</v>
      </c>
      <c r="B194" s="2">
        <v>45539</v>
      </c>
      <c r="C194" s="1" t="s">
        <v>347</v>
      </c>
      <c r="D194" s="1">
        <v>53</v>
      </c>
      <c r="E194" s="1" t="s">
        <v>35</v>
      </c>
      <c r="F194" s="1" t="s">
        <v>57</v>
      </c>
      <c r="G194" s="1" t="s">
        <v>46</v>
      </c>
      <c r="H194" s="1" t="s">
        <v>32</v>
      </c>
      <c r="I194" s="1">
        <v>50.16</v>
      </c>
      <c r="J194" s="1">
        <v>3704</v>
      </c>
      <c r="K194" s="1">
        <v>160</v>
      </c>
      <c r="L194" s="1">
        <v>246</v>
      </c>
      <c r="M194" s="1">
        <v>5</v>
      </c>
      <c r="N194" s="1">
        <v>4.3196544279999998</v>
      </c>
      <c r="O194" s="1">
        <v>153.75</v>
      </c>
      <c r="P194" s="1">
        <f t="shared" si="0"/>
        <v>5</v>
      </c>
      <c r="V194" t="str">
        <f t="shared" ref="V194:V257" si="11">IF(AND(L194&gt;200,K194&gt;3000),"Top Performer", IF(AND(L194&gt;=100,K194&gt;=1000),"Average Performer","Low Performer"))</f>
        <v>Low Performer</v>
      </c>
      <c r="W194" t="e" cm="1">
        <f t="array" aca="1" ref="W194" ca="1">_xlfn.IFS(N194&gt;=20, "High",N194&gt;=10, "Medium", N194&lt;10, "Low")</f>
        <v>#NAME?</v>
      </c>
      <c r="X194" t="str">
        <f t="shared" ref="X194:X257" si="12">IF(I194&gt;1000, "High Budget",IF(I194&gt;=500, "Medium Budget", "Low Budget"))</f>
        <v>Low Budget</v>
      </c>
      <c r="Y194" s="7">
        <f>VLOOKUP(G194, Lookup_table!B:C,2,0)</f>
        <v>0.75</v>
      </c>
      <c r="Z194" t="str">
        <f t="shared" ref="Z194:Z257" si="13">IF(I194/K194&lt;Y194, "Efficient Spend", "Inefficient Spend")</f>
        <v>Efficient Spend</v>
      </c>
      <c r="AA194" t="str">
        <f>VLOOKUP(H194, Lookup_table!E:F,2,0)</f>
        <v>Medium</v>
      </c>
    </row>
    <row r="195" spans="1:27" ht="17.5" customHeight="1" x14ac:dyDescent="0.35">
      <c r="A195" s="1" t="s">
        <v>348</v>
      </c>
      <c r="B195" s="2">
        <v>45392</v>
      </c>
      <c r="C195" s="1" t="s">
        <v>220</v>
      </c>
      <c r="D195" s="1">
        <v>50</v>
      </c>
      <c r="E195" s="1" t="s">
        <v>29</v>
      </c>
      <c r="F195" s="1" t="s">
        <v>24</v>
      </c>
      <c r="G195" s="1" t="s">
        <v>61</v>
      </c>
      <c r="H195" s="1" t="s">
        <v>26</v>
      </c>
      <c r="I195" s="1">
        <v>67.47</v>
      </c>
      <c r="J195" s="1">
        <v>26963</v>
      </c>
      <c r="K195" s="1">
        <v>4916</v>
      </c>
      <c r="L195" s="1">
        <v>303</v>
      </c>
      <c r="M195" s="1">
        <v>5</v>
      </c>
      <c r="N195" s="1">
        <v>18.232392539999999</v>
      </c>
      <c r="O195" s="1">
        <v>6.1635476000000002</v>
      </c>
      <c r="P195" s="1">
        <f t="shared" si="0"/>
        <v>5</v>
      </c>
      <c r="V195" t="str">
        <f t="shared" si="11"/>
        <v>Top Performer</v>
      </c>
      <c r="W195" t="e" cm="1">
        <f t="array" aca="1" ref="W195" ca="1">_xlfn.IFS(N195&gt;=20, "High",N195&gt;=10, "Medium", N195&lt;10, "Low")</f>
        <v>#NAME?</v>
      </c>
      <c r="X195" t="str">
        <f t="shared" si="12"/>
        <v>Low Budget</v>
      </c>
      <c r="Y195" s="7">
        <f>VLOOKUP(G195, Lookup_table!B:C,2,0)</f>
        <v>0.2</v>
      </c>
      <c r="Z195" t="str">
        <f t="shared" si="13"/>
        <v>Efficient Spend</v>
      </c>
      <c r="AA195" t="str">
        <f>VLOOKUP(H195, Lookup_table!E:F,2,0)</f>
        <v>High</v>
      </c>
    </row>
    <row r="196" spans="1:27" ht="17.5" customHeight="1" x14ac:dyDescent="0.35">
      <c r="A196" s="1" t="s">
        <v>349</v>
      </c>
      <c r="B196" s="2">
        <v>45546</v>
      </c>
      <c r="C196" s="1" t="s">
        <v>128</v>
      </c>
      <c r="D196" s="1">
        <v>43</v>
      </c>
      <c r="E196" s="1" t="s">
        <v>23</v>
      </c>
      <c r="F196" s="1" t="s">
        <v>50</v>
      </c>
      <c r="G196" s="1" t="s">
        <v>61</v>
      </c>
      <c r="H196" s="1" t="s">
        <v>26</v>
      </c>
      <c r="I196" s="1">
        <v>575.80999999999995</v>
      </c>
      <c r="J196" s="1">
        <v>44295</v>
      </c>
      <c r="K196" s="1">
        <v>1494</v>
      </c>
      <c r="L196" s="1">
        <v>159</v>
      </c>
      <c r="M196" s="1">
        <v>4</v>
      </c>
      <c r="N196" s="1">
        <v>3.3728411779999998</v>
      </c>
      <c r="O196" s="1">
        <v>10.642570279999999</v>
      </c>
      <c r="P196" s="1">
        <f t="shared" si="0"/>
        <v>4</v>
      </c>
      <c r="V196" t="str">
        <f t="shared" si="11"/>
        <v>Average Performer</v>
      </c>
      <c r="W196" t="e" cm="1">
        <f t="array" aca="1" ref="W196" ca="1">_xlfn.IFS(N196&gt;=20, "High",N196&gt;=10, "Medium", N196&lt;10, "Low")</f>
        <v>#NAME?</v>
      </c>
      <c r="X196" t="str">
        <f t="shared" si="12"/>
        <v>Medium Budget</v>
      </c>
      <c r="Y196" s="7">
        <f>VLOOKUP(G196, Lookup_table!B:C,2,0)</f>
        <v>0.2</v>
      </c>
      <c r="Z196" t="str">
        <f t="shared" si="13"/>
        <v>Inefficient Spend</v>
      </c>
      <c r="AA196" t="str">
        <f>VLOOKUP(H196, Lookup_table!E:F,2,0)</f>
        <v>High</v>
      </c>
    </row>
    <row r="197" spans="1:27" ht="17.5" customHeight="1" x14ac:dyDescent="0.35">
      <c r="A197" s="1" t="s">
        <v>350</v>
      </c>
      <c r="B197" s="2">
        <v>45602</v>
      </c>
      <c r="C197" s="1" t="s">
        <v>351</v>
      </c>
      <c r="D197" s="1">
        <v>59</v>
      </c>
      <c r="E197" s="1" t="s">
        <v>35</v>
      </c>
      <c r="F197" s="1" t="s">
        <v>41</v>
      </c>
      <c r="G197" s="1" t="s">
        <v>31</v>
      </c>
      <c r="H197" s="1" t="s">
        <v>32</v>
      </c>
      <c r="I197" s="1">
        <v>1655.32</v>
      </c>
      <c r="J197" s="1">
        <v>8094</v>
      </c>
      <c r="K197" s="1">
        <v>199</v>
      </c>
      <c r="L197" s="1">
        <v>396</v>
      </c>
      <c r="N197" s="1">
        <v>2.4586113169999999</v>
      </c>
      <c r="O197" s="1">
        <v>198.99497489999999</v>
      </c>
      <c r="P197" s="1">
        <f t="shared" si="0"/>
        <v>3</v>
      </c>
      <c r="V197" t="str">
        <f t="shared" si="11"/>
        <v>Low Performer</v>
      </c>
      <c r="W197" t="e" cm="1">
        <f t="array" aca="1" ref="W197" ca="1">_xlfn.IFS(N197&gt;=20, "High",N197&gt;=10, "Medium", N197&lt;10, "Low")</f>
        <v>#NAME?</v>
      </c>
      <c r="X197" t="str">
        <f t="shared" si="12"/>
        <v>High Budget</v>
      </c>
      <c r="Y197" s="7">
        <f>VLOOKUP(G197, Lookup_table!B:C,2,0)</f>
        <v>1.2</v>
      </c>
      <c r="Z197" t="str">
        <f t="shared" si="13"/>
        <v>Inefficient Spend</v>
      </c>
      <c r="AA197" t="str">
        <f>VLOOKUP(H197, Lookup_table!E:F,2,0)</f>
        <v>Medium</v>
      </c>
    </row>
    <row r="198" spans="1:27" ht="17.5" customHeight="1" x14ac:dyDescent="0.35">
      <c r="A198" s="1" t="s">
        <v>352</v>
      </c>
      <c r="B198" s="2">
        <v>45590</v>
      </c>
      <c r="C198" s="1" t="s">
        <v>295</v>
      </c>
      <c r="D198" s="1">
        <v>38</v>
      </c>
      <c r="E198" s="1" t="s">
        <v>23</v>
      </c>
      <c r="F198" s="1" t="s">
        <v>57</v>
      </c>
      <c r="G198" s="1" t="s">
        <v>31</v>
      </c>
      <c r="H198" s="1" t="s">
        <v>26</v>
      </c>
      <c r="I198" s="1">
        <v>1129.2</v>
      </c>
      <c r="J198" s="1">
        <v>45497</v>
      </c>
      <c r="K198" s="1">
        <v>4281</v>
      </c>
      <c r="L198" s="1">
        <v>186</v>
      </c>
      <c r="M198" s="1">
        <v>1</v>
      </c>
      <c r="N198" s="1">
        <v>9.4094116099999994</v>
      </c>
      <c r="O198" s="1">
        <v>4.3447792569999999</v>
      </c>
      <c r="P198" s="1">
        <f t="shared" si="0"/>
        <v>1</v>
      </c>
      <c r="V198" t="str">
        <f t="shared" si="11"/>
        <v>Average Performer</v>
      </c>
      <c r="W198" t="e" cm="1">
        <f t="array" aca="1" ref="W198" ca="1">_xlfn.IFS(N198&gt;=20, "High",N198&gt;=10, "Medium", N198&lt;10, "Low")</f>
        <v>#NAME?</v>
      </c>
      <c r="X198" t="str">
        <f t="shared" si="12"/>
        <v>High Budget</v>
      </c>
      <c r="Y198" s="7">
        <f>VLOOKUP(G198, Lookup_table!B:C,2,0)</f>
        <v>1.2</v>
      </c>
      <c r="Z198" t="str">
        <f t="shared" si="13"/>
        <v>Efficient Spend</v>
      </c>
      <c r="AA198" t="str">
        <f>VLOOKUP(H198, Lookup_table!E:F,2,0)</f>
        <v>High</v>
      </c>
    </row>
    <row r="199" spans="1:27" ht="17.5" customHeight="1" x14ac:dyDescent="0.35">
      <c r="A199" s="1" t="s">
        <v>353</v>
      </c>
      <c r="B199" s="2">
        <v>45640</v>
      </c>
      <c r="C199" s="1" t="s">
        <v>354</v>
      </c>
      <c r="D199" s="1">
        <v>23</v>
      </c>
      <c r="E199" s="1" t="s">
        <v>29</v>
      </c>
      <c r="F199" s="1" t="s">
        <v>41</v>
      </c>
      <c r="G199" s="1" t="s">
        <v>42</v>
      </c>
      <c r="H199" s="1" t="s">
        <v>62</v>
      </c>
      <c r="I199" s="1">
        <v>209.89</v>
      </c>
      <c r="J199" s="1">
        <v>10841</v>
      </c>
      <c r="K199" s="1">
        <v>4314</v>
      </c>
      <c r="L199" s="1">
        <v>232</v>
      </c>
      <c r="N199" s="1">
        <v>39.793376989999999</v>
      </c>
      <c r="O199" s="1">
        <v>5.3778395919999999</v>
      </c>
      <c r="P199" s="1">
        <f t="shared" si="0"/>
        <v>3</v>
      </c>
      <c r="V199" t="str">
        <f t="shared" si="11"/>
        <v>Top Performer</v>
      </c>
      <c r="W199" t="e" cm="1">
        <f t="array" aca="1" ref="W199" ca="1">_xlfn.IFS(N199&gt;=20, "High",N199&gt;=10, "Medium", N199&lt;10, "Low")</f>
        <v>#NAME?</v>
      </c>
      <c r="X199" t="str">
        <f t="shared" si="12"/>
        <v>Low Budget</v>
      </c>
      <c r="Y199" s="7">
        <f>VLOOKUP(G199, Lookup_table!B:C,2,0)</f>
        <v>0.3</v>
      </c>
      <c r="Z199" t="str">
        <f t="shared" si="13"/>
        <v>Efficient Spend</v>
      </c>
      <c r="AA199" t="str">
        <f>VLOOKUP(H199, Lookup_table!E:F,2,0)</f>
        <v>Medium</v>
      </c>
    </row>
    <row r="200" spans="1:27" ht="17.5" customHeight="1" x14ac:dyDescent="0.35">
      <c r="A200" s="1" t="s">
        <v>355</v>
      </c>
      <c r="B200" s="2">
        <v>45299</v>
      </c>
      <c r="C200" s="1" t="s">
        <v>227</v>
      </c>
      <c r="D200" s="1">
        <v>53</v>
      </c>
      <c r="E200" s="1" t="s">
        <v>23</v>
      </c>
      <c r="F200" s="1" t="s">
        <v>30</v>
      </c>
      <c r="G200" s="1" t="s">
        <v>42</v>
      </c>
      <c r="H200" s="1" t="s">
        <v>32</v>
      </c>
      <c r="I200" s="1">
        <v>1009.29</v>
      </c>
      <c r="J200" s="1">
        <v>17431</v>
      </c>
      <c r="K200" s="1">
        <v>1641</v>
      </c>
      <c r="L200" s="1">
        <v>28</v>
      </c>
      <c r="N200" s="1">
        <v>9.414261947</v>
      </c>
      <c r="O200" s="1">
        <v>1.706276661</v>
      </c>
      <c r="P200" s="1">
        <f t="shared" si="0"/>
        <v>3</v>
      </c>
      <c r="V200" t="str">
        <f t="shared" si="11"/>
        <v>Low Performer</v>
      </c>
      <c r="W200" t="e" cm="1">
        <f t="array" aca="1" ref="W200" ca="1">_xlfn.IFS(N200&gt;=20, "High",N200&gt;=10, "Medium", N200&lt;10, "Low")</f>
        <v>#NAME?</v>
      </c>
      <c r="X200" t="str">
        <f t="shared" si="12"/>
        <v>High Budget</v>
      </c>
      <c r="Y200" s="7">
        <f>VLOOKUP(G200, Lookup_table!B:C,2,0)</f>
        <v>0.3</v>
      </c>
      <c r="Z200" t="str">
        <f t="shared" si="13"/>
        <v>Inefficient Spend</v>
      </c>
      <c r="AA200" t="str">
        <f>VLOOKUP(H200, Lookup_table!E:F,2,0)</f>
        <v>Medium</v>
      </c>
    </row>
    <row r="201" spans="1:27" ht="17.5" customHeight="1" x14ac:dyDescent="0.35">
      <c r="A201" s="1" t="s">
        <v>356</v>
      </c>
      <c r="B201" s="2">
        <v>45533</v>
      </c>
      <c r="C201" s="1" t="s">
        <v>83</v>
      </c>
      <c r="D201" s="1">
        <v>33</v>
      </c>
      <c r="E201" s="1" t="s">
        <v>23</v>
      </c>
      <c r="F201" s="1" t="s">
        <v>45</v>
      </c>
      <c r="G201" s="1" t="s">
        <v>42</v>
      </c>
      <c r="H201" s="1" t="s">
        <v>26</v>
      </c>
      <c r="I201" s="1">
        <v>464.01</v>
      </c>
      <c r="J201" s="1">
        <v>39208</v>
      </c>
      <c r="K201" s="1">
        <v>2198</v>
      </c>
      <c r="L201" s="1">
        <v>25</v>
      </c>
      <c r="M201" s="1">
        <v>5</v>
      </c>
      <c r="N201" s="1">
        <v>5.6059987759999999</v>
      </c>
      <c r="O201" s="1">
        <v>1.137397634</v>
      </c>
      <c r="P201" s="1">
        <f t="shared" si="0"/>
        <v>5</v>
      </c>
      <c r="V201" t="str">
        <f t="shared" si="11"/>
        <v>Low Performer</v>
      </c>
      <c r="W201" t="e" cm="1">
        <f t="array" aca="1" ref="W201" ca="1">_xlfn.IFS(N201&gt;=20, "High",N201&gt;=10, "Medium", N201&lt;10, "Low")</f>
        <v>#NAME?</v>
      </c>
      <c r="X201" t="str">
        <f t="shared" si="12"/>
        <v>Low Budget</v>
      </c>
      <c r="Y201" s="7">
        <f>VLOOKUP(G201, Lookup_table!B:C,2,0)</f>
        <v>0.3</v>
      </c>
      <c r="Z201" t="str">
        <f t="shared" si="13"/>
        <v>Efficient Spend</v>
      </c>
      <c r="AA201" t="str">
        <f>VLOOKUP(H201, Lookup_table!E:F,2,0)</f>
        <v>High</v>
      </c>
    </row>
    <row r="202" spans="1:27" ht="17.5" customHeight="1" x14ac:dyDescent="0.35">
      <c r="A202" s="1" t="s">
        <v>357</v>
      </c>
      <c r="B202" s="2">
        <v>45435</v>
      </c>
      <c r="C202" s="1" t="s">
        <v>243</v>
      </c>
      <c r="D202" s="1">
        <v>58</v>
      </c>
      <c r="E202" s="1" t="s">
        <v>29</v>
      </c>
      <c r="F202" s="1" t="s">
        <v>24</v>
      </c>
      <c r="G202" s="1" t="s">
        <v>42</v>
      </c>
      <c r="H202" s="1" t="s">
        <v>62</v>
      </c>
      <c r="I202" s="1">
        <v>155.44999999999999</v>
      </c>
      <c r="J202" s="1">
        <v>22674</v>
      </c>
      <c r="K202" s="1">
        <v>928</v>
      </c>
      <c r="L202" s="1">
        <v>24</v>
      </c>
      <c r="M202" s="1">
        <v>2</v>
      </c>
      <c r="N202" s="1">
        <v>4.0927935079999997</v>
      </c>
      <c r="O202" s="1">
        <v>2.5862068969999998</v>
      </c>
      <c r="P202" s="1">
        <f t="shared" si="0"/>
        <v>2</v>
      </c>
      <c r="V202" t="str">
        <f t="shared" si="11"/>
        <v>Low Performer</v>
      </c>
      <c r="W202" t="e" cm="1">
        <f t="array" aca="1" ref="W202" ca="1">_xlfn.IFS(N202&gt;=20, "High",N202&gt;=10, "Medium", N202&lt;10, "Low")</f>
        <v>#NAME?</v>
      </c>
      <c r="X202" t="str">
        <f t="shared" si="12"/>
        <v>Low Budget</v>
      </c>
      <c r="Y202" s="7">
        <f>VLOOKUP(G202, Lookup_table!B:C,2,0)</f>
        <v>0.3</v>
      </c>
      <c r="Z202" t="str">
        <f t="shared" si="13"/>
        <v>Efficient Spend</v>
      </c>
      <c r="AA202" t="str">
        <f>VLOOKUP(H202, Lookup_table!E:F,2,0)</f>
        <v>Medium</v>
      </c>
    </row>
    <row r="203" spans="1:27" ht="17.5" customHeight="1" x14ac:dyDescent="0.35">
      <c r="A203" s="1" t="s">
        <v>358</v>
      </c>
      <c r="B203" s="2">
        <v>45420</v>
      </c>
      <c r="C203" s="1" t="s">
        <v>359</v>
      </c>
      <c r="D203" s="1">
        <v>22</v>
      </c>
      <c r="E203" s="1" t="s">
        <v>35</v>
      </c>
      <c r="F203" s="1" t="s">
        <v>45</v>
      </c>
      <c r="G203" s="1" t="s">
        <v>31</v>
      </c>
      <c r="H203" s="1" t="s">
        <v>32</v>
      </c>
      <c r="I203" s="1">
        <v>748.87</v>
      </c>
      <c r="J203" s="1">
        <v>4168</v>
      </c>
      <c r="K203" s="1">
        <v>3750</v>
      </c>
      <c r="L203" s="1">
        <v>180</v>
      </c>
      <c r="M203" s="1">
        <v>3</v>
      </c>
      <c r="N203" s="1">
        <v>89.971209209999998</v>
      </c>
      <c r="O203" s="1">
        <v>4.8</v>
      </c>
      <c r="P203" s="1">
        <f t="shared" si="0"/>
        <v>3</v>
      </c>
      <c r="V203" t="str">
        <f t="shared" si="11"/>
        <v>Average Performer</v>
      </c>
      <c r="W203" t="e" cm="1">
        <f t="array" aca="1" ref="W203" ca="1">_xlfn.IFS(N203&gt;=20, "High",N203&gt;=10, "Medium", N203&lt;10, "Low")</f>
        <v>#NAME?</v>
      </c>
      <c r="X203" t="str">
        <f t="shared" si="12"/>
        <v>Medium Budget</v>
      </c>
      <c r="Y203" s="7">
        <f>VLOOKUP(G203, Lookup_table!B:C,2,0)</f>
        <v>1.2</v>
      </c>
      <c r="Z203" t="str">
        <f t="shared" si="13"/>
        <v>Efficient Spend</v>
      </c>
      <c r="AA203" t="str">
        <f>VLOOKUP(H203, Lookup_table!E:F,2,0)</f>
        <v>Medium</v>
      </c>
    </row>
    <row r="204" spans="1:27" ht="17.5" customHeight="1" x14ac:dyDescent="0.35">
      <c r="A204" s="1" t="s">
        <v>360</v>
      </c>
      <c r="B204" s="2">
        <v>45502</v>
      </c>
      <c r="C204" s="1" t="s">
        <v>361</v>
      </c>
      <c r="D204" s="1">
        <v>45</v>
      </c>
      <c r="E204" s="1" t="s">
        <v>29</v>
      </c>
      <c r="F204" s="1" t="s">
        <v>30</v>
      </c>
      <c r="G204" s="1" t="s">
        <v>42</v>
      </c>
      <c r="H204" s="1" t="s">
        <v>36</v>
      </c>
      <c r="I204" s="1">
        <v>408.12</v>
      </c>
      <c r="J204" s="1">
        <v>4512</v>
      </c>
      <c r="K204" s="1">
        <v>2509</v>
      </c>
      <c r="L204" s="1">
        <v>363</v>
      </c>
      <c r="N204" s="1">
        <v>55.607269500000001</v>
      </c>
      <c r="O204" s="1">
        <v>14.4679155</v>
      </c>
      <c r="P204" s="1">
        <f t="shared" si="0"/>
        <v>3</v>
      </c>
      <c r="V204" t="str">
        <f t="shared" si="11"/>
        <v>Average Performer</v>
      </c>
      <c r="W204" t="e" cm="1">
        <f t="array" aca="1" ref="W204" ca="1">_xlfn.IFS(N204&gt;=20, "High",N204&gt;=10, "Medium", N204&lt;10, "Low")</f>
        <v>#NAME?</v>
      </c>
      <c r="X204" t="str">
        <f t="shared" si="12"/>
        <v>Low Budget</v>
      </c>
      <c r="Y204" s="7">
        <f>VLOOKUP(G204, Lookup_table!B:C,2,0)</f>
        <v>0.3</v>
      </c>
      <c r="Z204" t="str">
        <f t="shared" si="13"/>
        <v>Efficient Spend</v>
      </c>
      <c r="AA204" t="str">
        <f>VLOOKUP(H204, Lookup_table!E:F,2,0)</f>
        <v>High</v>
      </c>
    </row>
    <row r="205" spans="1:27" ht="17.5" customHeight="1" x14ac:dyDescent="0.35">
      <c r="A205" s="1" t="s">
        <v>362</v>
      </c>
      <c r="B205" s="2">
        <v>45523</v>
      </c>
      <c r="C205" s="1" t="s">
        <v>297</v>
      </c>
      <c r="D205" s="1">
        <v>26</v>
      </c>
      <c r="E205" s="1" t="s">
        <v>29</v>
      </c>
      <c r="F205" s="1" t="s">
        <v>57</v>
      </c>
      <c r="G205" s="1" t="s">
        <v>31</v>
      </c>
      <c r="H205" s="1" t="s">
        <v>62</v>
      </c>
      <c r="I205" s="1">
        <v>402.39</v>
      </c>
      <c r="J205" s="1">
        <v>26391</v>
      </c>
      <c r="K205" s="1">
        <v>2056</v>
      </c>
      <c r="L205" s="1">
        <v>238</v>
      </c>
      <c r="M205" s="1">
        <v>2</v>
      </c>
      <c r="N205" s="1">
        <v>7.7905346519999998</v>
      </c>
      <c r="O205" s="1">
        <v>11.57587549</v>
      </c>
      <c r="P205" s="1">
        <f t="shared" si="0"/>
        <v>2</v>
      </c>
      <c r="V205" t="str">
        <f t="shared" si="11"/>
        <v>Average Performer</v>
      </c>
      <c r="W205" t="e" cm="1">
        <f t="array" aca="1" ref="W205" ca="1">_xlfn.IFS(N205&gt;=20, "High",N205&gt;=10, "Medium", N205&lt;10, "Low")</f>
        <v>#NAME?</v>
      </c>
      <c r="X205" t="str">
        <f t="shared" si="12"/>
        <v>Low Budget</v>
      </c>
      <c r="Y205" s="7">
        <f>VLOOKUP(G205, Lookup_table!B:C,2,0)</f>
        <v>1.2</v>
      </c>
      <c r="Z205" t="str">
        <f t="shared" si="13"/>
        <v>Efficient Spend</v>
      </c>
      <c r="AA205" t="str">
        <f>VLOOKUP(H205, Lookup_table!E:F,2,0)</f>
        <v>Medium</v>
      </c>
    </row>
    <row r="206" spans="1:27" ht="17.5" customHeight="1" x14ac:dyDescent="0.35">
      <c r="A206" s="1" t="s">
        <v>363</v>
      </c>
      <c r="B206" s="2">
        <v>45468</v>
      </c>
      <c r="C206" s="1" t="s">
        <v>359</v>
      </c>
      <c r="D206" s="1">
        <v>19</v>
      </c>
      <c r="E206" s="1" t="s">
        <v>29</v>
      </c>
      <c r="F206" s="1" t="s">
        <v>30</v>
      </c>
      <c r="G206" s="1" t="s">
        <v>42</v>
      </c>
      <c r="H206" s="1" t="s">
        <v>36</v>
      </c>
      <c r="I206" s="1">
        <v>1074.33</v>
      </c>
      <c r="J206" s="1">
        <v>26900</v>
      </c>
      <c r="K206" s="1">
        <v>2876</v>
      </c>
      <c r="L206" s="1">
        <v>166</v>
      </c>
      <c r="M206" s="1">
        <v>4</v>
      </c>
      <c r="N206" s="1">
        <v>10.69144981</v>
      </c>
      <c r="O206" s="1">
        <v>5.7719054239999998</v>
      </c>
      <c r="P206" s="1">
        <f t="shared" si="0"/>
        <v>4</v>
      </c>
      <c r="V206" t="str">
        <f t="shared" si="11"/>
        <v>Average Performer</v>
      </c>
      <c r="W206" t="e" cm="1">
        <f t="array" aca="1" ref="W206" ca="1">_xlfn.IFS(N206&gt;=20, "High",N206&gt;=10, "Medium", N206&lt;10, "Low")</f>
        <v>#NAME?</v>
      </c>
      <c r="X206" t="str">
        <f t="shared" si="12"/>
        <v>High Budget</v>
      </c>
      <c r="Y206" s="7">
        <f>VLOOKUP(G206, Lookup_table!B:C,2,0)</f>
        <v>0.3</v>
      </c>
      <c r="Z206" t="str">
        <f t="shared" si="13"/>
        <v>Inefficient Spend</v>
      </c>
      <c r="AA206" t="str">
        <f>VLOOKUP(H206, Lookup_table!E:F,2,0)</f>
        <v>High</v>
      </c>
    </row>
    <row r="207" spans="1:27" ht="17.5" customHeight="1" x14ac:dyDescent="0.35">
      <c r="A207" s="1" t="s">
        <v>364</v>
      </c>
      <c r="B207" s="2">
        <v>45336</v>
      </c>
      <c r="C207" s="1" t="s">
        <v>81</v>
      </c>
      <c r="D207" s="1">
        <v>38</v>
      </c>
      <c r="E207" s="1" t="s">
        <v>29</v>
      </c>
      <c r="F207" s="1" t="s">
        <v>41</v>
      </c>
      <c r="G207" s="1" t="s">
        <v>46</v>
      </c>
      <c r="H207" s="1" t="s">
        <v>36</v>
      </c>
      <c r="I207" s="1">
        <v>1503.97</v>
      </c>
      <c r="J207" s="1">
        <v>33466</v>
      </c>
      <c r="K207" s="1">
        <v>3898</v>
      </c>
      <c r="L207" s="1">
        <v>169</v>
      </c>
      <c r="N207" s="1">
        <v>11.647642380000001</v>
      </c>
      <c r="O207" s="1">
        <v>4.3355566960000003</v>
      </c>
      <c r="P207" s="1">
        <f t="shared" si="0"/>
        <v>3</v>
      </c>
      <c r="V207" t="str">
        <f t="shared" si="11"/>
        <v>Average Performer</v>
      </c>
      <c r="W207" t="e" cm="1">
        <f t="array" aca="1" ref="W207" ca="1">_xlfn.IFS(N207&gt;=20, "High",N207&gt;=10, "Medium", N207&lt;10, "Low")</f>
        <v>#NAME?</v>
      </c>
      <c r="X207" t="str">
        <f t="shared" si="12"/>
        <v>High Budget</v>
      </c>
      <c r="Y207" s="7">
        <f>VLOOKUP(G207, Lookup_table!B:C,2,0)</f>
        <v>0.75</v>
      </c>
      <c r="Z207" t="str">
        <f t="shared" si="13"/>
        <v>Efficient Spend</v>
      </c>
      <c r="AA207" t="str">
        <f>VLOOKUP(H207, Lookup_table!E:F,2,0)</f>
        <v>High</v>
      </c>
    </row>
    <row r="208" spans="1:27" ht="17.5" customHeight="1" x14ac:dyDescent="0.35">
      <c r="A208" s="1" t="s">
        <v>365</v>
      </c>
      <c r="B208" s="2">
        <v>45301</v>
      </c>
      <c r="C208" s="1" t="s">
        <v>366</v>
      </c>
      <c r="D208" s="1">
        <v>20</v>
      </c>
      <c r="E208" s="1" t="s">
        <v>29</v>
      </c>
      <c r="F208" s="1" t="s">
        <v>41</v>
      </c>
      <c r="G208" s="1" t="s">
        <v>42</v>
      </c>
      <c r="H208" s="1" t="s">
        <v>26</v>
      </c>
      <c r="I208" s="1">
        <v>1987.15</v>
      </c>
      <c r="J208" s="1">
        <v>23853</v>
      </c>
      <c r="K208" s="1">
        <v>3607</v>
      </c>
      <c r="L208" s="1">
        <v>263</v>
      </c>
      <c r="N208" s="1">
        <v>15.121787619999999</v>
      </c>
      <c r="O208" s="1">
        <v>7.2913778760000003</v>
      </c>
      <c r="P208" s="1">
        <f t="shared" si="0"/>
        <v>3</v>
      </c>
      <c r="V208" t="str">
        <f t="shared" si="11"/>
        <v>Top Performer</v>
      </c>
      <c r="W208" t="e" cm="1">
        <f t="array" aca="1" ref="W208" ca="1">_xlfn.IFS(N208&gt;=20, "High",N208&gt;=10, "Medium", N208&lt;10, "Low")</f>
        <v>#NAME?</v>
      </c>
      <c r="X208" t="str">
        <f t="shared" si="12"/>
        <v>High Budget</v>
      </c>
      <c r="Y208" s="7">
        <f>VLOOKUP(G208, Lookup_table!B:C,2,0)</f>
        <v>0.3</v>
      </c>
      <c r="Z208" t="str">
        <f t="shared" si="13"/>
        <v>Inefficient Spend</v>
      </c>
      <c r="AA208" t="str">
        <f>VLOOKUP(H208, Lookup_table!E:F,2,0)</f>
        <v>High</v>
      </c>
    </row>
    <row r="209" spans="1:27" ht="17.5" customHeight="1" x14ac:dyDescent="0.35">
      <c r="A209" s="1" t="s">
        <v>367</v>
      </c>
      <c r="B209" s="2">
        <v>45594</v>
      </c>
      <c r="C209" s="1" t="s">
        <v>123</v>
      </c>
      <c r="D209" s="1">
        <v>64</v>
      </c>
      <c r="E209" s="1" t="s">
        <v>29</v>
      </c>
      <c r="F209" s="1" t="s">
        <v>30</v>
      </c>
      <c r="G209" s="1" t="s">
        <v>42</v>
      </c>
      <c r="H209" s="1" t="s">
        <v>36</v>
      </c>
      <c r="I209" s="1">
        <v>1418.37</v>
      </c>
      <c r="J209" s="1">
        <v>4546</v>
      </c>
      <c r="K209" s="1">
        <v>4425</v>
      </c>
      <c r="L209" s="1">
        <v>72</v>
      </c>
      <c r="M209" s="1">
        <v>1</v>
      </c>
      <c r="N209" s="1">
        <v>97.338319400000003</v>
      </c>
      <c r="O209" s="1">
        <v>1.6271186440000001</v>
      </c>
      <c r="P209" s="1">
        <f t="shared" si="0"/>
        <v>1</v>
      </c>
      <c r="V209" t="str">
        <f t="shared" si="11"/>
        <v>Low Performer</v>
      </c>
      <c r="W209" t="e" cm="1">
        <f t="array" aca="1" ref="W209" ca="1">_xlfn.IFS(N209&gt;=20, "High",N209&gt;=10, "Medium", N209&lt;10, "Low")</f>
        <v>#NAME?</v>
      </c>
      <c r="X209" t="str">
        <f t="shared" si="12"/>
        <v>High Budget</v>
      </c>
      <c r="Y209" s="7">
        <f>VLOOKUP(G209, Lookup_table!B:C,2,0)</f>
        <v>0.3</v>
      </c>
      <c r="Z209" t="str">
        <f t="shared" si="13"/>
        <v>Inefficient Spend</v>
      </c>
      <c r="AA209" t="str">
        <f>VLOOKUP(H209, Lookup_table!E:F,2,0)</f>
        <v>High</v>
      </c>
    </row>
    <row r="210" spans="1:27" ht="17.5" customHeight="1" x14ac:dyDescent="0.35">
      <c r="A210" s="1" t="s">
        <v>368</v>
      </c>
      <c r="B210" s="2">
        <v>45468</v>
      </c>
      <c r="C210" s="1" t="s">
        <v>369</v>
      </c>
      <c r="D210" s="1">
        <v>61</v>
      </c>
      <c r="E210" s="1" t="s">
        <v>35</v>
      </c>
      <c r="F210" s="1" t="s">
        <v>57</v>
      </c>
      <c r="G210" s="1" t="s">
        <v>31</v>
      </c>
      <c r="H210" s="1" t="s">
        <v>26</v>
      </c>
      <c r="I210" s="1">
        <v>330.82</v>
      </c>
      <c r="J210" s="1">
        <v>42577</v>
      </c>
      <c r="K210" s="1">
        <v>30</v>
      </c>
      <c r="L210" s="1">
        <v>260</v>
      </c>
      <c r="M210" s="1">
        <v>3</v>
      </c>
      <c r="N210" s="1">
        <v>7.0460576999999996E-2</v>
      </c>
      <c r="O210" s="1">
        <v>866.66666669999995</v>
      </c>
      <c r="P210" s="1">
        <f t="shared" si="0"/>
        <v>3</v>
      </c>
      <c r="V210" t="str">
        <f t="shared" si="11"/>
        <v>Low Performer</v>
      </c>
      <c r="W210" t="e" cm="1">
        <f t="array" aca="1" ref="W210" ca="1">_xlfn.IFS(N210&gt;=20, "High",N210&gt;=10, "Medium", N210&lt;10, "Low")</f>
        <v>#NAME?</v>
      </c>
      <c r="X210" t="str">
        <f t="shared" si="12"/>
        <v>Low Budget</v>
      </c>
      <c r="Y210" s="7">
        <f>VLOOKUP(G210, Lookup_table!B:C,2,0)</f>
        <v>1.2</v>
      </c>
      <c r="Z210" t="str">
        <f t="shared" si="13"/>
        <v>Inefficient Spend</v>
      </c>
      <c r="AA210" t="str">
        <f>VLOOKUP(H210, Lookup_table!E:F,2,0)</f>
        <v>High</v>
      </c>
    </row>
    <row r="211" spans="1:27" ht="17.5" customHeight="1" x14ac:dyDescent="0.35">
      <c r="A211" s="1" t="s">
        <v>370</v>
      </c>
      <c r="B211" s="2">
        <v>45419</v>
      </c>
      <c r="C211" s="1" t="s">
        <v>256</v>
      </c>
      <c r="D211" s="1">
        <v>31</v>
      </c>
      <c r="E211" s="1" t="s">
        <v>29</v>
      </c>
      <c r="F211" s="1" t="s">
        <v>30</v>
      </c>
      <c r="G211" s="1" t="s">
        <v>31</v>
      </c>
      <c r="H211" s="1" t="s">
        <v>32</v>
      </c>
      <c r="I211" s="1">
        <v>1247.71</v>
      </c>
      <c r="J211" s="1">
        <v>37476</v>
      </c>
      <c r="K211" s="1">
        <v>4398</v>
      </c>
      <c r="L211" s="1">
        <v>171</v>
      </c>
      <c r="M211" s="1">
        <v>1</v>
      </c>
      <c r="N211" s="1">
        <v>11.73551073</v>
      </c>
      <c r="O211" s="1">
        <v>3.8881309690000001</v>
      </c>
      <c r="P211" s="1">
        <f t="shared" si="0"/>
        <v>1</v>
      </c>
      <c r="V211" t="str">
        <f t="shared" si="11"/>
        <v>Average Performer</v>
      </c>
      <c r="W211" t="e" cm="1">
        <f t="array" aca="1" ref="W211" ca="1">_xlfn.IFS(N211&gt;=20, "High",N211&gt;=10, "Medium", N211&lt;10, "Low")</f>
        <v>#NAME?</v>
      </c>
      <c r="X211" t="str">
        <f t="shared" si="12"/>
        <v>High Budget</v>
      </c>
      <c r="Y211" s="7">
        <f>VLOOKUP(G211, Lookup_table!B:C,2,0)</f>
        <v>1.2</v>
      </c>
      <c r="Z211" t="str">
        <f t="shared" si="13"/>
        <v>Efficient Spend</v>
      </c>
      <c r="AA211" t="str">
        <f>VLOOKUP(H211, Lookup_table!E:F,2,0)</f>
        <v>Medium</v>
      </c>
    </row>
    <row r="212" spans="1:27" ht="17.5" customHeight="1" x14ac:dyDescent="0.35">
      <c r="A212" s="1" t="s">
        <v>371</v>
      </c>
      <c r="B212" s="2">
        <v>45297</v>
      </c>
      <c r="C212" s="1" t="s">
        <v>251</v>
      </c>
      <c r="D212" s="1">
        <v>26</v>
      </c>
      <c r="E212" s="1" t="s">
        <v>35</v>
      </c>
      <c r="F212" s="1" t="s">
        <v>57</v>
      </c>
      <c r="G212" s="1" t="s">
        <v>31</v>
      </c>
      <c r="H212" s="1" t="s">
        <v>62</v>
      </c>
      <c r="I212" s="1">
        <v>422.85</v>
      </c>
      <c r="J212" s="1">
        <v>24238</v>
      </c>
      <c r="K212" s="1">
        <v>1730</v>
      </c>
      <c r="L212" s="1">
        <v>105</v>
      </c>
      <c r="M212" s="1">
        <v>3</v>
      </c>
      <c r="N212" s="1">
        <v>7.1375526029999996</v>
      </c>
      <c r="O212" s="1">
        <v>6.0693641620000003</v>
      </c>
      <c r="P212" s="1">
        <f t="shared" si="0"/>
        <v>3</v>
      </c>
      <c r="V212" t="str">
        <f t="shared" si="11"/>
        <v>Average Performer</v>
      </c>
      <c r="W212" t="e" cm="1">
        <f t="array" aca="1" ref="W212" ca="1">_xlfn.IFS(N212&gt;=20, "High",N212&gt;=10, "Medium", N212&lt;10, "Low")</f>
        <v>#NAME?</v>
      </c>
      <c r="X212" t="str">
        <f t="shared" si="12"/>
        <v>Low Budget</v>
      </c>
      <c r="Y212" s="7">
        <f>VLOOKUP(G212, Lookup_table!B:C,2,0)</f>
        <v>1.2</v>
      </c>
      <c r="Z212" t="str">
        <f t="shared" si="13"/>
        <v>Efficient Spend</v>
      </c>
      <c r="AA212" t="str">
        <f>VLOOKUP(H212, Lookup_table!E:F,2,0)</f>
        <v>Medium</v>
      </c>
    </row>
    <row r="213" spans="1:27" ht="17.5" customHeight="1" x14ac:dyDescent="0.35">
      <c r="A213" s="1" t="s">
        <v>372</v>
      </c>
      <c r="B213" s="2">
        <v>45436</v>
      </c>
      <c r="C213" s="1" t="s">
        <v>193</v>
      </c>
      <c r="D213" s="9">
        <v>41</v>
      </c>
      <c r="E213" s="1" t="s">
        <v>23</v>
      </c>
      <c r="G213" s="1" t="s">
        <v>25</v>
      </c>
      <c r="H213" s="1" t="s">
        <v>36</v>
      </c>
      <c r="I213" s="1">
        <v>701.34</v>
      </c>
      <c r="J213" s="1">
        <v>4023</v>
      </c>
      <c r="K213" s="1">
        <v>200</v>
      </c>
      <c r="L213" s="1">
        <v>110</v>
      </c>
      <c r="N213" s="1">
        <v>4.9714143670000004</v>
      </c>
      <c r="O213" s="1">
        <v>55</v>
      </c>
      <c r="P213" s="1">
        <f t="shared" si="0"/>
        <v>3</v>
      </c>
      <c r="V213" t="str">
        <f t="shared" si="11"/>
        <v>Low Performer</v>
      </c>
      <c r="W213" t="e" cm="1">
        <f t="array" aca="1" ref="W213" ca="1">_xlfn.IFS(N213&gt;=20, "High",N213&gt;=10, "Medium", N213&lt;10, "Low")</f>
        <v>#NAME?</v>
      </c>
      <c r="X213" t="str">
        <f t="shared" si="12"/>
        <v>Medium Budget</v>
      </c>
      <c r="Y213" s="7">
        <f>VLOOKUP(G213, Lookup_table!B:C,2,0)</f>
        <v>0.5</v>
      </c>
      <c r="Z213" t="str">
        <f t="shared" si="13"/>
        <v>Inefficient Spend</v>
      </c>
      <c r="AA213" t="str">
        <f>VLOOKUP(H213, Lookup_table!E:F,2,0)</f>
        <v>High</v>
      </c>
    </row>
    <row r="214" spans="1:27" ht="17.5" customHeight="1" x14ac:dyDescent="0.35">
      <c r="A214" s="1" t="s">
        <v>373</v>
      </c>
      <c r="B214" s="2">
        <v>45303</v>
      </c>
      <c r="C214" s="1" t="s">
        <v>319</v>
      </c>
      <c r="D214" s="1">
        <v>29</v>
      </c>
      <c r="E214" s="1" t="s">
        <v>23</v>
      </c>
      <c r="F214" s="1" t="s">
        <v>57</v>
      </c>
      <c r="G214" s="1" t="s">
        <v>61</v>
      </c>
      <c r="H214" s="1" t="s">
        <v>32</v>
      </c>
      <c r="I214" s="1">
        <v>1298.1600000000001</v>
      </c>
      <c r="J214" s="1">
        <v>33502</v>
      </c>
      <c r="K214" s="1">
        <v>4060</v>
      </c>
      <c r="L214" s="1">
        <v>107</v>
      </c>
      <c r="M214" s="1">
        <v>1</v>
      </c>
      <c r="N214" s="1">
        <v>12.118679480000001</v>
      </c>
      <c r="O214" s="1">
        <v>2.63546798</v>
      </c>
      <c r="P214" s="1">
        <f t="shared" si="0"/>
        <v>1</v>
      </c>
      <c r="V214" t="str">
        <f t="shared" si="11"/>
        <v>Average Performer</v>
      </c>
      <c r="W214" t="e" cm="1">
        <f t="array" aca="1" ref="W214" ca="1">_xlfn.IFS(N214&gt;=20, "High",N214&gt;=10, "Medium", N214&lt;10, "Low")</f>
        <v>#NAME?</v>
      </c>
      <c r="X214" t="str">
        <f t="shared" si="12"/>
        <v>High Budget</v>
      </c>
      <c r="Y214" s="7">
        <f>VLOOKUP(G214, Lookup_table!B:C,2,0)</f>
        <v>0.2</v>
      </c>
      <c r="Z214" t="str">
        <f t="shared" si="13"/>
        <v>Inefficient Spend</v>
      </c>
      <c r="AA214" t="str">
        <f>VLOOKUP(H214, Lookup_table!E:F,2,0)</f>
        <v>Medium</v>
      </c>
    </row>
    <row r="215" spans="1:27" ht="17.5" customHeight="1" x14ac:dyDescent="0.35">
      <c r="A215" s="1" t="s">
        <v>374</v>
      </c>
      <c r="B215" s="2">
        <v>45654</v>
      </c>
      <c r="C215" s="1" t="s">
        <v>142</v>
      </c>
      <c r="D215" s="1">
        <v>18</v>
      </c>
      <c r="E215" s="1" t="s">
        <v>23</v>
      </c>
      <c r="F215" s="1" t="s">
        <v>50</v>
      </c>
      <c r="G215" s="1" t="s">
        <v>31</v>
      </c>
      <c r="H215" s="1" t="s">
        <v>26</v>
      </c>
      <c r="I215" s="1">
        <v>1665.49</v>
      </c>
      <c r="J215" s="1">
        <v>40141</v>
      </c>
      <c r="K215" s="1">
        <v>4874</v>
      </c>
      <c r="L215" s="1">
        <v>219</v>
      </c>
      <c r="M215" s="1">
        <v>1</v>
      </c>
      <c r="N215" s="1">
        <v>12.14219875</v>
      </c>
      <c r="O215" s="1">
        <v>4.4932293799999998</v>
      </c>
      <c r="P215" s="1">
        <f t="shared" si="0"/>
        <v>1</v>
      </c>
      <c r="V215" t="str">
        <f t="shared" si="11"/>
        <v>Top Performer</v>
      </c>
      <c r="W215" t="e" cm="1">
        <f t="array" aca="1" ref="W215" ca="1">_xlfn.IFS(N215&gt;=20, "High",N215&gt;=10, "Medium", N215&lt;10, "Low")</f>
        <v>#NAME?</v>
      </c>
      <c r="X215" t="str">
        <f t="shared" si="12"/>
        <v>High Budget</v>
      </c>
      <c r="Y215" s="7">
        <f>VLOOKUP(G215, Lookup_table!B:C,2,0)</f>
        <v>1.2</v>
      </c>
      <c r="Z215" t="str">
        <f t="shared" si="13"/>
        <v>Efficient Spend</v>
      </c>
      <c r="AA215" t="str">
        <f>VLOOKUP(H215, Lookup_table!E:F,2,0)</f>
        <v>High</v>
      </c>
    </row>
    <row r="216" spans="1:27" ht="17.5" customHeight="1" x14ac:dyDescent="0.35">
      <c r="A216" s="1" t="s">
        <v>375</v>
      </c>
      <c r="B216" s="2">
        <v>45452</v>
      </c>
      <c r="C216" s="1" t="s">
        <v>201</v>
      </c>
      <c r="D216" s="1">
        <v>28</v>
      </c>
      <c r="E216" s="1" t="s">
        <v>23</v>
      </c>
      <c r="F216" s="1" t="s">
        <v>45</v>
      </c>
      <c r="G216" s="1" t="s">
        <v>46</v>
      </c>
      <c r="H216" s="1" t="s">
        <v>62</v>
      </c>
      <c r="I216" s="1">
        <v>746.58</v>
      </c>
      <c r="J216" s="1">
        <v>48288</v>
      </c>
      <c r="K216" s="1">
        <v>2590</v>
      </c>
      <c r="L216" s="1">
        <v>263</v>
      </c>
      <c r="M216" s="1">
        <v>1</v>
      </c>
      <c r="N216" s="1">
        <v>5.3636514249999996</v>
      </c>
      <c r="O216" s="1">
        <v>10.154440149999999</v>
      </c>
      <c r="P216" s="1">
        <f t="shared" si="0"/>
        <v>1</v>
      </c>
      <c r="V216" t="str">
        <f t="shared" si="11"/>
        <v>Average Performer</v>
      </c>
      <c r="W216" t="e" cm="1">
        <f t="array" aca="1" ref="W216" ca="1">_xlfn.IFS(N216&gt;=20, "High",N216&gt;=10, "Medium", N216&lt;10, "Low")</f>
        <v>#NAME?</v>
      </c>
      <c r="X216" t="str">
        <f t="shared" si="12"/>
        <v>Medium Budget</v>
      </c>
      <c r="Y216" s="7">
        <f>VLOOKUP(G216, Lookup_table!B:C,2,0)</f>
        <v>0.75</v>
      </c>
      <c r="Z216" t="str">
        <f t="shared" si="13"/>
        <v>Efficient Spend</v>
      </c>
      <c r="AA216" t="str">
        <f>VLOOKUP(H216, Lookup_table!E:F,2,0)</f>
        <v>Medium</v>
      </c>
    </row>
    <row r="217" spans="1:27" ht="17.5" customHeight="1" x14ac:dyDescent="0.35">
      <c r="A217" s="1" t="s">
        <v>376</v>
      </c>
      <c r="B217" s="2">
        <v>45588</v>
      </c>
      <c r="C217" s="1" t="s">
        <v>292</v>
      </c>
      <c r="D217" s="1">
        <v>59</v>
      </c>
      <c r="E217" s="1" t="s">
        <v>29</v>
      </c>
      <c r="F217" s="1" t="s">
        <v>57</v>
      </c>
      <c r="G217" s="1" t="s">
        <v>42</v>
      </c>
      <c r="H217" s="1" t="s">
        <v>26</v>
      </c>
      <c r="I217" s="1">
        <v>492.7</v>
      </c>
      <c r="J217" s="1">
        <v>10581</v>
      </c>
      <c r="K217" s="1">
        <v>389</v>
      </c>
      <c r="L217" s="1">
        <v>280</v>
      </c>
      <c r="M217" s="1">
        <v>1</v>
      </c>
      <c r="N217" s="1">
        <v>3.6764010960000002</v>
      </c>
      <c r="O217" s="1">
        <v>71.979434449999999</v>
      </c>
      <c r="P217" s="1">
        <f t="shared" si="0"/>
        <v>1</v>
      </c>
      <c r="V217" t="str">
        <f t="shared" si="11"/>
        <v>Low Performer</v>
      </c>
      <c r="W217" t="e" cm="1">
        <f t="array" aca="1" ref="W217" ca="1">_xlfn.IFS(N217&gt;=20, "High",N217&gt;=10, "Medium", N217&lt;10, "Low")</f>
        <v>#NAME?</v>
      </c>
      <c r="X217" t="str">
        <f t="shared" si="12"/>
        <v>Low Budget</v>
      </c>
      <c r="Y217" s="7">
        <f>VLOOKUP(G217, Lookup_table!B:C,2,0)</f>
        <v>0.3</v>
      </c>
      <c r="Z217" t="str">
        <f t="shared" si="13"/>
        <v>Inefficient Spend</v>
      </c>
      <c r="AA217" t="str">
        <f>VLOOKUP(H217, Lookup_table!E:F,2,0)</f>
        <v>High</v>
      </c>
    </row>
    <row r="218" spans="1:27" ht="17.5" customHeight="1" x14ac:dyDescent="0.35">
      <c r="A218" s="1" t="s">
        <v>377</v>
      </c>
      <c r="B218" s="2">
        <v>45328</v>
      </c>
      <c r="C218" s="1" t="s">
        <v>378</v>
      </c>
      <c r="D218" s="1">
        <v>51</v>
      </c>
      <c r="E218" s="1" t="s">
        <v>35</v>
      </c>
      <c r="F218" s="1" t="s">
        <v>57</v>
      </c>
      <c r="G218" s="1" t="s">
        <v>61</v>
      </c>
      <c r="H218" s="1" t="s">
        <v>36</v>
      </c>
      <c r="I218" s="1">
        <v>262.14999999999998</v>
      </c>
      <c r="J218" s="1">
        <v>26738</v>
      </c>
      <c r="K218" s="1">
        <v>4256</v>
      </c>
      <c r="L218" s="1">
        <v>287</v>
      </c>
      <c r="M218" s="1">
        <v>4</v>
      </c>
      <c r="N218" s="1">
        <v>15.9174209</v>
      </c>
      <c r="O218" s="1">
        <v>6.7434210529999996</v>
      </c>
      <c r="P218" s="1">
        <f t="shared" si="0"/>
        <v>4</v>
      </c>
      <c r="V218" t="str">
        <f t="shared" si="11"/>
        <v>Top Performer</v>
      </c>
      <c r="W218" t="e" cm="1">
        <f t="array" aca="1" ref="W218" ca="1">_xlfn.IFS(N218&gt;=20, "High",N218&gt;=10, "Medium", N218&lt;10, "Low")</f>
        <v>#NAME?</v>
      </c>
      <c r="X218" t="str">
        <f t="shared" si="12"/>
        <v>Low Budget</v>
      </c>
      <c r="Y218" s="7">
        <f>VLOOKUP(G218, Lookup_table!B:C,2,0)</f>
        <v>0.2</v>
      </c>
      <c r="Z218" t="str">
        <f t="shared" si="13"/>
        <v>Efficient Spend</v>
      </c>
      <c r="AA218" t="str">
        <f>VLOOKUP(H218, Lookup_table!E:F,2,0)</f>
        <v>High</v>
      </c>
    </row>
    <row r="219" spans="1:27" ht="17.5" customHeight="1" x14ac:dyDescent="0.35">
      <c r="A219" s="1" t="s">
        <v>379</v>
      </c>
      <c r="B219" s="2">
        <v>45361</v>
      </c>
      <c r="C219" s="1" t="s">
        <v>134</v>
      </c>
      <c r="D219" s="1">
        <v>45</v>
      </c>
      <c r="E219" s="1" t="s">
        <v>23</v>
      </c>
      <c r="F219" s="1" t="s">
        <v>41</v>
      </c>
      <c r="G219" s="1" t="s">
        <v>61</v>
      </c>
      <c r="H219" s="1" t="s">
        <v>32</v>
      </c>
      <c r="I219" s="1">
        <v>1158.22</v>
      </c>
      <c r="J219" s="1">
        <v>36951</v>
      </c>
      <c r="K219" s="1">
        <v>478</v>
      </c>
      <c r="L219" s="1">
        <v>103</v>
      </c>
      <c r="M219" s="1">
        <v>2</v>
      </c>
      <c r="N219" s="1">
        <v>1.2936050450000001</v>
      </c>
      <c r="O219" s="1">
        <v>21.548117149999999</v>
      </c>
      <c r="P219" s="1">
        <f t="shared" si="0"/>
        <v>2</v>
      </c>
      <c r="V219" t="str">
        <f t="shared" si="11"/>
        <v>Low Performer</v>
      </c>
      <c r="W219" t="e" cm="1">
        <f t="array" aca="1" ref="W219" ca="1">_xlfn.IFS(N219&gt;=20, "High",N219&gt;=10, "Medium", N219&lt;10, "Low")</f>
        <v>#NAME?</v>
      </c>
      <c r="X219" t="str">
        <f t="shared" si="12"/>
        <v>High Budget</v>
      </c>
      <c r="Y219" s="7">
        <f>VLOOKUP(G219, Lookup_table!B:C,2,0)</f>
        <v>0.2</v>
      </c>
      <c r="Z219" t="str">
        <f t="shared" si="13"/>
        <v>Inefficient Spend</v>
      </c>
      <c r="AA219" t="str">
        <f>VLOOKUP(H219, Lookup_table!E:F,2,0)</f>
        <v>Medium</v>
      </c>
    </row>
    <row r="220" spans="1:27" ht="17.5" customHeight="1" x14ac:dyDescent="0.35">
      <c r="A220" s="1" t="s">
        <v>380</v>
      </c>
      <c r="B220" s="2">
        <v>45655</v>
      </c>
      <c r="C220" s="1" t="s">
        <v>160</v>
      </c>
      <c r="D220" s="1">
        <v>49</v>
      </c>
      <c r="E220" s="1" t="s">
        <v>23</v>
      </c>
      <c r="F220" s="1" t="s">
        <v>45</v>
      </c>
      <c r="G220" s="1" t="s">
        <v>46</v>
      </c>
      <c r="H220" s="1" t="s">
        <v>32</v>
      </c>
      <c r="I220" s="1">
        <v>1935.02</v>
      </c>
      <c r="J220" s="1">
        <v>13246</v>
      </c>
      <c r="K220" s="1">
        <v>2792</v>
      </c>
      <c r="L220" s="1">
        <v>362</v>
      </c>
      <c r="M220" s="1">
        <v>2</v>
      </c>
      <c r="N220" s="1">
        <v>21.078061300000002</v>
      </c>
      <c r="O220" s="1">
        <v>12.96561605</v>
      </c>
      <c r="P220" s="1">
        <f t="shared" si="0"/>
        <v>2</v>
      </c>
      <c r="V220" t="str">
        <f t="shared" si="11"/>
        <v>Average Performer</v>
      </c>
      <c r="W220" t="e" cm="1">
        <f t="array" aca="1" ref="W220" ca="1">_xlfn.IFS(N220&gt;=20, "High",N220&gt;=10, "Medium", N220&lt;10, "Low")</f>
        <v>#NAME?</v>
      </c>
      <c r="X220" t="str">
        <f t="shared" si="12"/>
        <v>High Budget</v>
      </c>
      <c r="Y220" s="7">
        <f>VLOOKUP(G220, Lookup_table!B:C,2,0)</f>
        <v>0.75</v>
      </c>
      <c r="Z220" t="str">
        <f t="shared" si="13"/>
        <v>Efficient Spend</v>
      </c>
      <c r="AA220" t="str">
        <f>VLOOKUP(H220, Lookup_table!E:F,2,0)</f>
        <v>Medium</v>
      </c>
    </row>
    <row r="221" spans="1:27" ht="17.5" customHeight="1" x14ac:dyDescent="0.35">
      <c r="A221" s="1" t="s">
        <v>381</v>
      </c>
      <c r="B221" s="2">
        <v>45385</v>
      </c>
      <c r="C221" s="1" t="s">
        <v>144</v>
      </c>
      <c r="D221" s="1">
        <v>29</v>
      </c>
      <c r="E221" s="1" t="s">
        <v>23</v>
      </c>
      <c r="F221" s="1" t="s">
        <v>50</v>
      </c>
      <c r="G221" s="1" t="s">
        <v>61</v>
      </c>
      <c r="H221" s="1" t="s">
        <v>32</v>
      </c>
      <c r="I221" s="1">
        <v>1108.98</v>
      </c>
      <c r="J221" s="1">
        <v>42457</v>
      </c>
      <c r="K221" s="1">
        <v>2556</v>
      </c>
      <c r="L221" s="1">
        <v>22</v>
      </c>
      <c r="N221" s="1">
        <v>6.0202086819999998</v>
      </c>
      <c r="O221" s="1">
        <v>0.86071987500000002</v>
      </c>
      <c r="P221" s="1">
        <f t="shared" si="0"/>
        <v>3</v>
      </c>
      <c r="V221" t="str">
        <f t="shared" si="11"/>
        <v>Low Performer</v>
      </c>
      <c r="W221" t="e" cm="1">
        <f t="array" aca="1" ref="W221" ca="1">_xlfn.IFS(N221&gt;=20, "High",N221&gt;=10, "Medium", N221&lt;10, "Low")</f>
        <v>#NAME?</v>
      </c>
      <c r="X221" t="str">
        <f t="shared" si="12"/>
        <v>High Budget</v>
      </c>
      <c r="Y221" s="7">
        <f>VLOOKUP(G221, Lookup_table!B:C,2,0)</f>
        <v>0.2</v>
      </c>
      <c r="Z221" t="str">
        <f t="shared" si="13"/>
        <v>Inefficient Spend</v>
      </c>
      <c r="AA221" t="str">
        <f>VLOOKUP(H221, Lookup_table!E:F,2,0)</f>
        <v>Medium</v>
      </c>
    </row>
    <row r="222" spans="1:27" ht="17.5" customHeight="1" x14ac:dyDescent="0.35">
      <c r="A222" s="1" t="s">
        <v>382</v>
      </c>
      <c r="B222" s="2">
        <v>45341</v>
      </c>
      <c r="C222" s="1" t="s">
        <v>28</v>
      </c>
      <c r="D222" s="1">
        <v>49</v>
      </c>
      <c r="E222" s="1" t="s">
        <v>23</v>
      </c>
      <c r="F222" s="1" t="s">
        <v>24</v>
      </c>
      <c r="G222" s="1" t="s">
        <v>25</v>
      </c>
      <c r="H222" s="1" t="s">
        <v>32</v>
      </c>
      <c r="I222" s="1">
        <v>112.84</v>
      </c>
      <c r="J222" s="1">
        <v>23139</v>
      </c>
      <c r="K222" s="1">
        <v>508</v>
      </c>
      <c r="L222" s="1">
        <v>395</v>
      </c>
      <c r="M222" s="1">
        <v>3</v>
      </c>
      <c r="N222" s="1">
        <v>2.195427633</v>
      </c>
      <c r="O222" s="1">
        <v>77.755905510000005</v>
      </c>
      <c r="P222" s="1">
        <f t="shared" si="0"/>
        <v>3</v>
      </c>
      <c r="V222" t="str">
        <f t="shared" si="11"/>
        <v>Low Performer</v>
      </c>
      <c r="W222" t="e" cm="1">
        <f t="array" aca="1" ref="W222" ca="1">_xlfn.IFS(N222&gt;=20, "High",N222&gt;=10, "Medium", N222&lt;10, "Low")</f>
        <v>#NAME?</v>
      </c>
      <c r="X222" t="str">
        <f t="shared" si="12"/>
        <v>Low Budget</v>
      </c>
      <c r="Y222" s="7">
        <f>VLOOKUP(G222, Lookup_table!B:C,2,0)</f>
        <v>0.5</v>
      </c>
      <c r="Z222" t="str">
        <f t="shared" si="13"/>
        <v>Efficient Spend</v>
      </c>
      <c r="AA222" t="str">
        <f>VLOOKUP(H222, Lookup_table!E:F,2,0)</f>
        <v>Medium</v>
      </c>
    </row>
    <row r="223" spans="1:27" ht="17.5" customHeight="1" x14ac:dyDescent="0.35">
      <c r="A223" s="1" t="s">
        <v>383</v>
      </c>
      <c r="B223" s="2">
        <v>45609</v>
      </c>
      <c r="C223" s="1" t="s">
        <v>384</v>
      </c>
      <c r="D223" s="1">
        <v>54</v>
      </c>
      <c r="E223" s="1" t="s">
        <v>29</v>
      </c>
      <c r="F223" s="1" t="s">
        <v>45</v>
      </c>
      <c r="G223" s="1" t="s">
        <v>46</v>
      </c>
      <c r="H223" s="1" t="s">
        <v>32</v>
      </c>
      <c r="I223" s="1">
        <v>651.14</v>
      </c>
      <c r="J223" s="1">
        <v>17054</v>
      </c>
      <c r="K223" s="1">
        <v>2952</v>
      </c>
      <c r="L223" s="1">
        <v>319</v>
      </c>
      <c r="M223" s="1">
        <v>4</v>
      </c>
      <c r="N223" s="1">
        <v>17.309722059999999</v>
      </c>
      <c r="O223" s="1">
        <v>10.80623306</v>
      </c>
      <c r="P223" s="1">
        <f t="shared" si="0"/>
        <v>4</v>
      </c>
      <c r="V223" t="str">
        <f t="shared" si="11"/>
        <v>Average Performer</v>
      </c>
      <c r="W223" t="e" cm="1">
        <f t="array" aca="1" ref="W223" ca="1">_xlfn.IFS(N223&gt;=20, "High",N223&gt;=10, "Medium", N223&lt;10, "Low")</f>
        <v>#NAME?</v>
      </c>
      <c r="X223" t="str">
        <f t="shared" si="12"/>
        <v>Medium Budget</v>
      </c>
      <c r="Y223" s="7">
        <f>VLOOKUP(G223, Lookup_table!B:C,2,0)</f>
        <v>0.75</v>
      </c>
      <c r="Z223" t="str">
        <f t="shared" si="13"/>
        <v>Efficient Spend</v>
      </c>
      <c r="AA223" t="str">
        <f>VLOOKUP(H223, Lookup_table!E:F,2,0)</f>
        <v>Medium</v>
      </c>
    </row>
    <row r="224" spans="1:27" ht="17.5" customHeight="1" x14ac:dyDescent="0.35">
      <c r="A224" s="1" t="s">
        <v>385</v>
      </c>
      <c r="B224" s="2">
        <v>45515</v>
      </c>
      <c r="C224" s="1" t="s">
        <v>386</v>
      </c>
      <c r="D224" s="1">
        <v>51</v>
      </c>
      <c r="E224" s="1" t="s">
        <v>29</v>
      </c>
      <c r="F224" s="1" t="s">
        <v>45</v>
      </c>
      <c r="G224" s="1" t="s">
        <v>46</v>
      </c>
      <c r="H224" s="1" t="s">
        <v>62</v>
      </c>
      <c r="I224" s="1">
        <v>1451.52</v>
      </c>
      <c r="J224" s="1">
        <v>45447</v>
      </c>
      <c r="K224" s="1">
        <v>1539</v>
      </c>
      <c r="L224" s="1">
        <v>371</v>
      </c>
      <c r="M224" s="1">
        <v>5</v>
      </c>
      <c r="N224" s="1">
        <v>3.3863621359999998</v>
      </c>
      <c r="O224" s="1">
        <v>24.106562700000001</v>
      </c>
      <c r="P224" s="1">
        <f t="shared" si="0"/>
        <v>5</v>
      </c>
      <c r="V224" t="str">
        <f t="shared" si="11"/>
        <v>Average Performer</v>
      </c>
      <c r="W224" t="e" cm="1">
        <f t="array" aca="1" ref="W224" ca="1">_xlfn.IFS(N224&gt;=20, "High",N224&gt;=10, "Medium", N224&lt;10, "Low")</f>
        <v>#NAME?</v>
      </c>
      <c r="X224" t="str">
        <f t="shared" si="12"/>
        <v>High Budget</v>
      </c>
      <c r="Y224" s="7">
        <f>VLOOKUP(G224, Lookup_table!B:C,2,0)</f>
        <v>0.75</v>
      </c>
      <c r="Z224" t="str">
        <f t="shared" si="13"/>
        <v>Inefficient Spend</v>
      </c>
      <c r="AA224" t="str">
        <f>VLOOKUP(H224, Lookup_table!E:F,2,0)</f>
        <v>Medium</v>
      </c>
    </row>
    <row r="225" spans="1:27" ht="17.5" customHeight="1" x14ac:dyDescent="0.35">
      <c r="A225" s="1" t="s">
        <v>387</v>
      </c>
      <c r="B225" s="2">
        <v>45427</v>
      </c>
      <c r="C225" s="1" t="s">
        <v>100</v>
      </c>
      <c r="D225" s="1">
        <v>27</v>
      </c>
      <c r="E225" s="1" t="s">
        <v>29</v>
      </c>
      <c r="F225" s="1" t="s">
        <v>57</v>
      </c>
      <c r="G225" s="1" t="s">
        <v>42</v>
      </c>
      <c r="H225" s="1" t="s">
        <v>32</v>
      </c>
      <c r="I225" s="1">
        <v>1895.22</v>
      </c>
      <c r="J225" s="1">
        <v>30197</v>
      </c>
      <c r="K225" s="1">
        <v>296</v>
      </c>
      <c r="L225" s="1">
        <v>36</v>
      </c>
      <c r="N225" s="1">
        <v>0.98022982400000003</v>
      </c>
      <c r="O225" s="1">
        <v>12.162162159999999</v>
      </c>
      <c r="P225" s="1">
        <f t="shared" si="0"/>
        <v>3</v>
      </c>
      <c r="V225" t="str">
        <f t="shared" si="11"/>
        <v>Low Performer</v>
      </c>
      <c r="W225" t="e" cm="1">
        <f t="array" aca="1" ref="W225" ca="1">_xlfn.IFS(N225&gt;=20, "High",N225&gt;=10, "Medium", N225&lt;10, "Low")</f>
        <v>#NAME?</v>
      </c>
      <c r="X225" t="str">
        <f t="shared" si="12"/>
        <v>High Budget</v>
      </c>
      <c r="Y225" s="7">
        <f>VLOOKUP(G225, Lookup_table!B:C,2,0)</f>
        <v>0.3</v>
      </c>
      <c r="Z225" t="str">
        <f t="shared" si="13"/>
        <v>Inefficient Spend</v>
      </c>
      <c r="AA225" t="str">
        <f>VLOOKUP(H225, Lookup_table!E:F,2,0)</f>
        <v>Medium</v>
      </c>
    </row>
    <row r="226" spans="1:27" ht="17.5" customHeight="1" x14ac:dyDescent="0.35">
      <c r="A226" s="1" t="s">
        <v>388</v>
      </c>
      <c r="B226" s="2">
        <v>45384</v>
      </c>
      <c r="C226" s="1" t="s">
        <v>132</v>
      </c>
      <c r="D226" s="1">
        <v>47</v>
      </c>
      <c r="E226" s="1" t="s">
        <v>23</v>
      </c>
      <c r="F226" s="1" t="s">
        <v>45</v>
      </c>
      <c r="G226" s="1" t="s">
        <v>46</v>
      </c>
      <c r="H226" s="1" t="s">
        <v>62</v>
      </c>
      <c r="I226" s="1">
        <v>336.05</v>
      </c>
      <c r="J226" s="1">
        <v>5603</v>
      </c>
      <c r="K226" s="1">
        <v>734</v>
      </c>
      <c r="L226" s="1">
        <v>44</v>
      </c>
      <c r="M226" s="1">
        <v>1</v>
      </c>
      <c r="N226" s="1">
        <v>13.10012493</v>
      </c>
      <c r="O226" s="1">
        <v>5.9945504090000004</v>
      </c>
      <c r="P226" s="1">
        <f t="shared" si="0"/>
        <v>1</v>
      </c>
      <c r="V226" t="str">
        <f t="shared" si="11"/>
        <v>Low Performer</v>
      </c>
      <c r="W226" t="e" cm="1">
        <f t="array" aca="1" ref="W226" ca="1">_xlfn.IFS(N226&gt;=20, "High",N226&gt;=10, "Medium", N226&lt;10, "Low")</f>
        <v>#NAME?</v>
      </c>
      <c r="X226" t="str">
        <f t="shared" si="12"/>
        <v>Low Budget</v>
      </c>
      <c r="Y226" s="7">
        <f>VLOOKUP(G226, Lookup_table!B:C,2,0)</f>
        <v>0.75</v>
      </c>
      <c r="Z226" t="str">
        <f t="shared" si="13"/>
        <v>Efficient Spend</v>
      </c>
      <c r="AA226" t="str">
        <f>VLOOKUP(H226, Lookup_table!E:F,2,0)</f>
        <v>Medium</v>
      </c>
    </row>
    <row r="227" spans="1:27" ht="17.5" customHeight="1" x14ac:dyDescent="0.35">
      <c r="A227" s="1" t="s">
        <v>389</v>
      </c>
      <c r="B227" s="2">
        <v>45606</v>
      </c>
      <c r="C227" s="1" t="s">
        <v>261</v>
      </c>
      <c r="D227" s="1">
        <v>32</v>
      </c>
      <c r="E227" s="1" t="s">
        <v>29</v>
      </c>
      <c r="F227" s="1" t="s">
        <v>41</v>
      </c>
      <c r="G227" s="1" t="s">
        <v>46</v>
      </c>
      <c r="H227" s="1" t="s">
        <v>62</v>
      </c>
      <c r="I227" s="1">
        <v>1731.3</v>
      </c>
      <c r="J227" s="1">
        <v>43938</v>
      </c>
      <c r="K227" s="1">
        <v>4680</v>
      </c>
      <c r="L227" s="1">
        <v>297</v>
      </c>
      <c r="N227" s="1">
        <v>10.651372390000001</v>
      </c>
      <c r="O227" s="1">
        <v>6.346153846</v>
      </c>
      <c r="P227" s="1">
        <f t="shared" si="0"/>
        <v>3</v>
      </c>
      <c r="V227" t="str">
        <f t="shared" si="11"/>
        <v>Top Performer</v>
      </c>
      <c r="W227" t="e" cm="1">
        <f t="array" aca="1" ref="W227" ca="1">_xlfn.IFS(N227&gt;=20, "High",N227&gt;=10, "Medium", N227&lt;10, "Low")</f>
        <v>#NAME?</v>
      </c>
      <c r="X227" t="str">
        <f t="shared" si="12"/>
        <v>High Budget</v>
      </c>
      <c r="Y227" s="7">
        <f>VLOOKUP(G227, Lookup_table!B:C,2,0)</f>
        <v>0.75</v>
      </c>
      <c r="Z227" t="str">
        <f t="shared" si="13"/>
        <v>Efficient Spend</v>
      </c>
      <c r="AA227" t="str">
        <f>VLOOKUP(H227, Lookup_table!E:F,2,0)</f>
        <v>Medium</v>
      </c>
    </row>
    <row r="228" spans="1:27" ht="17.5" customHeight="1" x14ac:dyDescent="0.35">
      <c r="A228" s="1" t="s">
        <v>390</v>
      </c>
      <c r="B228" s="2">
        <v>45470</v>
      </c>
      <c r="C228" s="1" t="s">
        <v>391</v>
      </c>
      <c r="D228" s="1">
        <v>20</v>
      </c>
      <c r="E228" s="1" t="s">
        <v>23</v>
      </c>
      <c r="F228" s="1" t="s">
        <v>45</v>
      </c>
      <c r="G228" s="1" t="s">
        <v>42</v>
      </c>
      <c r="H228" s="1" t="s">
        <v>32</v>
      </c>
      <c r="I228" s="1">
        <v>1564.51</v>
      </c>
      <c r="J228" s="1">
        <v>18743</v>
      </c>
      <c r="K228" s="1">
        <v>4432</v>
      </c>
      <c r="L228" s="1">
        <v>314</v>
      </c>
      <c r="M228" s="1">
        <v>3</v>
      </c>
      <c r="N228" s="1">
        <v>23.646161230000001</v>
      </c>
      <c r="O228" s="1">
        <v>7.0848375450000001</v>
      </c>
      <c r="P228" s="1">
        <f t="shared" si="0"/>
        <v>3</v>
      </c>
      <c r="V228" t="str">
        <f t="shared" si="11"/>
        <v>Top Performer</v>
      </c>
      <c r="W228" t="e" cm="1">
        <f t="array" aca="1" ref="W228" ca="1">_xlfn.IFS(N228&gt;=20, "High",N228&gt;=10, "Medium", N228&lt;10, "Low")</f>
        <v>#NAME?</v>
      </c>
      <c r="X228" t="str">
        <f t="shared" si="12"/>
        <v>High Budget</v>
      </c>
      <c r="Y228" s="7">
        <f>VLOOKUP(G228, Lookup_table!B:C,2,0)</f>
        <v>0.3</v>
      </c>
      <c r="Z228" t="str">
        <f t="shared" si="13"/>
        <v>Inefficient Spend</v>
      </c>
      <c r="AA228" t="str">
        <f>VLOOKUP(H228, Lookup_table!E:F,2,0)</f>
        <v>Medium</v>
      </c>
    </row>
    <row r="229" spans="1:27" ht="17.5" customHeight="1" x14ac:dyDescent="0.35">
      <c r="A229" s="1" t="s">
        <v>392</v>
      </c>
      <c r="B229" s="2">
        <v>45468</v>
      </c>
      <c r="C229" s="1" t="s">
        <v>393</v>
      </c>
      <c r="D229" s="1">
        <v>27</v>
      </c>
      <c r="E229" s="1" t="s">
        <v>29</v>
      </c>
      <c r="F229" s="1" t="s">
        <v>30</v>
      </c>
      <c r="G229" s="1" t="s">
        <v>61</v>
      </c>
      <c r="H229" s="1" t="s">
        <v>62</v>
      </c>
      <c r="I229" s="1">
        <v>884.06</v>
      </c>
      <c r="J229" s="1">
        <v>33765</v>
      </c>
      <c r="K229" s="1">
        <v>3602</v>
      </c>
      <c r="L229" s="1">
        <v>71</v>
      </c>
      <c r="M229" s="1">
        <v>2</v>
      </c>
      <c r="N229" s="1">
        <v>10.66785133</v>
      </c>
      <c r="O229" s="1">
        <v>1.971127152</v>
      </c>
      <c r="P229" s="1">
        <f t="shared" si="0"/>
        <v>2</v>
      </c>
      <c r="V229" t="str">
        <f t="shared" si="11"/>
        <v>Low Performer</v>
      </c>
      <c r="W229" t="e" cm="1">
        <f t="array" aca="1" ref="W229" ca="1">_xlfn.IFS(N229&gt;=20, "High",N229&gt;=10, "Medium", N229&lt;10, "Low")</f>
        <v>#NAME?</v>
      </c>
      <c r="X229" t="str">
        <f t="shared" si="12"/>
        <v>Medium Budget</v>
      </c>
      <c r="Y229" s="7">
        <f>VLOOKUP(G229, Lookup_table!B:C,2,0)</f>
        <v>0.2</v>
      </c>
      <c r="Z229" t="str">
        <f t="shared" si="13"/>
        <v>Inefficient Spend</v>
      </c>
      <c r="AA229" t="str">
        <f>VLOOKUP(H229, Lookup_table!E:F,2,0)</f>
        <v>Medium</v>
      </c>
    </row>
    <row r="230" spans="1:27" ht="17.5" customHeight="1" x14ac:dyDescent="0.35">
      <c r="A230" s="1" t="s">
        <v>394</v>
      </c>
      <c r="B230" s="2">
        <v>45626</v>
      </c>
      <c r="C230" s="1" t="s">
        <v>395</v>
      </c>
      <c r="D230" s="1">
        <v>29</v>
      </c>
      <c r="E230" s="1" t="s">
        <v>35</v>
      </c>
      <c r="F230" s="1" t="s">
        <v>45</v>
      </c>
      <c r="G230" s="1" t="s">
        <v>42</v>
      </c>
      <c r="H230" s="1" t="s">
        <v>32</v>
      </c>
      <c r="I230" s="1">
        <v>1875.48</v>
      </c>
      <c r="J230" s="1">
        <v>32952</v>
      </c>
      <c r="K230" s="1">
        <v>901</v>
      </c>
      <c r="L230" s="1">
        <v>392</v>
      </c>
      <c r="M230" s="1">
        <v>4</v>
      </c>
      <c r="N230" s="1">
        <v>2.7342801649999999</v>
      </c>
      <c r="O230" s="1">
        <v>43.507214210000001</v>
      </c>
      <c r="P230" s="1">
        <f t="shared" si="0"/>
        <v>4</v>
      </c>
      <c r="V230" t="str">
        <f t="shared" si="11"/>
        <v>Low Performer</v>
      </c>
      <c r="W230" t="e" cm="1">
        <f t="array" aca="1" ref="W230" ca="1">_xlfn.IFS(N230&gt;=20, "High",N230&gt;=10, "Medium", N230&lt;10, "Low")</f>
        <v>#NAME?</v>
      </c>
      <c r="X230" t="str">
        <f t="shared" si="12"/>
        <v>High Budget</v>
      </c>
      <c r="Y230" s="7">
        <f>VLOOKUP(G230, Lookup_table!B:C,2,0)</f>
        <v>0.3</v>
      </c>
      <c r="Z230" t="str">
        <f t="shared" si="13"/>
        <v>Inefficient Spend</v>
      </c>
      <c r="AA230" t="str">
        <f>VLOOKUP(H230, Lookup_table!E:F,2,0)</f>
        <v>Medium</v>
      </c>
    </row>
    <row r="231" spans="1:27" ht="17.5" customHeight="1" x14ac:dyDescent="0.35">
      <c r="A231" s="1" t="s">
        <v>396</v>
      </c>
      <c r="B231" s="2">
        <v>45339</v>
      </c>
      <c r="C231" s="1" t="s">
        <v>259</v>
      </c>
      <c r="D231" s="1">
        <v>19</v>
      </c>
      <c r="E231" s="1" t="s">
        <v>35</v>
      </c>
      <c r="F231" s="1" t="s">
        <v>50</v>
      </c>
      <c r="G231" s="1" t="s">
        <v>25</v>
      </c>
      <c r="H231" s="1" t="s">
        <v>62</v>
      </c>
      <c r="I231" s="1">
        <v>1087.97</v>
      </c>
      <c r="J231" s="1">
        <v>20564</v>
      </c>
      <c r="K231" s="1">
        <v>534</v>
      </c>
      <c r="L231" s="1">
        <v>6</v>
      </c>
      <c r="M231" s="1">
        <v>5</v>
      </c>
      <c r="N231" s="1">
        <v>2.5967710560000001</v>
      </c>
      <c r="O231" s="1">
        <v>1.123595506</v>
      </c>
      <c r="P231" s="1">
        <f t="shared" si="0"/>
        <v>5</v>
      </c>
      <c r="V231" t="str">
        <f t="shared" si="11"/>
        <v>Low Performer</v>
      </c>
      <c r="W231" t="e" cm="1">
        <f t="array" aca="1" ref="W231" ca="1">_xlfn.IFS(N231&gt;=20, "High",N231&gt;=10, "Medium", N231&lt;10, "Low")</f>
        <v>#NAME?</v>
      </c>
      <c r="X231" t="str">
        <f t="shared" si="12"/>
        <v>High Budget</v>
      </c>
      <c r="Y231" s="7">
        <f>VLOOKUP(G231, Lookup_table!B:C,2,0)</f>
        <v>0.5</v>
      </c>
      <c r="Z231" t="str">
        <f t="shared" si="13"/>
        <v>Inefficient Spend</v>
      </c>
      <c r="AA231" t="str">
        <f>VLOOKUP(H231, Lookup_table!E:F,2,0)</f>
        <v>Medium</v>
      </c>
    </row>
    <row r="232" spans="1:27" ht="17.5" customHeight="1" x14ac:dyDescent="0.35">
      <c r="A232" s="1" t="s">
        <v>397</v>
      </c>
      <c r="B232" s="2">
        <v>45418</v>
      </c>
      <c r="C232" s="1" t="s">
        <v>297</v>
      </c>
      <c r="D232" s="1">
        <v>52</v>
      </c>
      <c r="E232" s="1" t="s">
        <v>29</v>
      </c>
      <c r="F232" s="1" t="s">
        <v>24</v>
      </c>
      <c r="G232" s="1" t="s">
        <v>42</v>
      </c>
      <c r="H232" s="1" t="s">
        <v>26</v>
      </c>
      <c r="I232" s="1">
        <v>715.4</v>
      </c>
      <c r="J232" s="1">
        <v>47785</v>
      </c>
      <c r="K232" s="1">
        <v>3256</v>
      </c>
      <c r="L232" s="1">
        <v>314</v>
      </c>
      <c r="N232" s="1">
        <v>6.81385372</v>
      </c>
      <c r="O232" s="1">
        <v>9.6437346440000002</v>
      </c>
      <c r="P232" s="1">
        <f t="shared" si="0"/>
        <v>3</v>
      </c>
      <c r="V232" t="str">
        <f t="shared" si="11"/>
        <v>Top Performer</v>
      </c>
      <c r="W232" t="e" cm="1">
        <f t="array" aca="1" ref="W232" ca="1">_xlfn.IFS(N232&gt;=20, "High",N232&gt;=10, "Medium", N232&lt;10, "Low")</f>
        <v>#NAME?</v>
      </c>
      <c r="X232" t="str">
        <f t="shared" si="12"/>
        <v>Medium Budget</v>
      </c>
      <c r="Y232" s="7">
        <f>VLOOKUP(G232, Lookup_table!B:C,2,0)</f>
        <v>0.3</v>
      </c>
      <c r="Z232" t="str">
        <f t="shared" si="13"/>
        <v>Efficient Spend</v>
      </c>
      <c r="AA232" t="str">
        <f>VLOOKUP(H232, Lookup_table!E:F,2,0)</f>
        <v>High</v>
      </c>
    </row>
    <row r="233" spans="1:27" ht="17.5" customHeight="1" x14ac:dyDescent="0.35">
      <c r="A233" s="1" t="s">
        <v>398</v>
      </c>
      <c r="B233" s="2">
        <v>45503</v>
      </c>
      <c r="C233" s="1" t="s">
        <v>270</v>
      </c>
      <c r="D233" s="1">
        <v>35</v>
      </c>
      <c r="E233" s="1" t="s">
        <v>29</v>
      </c>
      <c r="F233" s="1" t="s">
        <v>57</v>
      </c>
      <c r="G233" s="1" t="s">
        <v>42</v>
      </c>
      <c r="H233" s="1" t="s">
        <v>36</v>
      </c>
      <c r="I233" s="1">
        <v>867.52</v>
      </c>
      <c r="J233" s="1">
        <v>23149</v>
      </c>
      <c r="K233" s="1">
        <v>3981</v>
      </c>
      <c r="L233" s="1">
        <v>71</v>
      </c>
      <c r="M233" s="1">
        <v>5</v>
      </c>
      <c r="N233" s="1">
        <v>17.19728714</v>
      </c>
      <c r="O233" s="1">
        <v>1.7834714899999999</v>
      </c>
      <c r="P233" s="1">
        <f t="shared" si="0"/>
        <v>5</v>
      </c>
      <c r="V233" t="str">
        <f t="shared" si="11"/>
        <v>Low Performer</v>
      </c>
      <c r="W233" t="e" cm="1">
        <f t="array" aca="1" ref="W233" ca="1">_xlfn.IFS(N233&gt;=20, "High",N233&gt;=10, "Medium", N233&lt;10, "Low")</f>
        <v>#NAME?</v>
      </c>
      <c r="X233" t="str">
        <f t="shared" si="12"/>
        <v>Medium Budget</v>
      </c>
      <c r="Y233" s="7">
        <f>VLOOKUP(G233, Lookup_table!B:C,2,0)</f>
        <v>0.3</v>
      </c>
      <c r="Z233" t="str">
        <f t="shared" si="13"/>
        <v>Efficient Spend</v>
      </c>
      <c r="AA233" t="str">
        <f>VLOOKUP(H233, Lookup_table!E:F,2,0)</f>
        <v>High</v>
      </c>
    </row>
    <row r="234" spans="1:27" ht="17.5" customHeight="1" x14ac:dyDescent="0.35">
      <c r="A234" s="1" t="s">
        <v>399</v>
      </c>
      <c r="B234" s="2">
        <v>45397</v>
      </c>
      <c r="C234" s="1" t="s">
        <v>286</v>
      </c>
      <c r="D234" s="1">
        <v>23</v>
      </c>
      <c r="E234" s="1" t="s">
        <v>23</v>
      </c>
      <c r="F234" s="1" t="s">
        <v>41</v>
      </c>
      <c r="G234" s="1" t="s">
        <v>42</v>
      </c>
      <c r="H234" s="1" t="s">
        <v>32</v>
      </c>
      <c r="I234" s="1">
        <v>526.45000000000005</v>
      </c>
      <c r="J234" s="1">
        <v>24687</v>
      </c>
      <c r="K234" s="1">
        <v>3886</v>
      </c>
      <c r="L234" s="1">
        <v>260</v>
      </c>
      <c r="M234" s="1">
        <v>5</v>
      </c>
      <c r="N234" s="1">
        <v>15.7410783</v>
      </c>
      <c r="O234" s="1">
        <v>6.6906845080000004</v>
      </c>
      <c r="P234" s="1">
        <f t="shared" si="0"/>
        <v>5</v>
      </c>
      <c r="V234" t="str">
        <f t="shared" si="11"/>
        <v>Top Performer</v>
      </c>
      <c r="W234" t="e" cm="1">
        <f t="array" aca="1" ref="W234" ca="1">_xlfn.IFS(N234&gt;=20, "High",N234&gt;=10, "Medium", N234&lt;10, "Low")</f>
        <v>#NAME?</v>
      </c>
      <c r="X234" t="str">
        <f t="shared" si="12"/>
        <v>Medium Budget</v>
      </c>
      <c r="Y234" s="7">
        <f>VLOOKUP(G234, Lookup_table!B:C,2,0)</f>
        <v>0.3</v>
      </c>
      <c r="Z234" t="str">
        <f t="shared" si="13"/>
        <v>Efficient Spend</v>
      </c>
      <c r="AA234" t="str">
        <f>VLOOKUP(H234, Lookup_table!E:F,2,0)</f>
        <v>Medium</v>
      </c>
    </row>
    <row r="235" spans="1:27" ht="17.5" customHeight="1" x14ac:dyDescent="0.35">
      <c r="A235" s="1" t="s">
        <v>400</v>
      </c>
      <c r="B235" s="2">
        <v>45369</v>
      </c>
      <c r="C235" s="1" t="s">
        <v>378</v>
      </c>
      <c r="D235" s="1">
        <v>56</v>
      </c>
      <c r="E235" s="1" t="s">
        <v>29</v>
      </c>
      <c r="F235" s="1" t="s">
        <v>41</v>
      </c>
      <c r="G235" s="1" t="s">
        <v>46</v>
      </c>
      <c r="H235" s="1" t="s">
        <v>26</v>
      </c>
      <c r="I235" s="1">
        <v>880.74</v>
      </c>
      <c r="J235" s="1">
        <v>1867</v>
      </c>
      <c r="K235" s="1">
        <v>4531</v>
      </c>
      <c r="L235" s="1">
        <v>230</v>
      </c>
      <c r="M235" s="1">
        <v>4</v>
      </c>
      <c r="N235" s="1">
        <v>242.68880559999999</v>
      </c>
      <c r="O235" s="1">
        <v>5.0761421320000002</v>
      </c>
      <c r="P235" s="1">
        <f t="shared" si="0"/>
        <v>4</v>
      </c>
      <c r="U235" s="1">
        <f>COUNTIF(N231:N1000, N235&gt;100)</f>
        <v>0</v>
      </c>
      <c r="V235" t="str">
        <f t="shared" si="11"/>
        <v>Top Performer</v>
      </c>
      <c r="W235" t="e" cm="1">
        <f t="array" aca="1" ref="W235" ca="1">_xlfn.IFS(N235&gt;=20, "High",N235&gt;=10, "Medium", N235&lt;10, "Low")</f>
        <v>#NAME?</v>
      </c>
      <c r="X235" t="str">
        <f t="shared" si="12"/>
        <v>Medium Budget</v>
      </c>
      <c r="Y235" s="7">
        <f>VLOOKUP(G235, Lookup_table!B:C,2,0)</f>
        <v>0.75</v>
      </c>
      <c r="Z235" t="str">
        <f t="shared" si="13"/>
        <v>Efficient Spend</v>
      </c>
      <c r="AA235" t="str">
        <f>VLOOKUP(H235, Lookup_table!E:F,2,0)</f>
        <v>High</v>
      </c>
    </row>
    <row r="236" spans="1:27" ht="17.5" customHeight="1" x14ac:dyDescent="0.35">
      <c r="A236" s="1" t="s">
        <v>401</v>
      </c>
      <c r="B236" s="2">
        <v>45316</v>
      </c>
      <c r="C236" s="1" t="s">
        <v>126</v>
      </c>
      <c r="D236" s="1">
        <v>49</v>
      </c>
      <c r="E236" s="1" t="s">
        <v>35</v>
      </c>
      <c r="F236" s="1" t="s">
        <v>50</v>
      </c>
      <c r="G236" s="1" t="s">
        <v>46</v>
      </c>
      <c r="H236" s="1" t="s">
        <v>26</v>
      </c>
      <c r="I236" s="1">
        <v>1305.48</v>
      </c>
      <c r="J236" s="1">
        <v>48180</v>
      </c>
      <c r="K236" s="1">
        <v>3428</v>
      </c>
      <c r="L236" s="1">
        <v>235</v>
      </c>
      <c r="M236" s="1">
        <v>3</v>
      </c>
      <c r="N236" s="1">
        <v>7.1149854709999998</v>
      </c>
      <c r="O236" s="1">
        <v>6.8553092180000004</v>
      </c>
      <c r="P236" s="1">
        <f t="shared" si="0"/>
        <v>3</v>
      </c>
      <c r="V236" t="str">
        <f t="shared" si="11"/>
        <v>Top Performer</v>
      </c>
      <c r="W236" t="e" cm="1">
        <f t="array" aca="1" ref="W236" ca="1">_xlfn.IFS(N236&gt;=20, "High",N236&gt;=10, "Medium", N236&lt;10, "Low")</f>
        <v>#NAME?</v>
      </c>
      <c r="X236" t="str">
        <f t="shared" si="12"/>
        <v>High Budget</v>
      </c>
      <c r="Y236" s="7">
        <f>VLOOKUP(G236, Lookup_table!B:C,2,0)</f>
        <v>0.75</v>
      </c>
      <c r="Z236" t="str">
        <f t="shared" si="13"/>
        <v>Efficient Spend</v>
      </c>
      <c r="AA236" t="str">
        <f>VLOOKUP(H236, Lookup_table!E:F,2,0)</f>
        <v>High</v>
      </c>
    </row>
    <row r="237" spans="1:27" ht="17.5" customHeight="1" x14ac:dyDescent="0.35">
      <c r="A237" s="1" t="s">
        <v>402</v>
      </c>
      <c r="B237" s="2">
        <v>45359</v>
      </c>
      <c r="C237" s="1" t="s">
        <v>90</v>
      </c>
      <c r="D237" s="1">
        <v>32</v>
      </c>
      <c r="E237" s="1" t="s">
        <v>29</v>
      </c>
      <c r="F237" s="1" t="s">
        <v>50</v>
      </c>
      <c r="G237" s="1" t="s">
        <v>61</v>
      </c>
      <c r="H237" s="1" t="s">
        <v>32</v>
      </c>
      <c r="I237" s="1">
        <v>785.75</v>
      </c>
      <c r="J237" s="1">
        <v>12360</v>
      </c>
      <c r="K237" s="1">
        <v>830</v>
      </c>
      <c r="L237" s="1">
        <v>338</v>
      </c>
      <c r="M237" s="1">
        <v>3</v>
      </c>
      <c r="N237" s="1">
        <v>6.715210356</v>
      </c>
      <c r="O237" s="1">
        <v>40.722891570000002</v>
      </c>
      <c r="P237" s="1">
        <f t="shared" si="0"/>
        <v>3</v>
      </c>
      <c r="V237" t="str">
        <f t="shared" si="11"/>
        <v>Low Performer</v>
      </c>
      <c r="W237" t="e" cm="1">
        <f t="array" aca="1" ref="W237" ca="1">_xlfn.IFS(N237&gt;=20, "High",N237&gt;=10, "Medium", N237&lt;10, "Low")</f>
        <v>#NAME?</v>
      </c>
      <c r="X237" t="str">
        <f t="shared" si="12"/>
        <v>Medium Budget</v>
      </c>
      <c r="Y237" s="7">
        <f>VLOOKUP(G237, Lookup_table!B:C,2,0)</f>
        <v>0.2</v>
      </c>
      <c r="Z237" t="str">
        <f t="shared" si="13"/>
        <v>Inefficient Spend</v>
      </c>
      <c r="AA237" t="str">
        <f>VLOOKUP(H237, Lookup_table!E:F,2,0)</f>
        <v>Medium</v>
      </c>
    </row>
    <row r="238" spans="1:27" ht="17.5" customHeight="1" x14ac:dyDescent="0.35">
      <c r="A238" s="1" t="s">
        <v>403</v>
      </c>
      <c r="B238" s="2">
        <v>45341</v>
      </c>
      <c r="C238" s="1" t="s">
        <v>404</v>
      </c>
      <c r="D238" s="1">
        <v>35</v>
      </c>
      <c r="E238" s="1" t="s">
        <v>23</v>
      </c>
      <c r="F238" s="1" t="s">
        <v>50</v>
      </c>
      <c r="G238" s="1" t="s">
        <v>31</v>
      </c>
      <c r="H238" s="1" t="s">
        <v>62</v>
      </c>
      <c r="I238" s="1">
        <v>307.75</v>
      </c>
      <c r="J238" s="1">
        <v>37454</v>
      </c>
      <c r="K238" s="1">
        <v>2046</v>
      </c>
      <c r="L238" s="1">
        <v>25</v>
      </c>
      <c r="M238" s="1">
        <v>3</v>
      </c>
      <c r="N238" s="1">
        <v>5.4627009129999999</v>
      </c>
      <c r="O238" s="1">
        <v>1.221896383</v>
      </c>
      <c r="P238" s="1">
        <f t="shared" si="0"/>
        <v>3</v>
      </c>
      <c r="V238" t="str">
        <f t="shared" si="11"/>
        <v>Low Performer</v>
      </c>
      <c r="W238" t="e" cm="1">
        <f t="array" aca="1" ref="W238" ca="1">_xlfn.IFS(N238&gt;=20, "High",N238&gt;=10, "Medium", N238&lt;10, "Low")</f>
        <v>#NAME?</v>
      </c>
      <c r="X238" t="str">
        <f t="shared" si="12"/>
        <v>Low Budget</v>
      </c>
      <c r="Y238" s="7">
        <f>VLOOKUP(G238, Lookup_table!B:C,2,0)</f>
        <v>1.2</v>
      </c>
      <c r="Z238" t="str">
        <f t="shared" si="13"/>
        <v>Efficient Spend</v>
      </c>
      <c r="AA238" t="str">
        <f>VLOOKUP(H238, Lookup_table!E:F,2,0)</f>
        <v>Medium</v>
      </c>
    </row>
    <row r="239" spans="1:27" ht="17.5" customHeight="1" x14ac:dyDescent="0.35">
      <c r="A239" s="1" t="s">
        <v>405</v>
      </c>
      <c r="B239" s="2">
        <v>45325</v>
      </c>
      <c r="C239" s="1" t="s">
        <v>406</v>
      </c>
      <c r="D239" s="1">
        <v>40</v>
      </c>
      <c r="E239" s="1" t="s">
        <v>29</v>
      </c>
      <c r="F239" s="1" t="s">
        <v>30</v>
      </c>
      <c r="G239" s="1" t="s">
        <v>25</v>
      </c>
      <c r="H239" s="1" t="s">
        <v>26</v>
      </c>
      <c r="I239" s="1">
        <v>1845.67</v>
      </c>
      <c r="J239" s="1">
        <v>29637</v>
      </c>
      <c r="K239" s="1">
        <v>3427</v>
      </c>
      <c r="L239" s="1">
        <v>256</v>
      </c>
      <c r="M239" s="1">
        <v>2</v>
      </c>
      <c r="N239" s="1">
        <v>11.563248639999999</v>
      </c>
      <c r="O239" s="1">
        <v>7.4700904579999996</v>
      </c>
      <c r="P239" s="1">
        <f t="shared" si="0"/>
        <v>2</v>
      </c>
      <c r="V239" t="str">
        <f t="shared" si="11"/>
        <v>Top Performer</v>
      </c>
      <c r="W239" t="e" cm="1">
        <f t="array" aca="1" ref="W239" ca="1">_xlfn.IFS(N239&gt;=20, "High",N239&gt;=10, "Medium", N239&lt;10, "Low")</f>
        <v>#NAME?</v>
      </c>
      <c r="X239" t="str">
        <f t="shared" si="12"/>
        <v>High Budget</v>
      </c>
      <c r="Y239" s="7">
        <f>VLOOKUP(G239, Lookup_table!B:C,2,0)</f>
        <v>0.5</v>
      </c>
      <c r="Z239" t="str">
        <f t="shared" si="13"/>
        <v>Inefficient Spend</v>
      </c>
      <c r="AA239" t="str">
        <f>VLOOKUP(H239, Lookup_table!E:F,2,0)</f>
        <v>High</v>
      </c>
    </row>
    <row r="240" spans="1:27" ht="17.5" customHeight="1" x14ac:dyDescent="0.35">
      <c r="A240" s="1" t="s">
        <v>407</v>
      </c>
      <c r="B240" s="2">
        <v>45623</v>
      </c>
      <c r="C240" s="1" t="s">
        <v>369</v>
      </c>
      <c r="D240" s="1">
        <v>34</v>
      </c>
      <c r="E240" s="1" t="s">
        <v>23</v>
      </c>
      <c r="F240" s="1" t="s">
        <v>50</v>
      </c>
      <c r="G240" s="1" t="s">
        <v>46</v>
      </c>
      <c r="H240" s="1" t="s">
        <v>36</v>
      </c>
      <c r="I240" s="1">
        <v>1466.41</v>
      </c>
      <c r="J240" s="1">
        <v>40785</v>
      </c>
      <c r="K240" s="1">
        <v>294</v>
      </c>
      <c r="L240" s="1">
        <v>309</v>
      </c>
      <c r="M240" s="1">
        <v>5</v>
      </c>
      <c r="N240" s="1">
        <v>0.72085325499999997</v>
      </c>
      <c r="O240" s="1">
        <v>105.1020408</v>
      </c>
      <c r="P240" s="1">
        <f t="shared" si="0"/>
        <v>5</v>
      </c>
      <c r="V240" t="str">
        <f t="shared" si="11"/>
        <v>Low Performer</v>
      </c>
      <c r="W240" t="e" cm="1">
        <f t="array" aca="1" ref="W240" ca="1">_xlfn.IFS(N240&gt;=20, "High",N240&gt;=10, "Medium", N240&lt;10, "Low")</f>
        <v>#NAME?</v>
      </c>
      <c r="X240" t="str">
        <f t="shared" si="12"/>
        <v>High Budget</v>
      </c>
      <c r="Y240" s="7">
        <f>VLOOKUP(G240, Lookup_table!B:C,2,0)</f>
        <v>0.75</v>
      </c>
      <c r="Z240" t="str">
        <f t="shared" si="13"/>
        <v>Inefficient Spend</v>
      </c>
      <c r="AA240" t="str">
        <f>VLOOKUP(H240, Lookup_table!E:F,2,0)</f>
        <v>High</v>
      </c>
    </row>
    <row r="241" spans="1:27" ht="17.5" customHeight="1" x14ac:dyDescent="0.35">
      <c r="A241" s="1" t="s">
        <v>408</v>
      </c>
      <c r="B241" s="2">
        <v>45639</v>
      </c>
      <c r="C241" s="1" t="s">
        <v>409</v>
      </c>
      <c r="D241" s="9">
        <v>41</v>
      </c>
      <c r="E241" s="1" t="s">
        <v>23</v>
      </c>
      <c r="G241" s="1" t="s">
        <v>42</v>
      </c>
      <c r="H241" s="1" t="s">
        <v>26</v>
      </c>
      <c r="I241" s="1">
        <v>394.75</v>
      </c>
      <c r="J241" s="1">
        <v>39706</v>
      </c>
      <c r="K241" s="1">
        <v>3487</v>
      </c>
      <c r="L241" s="1">
        <v>331</v>
      </c>
      <c r="N241" s="1">
        <v>8.7820480530000005</v>
      </c>
      <c r="O241" s="1">
        <v>9.492400344</v>
      </c>
      <c r="P241" s="1">
        <f t="shared" si="0"/>
        <v>3</v>
      </c>
      <c r="V241" t="str">
        <f t="shared" si="11"/>
        <v>Top Performer</v>
      </c>
      <c r="W241" t="e" cm="1">
        <f t="array" aca="1" ref="W241" ca="1">_xlfn.IFS(N241&gt;=20, "High",N241&gt;=10, "Medium", N241&lt;10, "Low")</f>
        <v>#NAME?</v>
      </c>
      <c r="X241" t="str">
        <f t="shared" si="12"/>
        <v>Low Budget</v>
      </c>
      <c r="Y241" s="7">
        <f>VLOOKUP(G241, Lookup_table!B:C,2,0)</f>
        <v>0.3</v>
      </c>
      <c r="Z241" t="str">
        <f t="shared" si="13"/>
        <v>Efficient Spend</v>
      </c>
      <c r="AA241" t="str">
        <f>VLOOKUP(H241, Lookup_table!E:F,2,0)</f>
        <v>High</v>
      </c>
    </row>
    <row r="242" spans="1:27" ht="17.5" customHeight="1" x14ac:dyDescent="0.35">
      <c r="A242" s="1" t="s">
        <v>410</v>
      </c>
      <c r="B242" s="2">
        <v>45360</v>
      </c>
      <c r="C242" s="1" t="s">
        <v>44</v>
      </c>
      <c r="D242" s="1">
        <v>57</v>
      </c>
      <c r="E242" s="1" t="s">
        <v>23</v>
      </c>
      <c r="F242" s="1" t="s">
        <v>50</v>
      </c>
      <c r="G242" s="1" t="s">
        <v>46</v>
      </c>
      <c r="H242" s="1" t="s">
        <v>36</v>
      </c>
      <c r="I242" s="1">
        <v>1661.73</v>
      </c>
      <c r="J242" s="1">
        <v>32350</v>
      </c>
      <c r="K242" s="1">
        <v>4136</v>
      </c>
      <c r="L242" s="1">
        <v>82</v>
      </c>
      <c r="M242" s="1">
        <v>5</v>
      </c>
      <c r="N242" s="1">
        <v>12.785162290000001</v>
      </c>
      <c r="O242" s="1">
        <v>1.9825918760000001</v>
      </c>
      <c r="P242" s="1">
        <f t="shared" si="0"/>
        <v>5</v>
      </c>
      <c r="V242" t="str">
        <f t="shared" si="11"/>
        <v>Low Performer</v>
      </c>
      <c r="W242" t="e" cm="1">
        <f t="array" aca="1" ref="W242" ca="1">_xlfn.IFS(N242&gt;=20, "High",N242&gt;=10, "Medium", N242&lt;10, "Low")</f>
        <v>#NAME?</v>
      </c>
      <c r="X242" t="str">
        <f t="shared" si="12"/>
        <v>High Budget</v>
      </c>
      <c r="Y242" s="7">
        <f>VLOOKUP(G242, Lookup_table!B:C,2,0)</f>
        <v>0.75</v>
      </c>
      <c r="Z242" t="str">
        <f t="shared" si="13"/>
        <v>Efficient Spend</v>
      </c>
      <c r="AA242" t="str">
        <f>VLOOKUP(H242, Lookup_table!E:F,2,0)</f>
        <v>High</v>
      </c>
    </row>
    <row r="243" spans="1:27" ht="17.5" customHeight="1" x14ac:dyDescent="0.35">
      <c r="A243" s="1" t="s">
        <v>411</v>
      </c>
      <c r="B243" s="2">
        <v>45522</v>
      </c>
      <c r="C243" s="1" t="s">
        <v>210</v>
      </c>
      <c r="D243" s="9">
        <v>41</v>
      </c>
      <c r="E243" s="1" t="s">
        <v>23</v>
      </c>
      <c r="G243" s="1" t="s">
        <v>31</v>
      </c>
      <c r="H243" s="1" t="s">
        <v>36</v>
      </c>
      <c r="I243" s="1">
        <v>1903.52</v>
      </c>
      <c r="J243" s="1">
        <v>7720</v>
      </c>
      <c r="K243" s="1">
        <v>2503</v>
      </c>
      <c r="L243" s="1">
        <v>312</v>
      </c>
      <c r="N243" s="1">
        <v>32.422279789999997</v>
      </c>
      <c r="O243" s="1">
        <v>12.46504195</v>
      </c>
      <c r="P243" s="1">
        <f t="shared" si="0"/>
        <v>3</v>
      </c>
      <c r="V243" t="str">
        <f t="shared" si="11"/>
        <v>Average Performer</v>
      </c>
      <c r="W243" t="e" cm="1">
        <f t="array" aca="1" ref="W243" ca="1">_xlfn.IFS(N243&gt;=20, "High",N243&gt;=10, "Medium", N243&lt;10, "Low")</f>
        <v>#NAME?</v>
      </c>
      <c r="X243" t="str">
        <f t="shared" si="12"/>
        <v>High Budget</v>
      </c>
      <c r="Y243" s="7">
        <f>VLOOKUP(G243, Lookup_table!B:C,2,0)</f>
        <v>1.2</v>
      </c>
      <c r="Z243" t="str">
        <f t="shared" si="13"/>
        <v>Efficient Spend</v>
      </c>
      <c r="AA243" t="str">
        <f>VLOOKUP(H243, Lookup_table!E:F,2,0)</f>
        <v>High</v>
      </c>
    </row>
    <row r="244" spans="1:27" ht="17.5" customHeight="1" x14ac:dyDescent="0.35">
      <c r="A244" s="1" t="s">
        <v>412</v>
      </c>
      <c r="B244" s="2">
        <v>45387</v>
      </c>
      <c r="C244" s="1" t="s">
        <v>243</v>
      </c>
      <c r="D244" s="1">
        <v>20</v>
      </c>
      <c r="E244" s="1" t="s">
        <v>23</v>
      </c>
      <c r="F244" s="1" t="s">
        <v>41</v>
      </c>
      <c r="G244" s="1" t="s">
        <v>25</v>
      </c>
      <c r="H244" s="1" t="s">
        <v>36</v>
      </c>
      <c r="I244" s="1">
        <v>598.57000000000005</v>
      </c>
      <c r="J244" s="1">
        <v>30323</v>
      </c>
      <c r="K244" s="1">
        <v>2913</v>
      </c>
      <c r="L244" s="1">
        <v>265</v>
      </c>
      <c r="M244" s="1">
        <v>1</v>
      </c>
      <c r="N244" s="1">
        <v>9.6065692709999997</v>
      </c>
      <c r="O244" s="1">
        <v>9.0971507040000006</v>
      </c>
      <c r="P244" s="1">
        <f t="shared" si="0"/>
        <v>1</v>
      </c>
      <c r="V244" t="str">
        <f t="shared" si="11"/>
        <v>Average Performer</v>
      </c>
      <c r="W244" t="e" cm="1">
        <f t="array" aca="1" ref="W244" ca="1">_xlfn.IFS(N244&gt;=20, "High",N244&gt;=10, "Medium", N244&lt;10, "Low")</f>
        <v>#NAME?</v>
      </c>
      <c r="X244" t="str">
        <f t="shared" si="12"/>
        <v>Medium Budget</v>
      </c>
      <c r="Y244" s="7">
        <f>VLOOKUP(G244, Lookup_table!B:C,2,0)</f>
        <v>0.5</v>
      </c>
      <c r="Z244" t="str">
        <f t="shared" si="13"/>
        <v>Efficient Spend</v>
      </c>
      <c r="AA244" t="str">
        <f>VLOOKUP(H244, Lookup_table!E:F,2,0)</f>
        <v>High</v>
      </c>
    </row>
    <row r="245" spans="1:27" ht="17.5" customHeight="1" x14ac:dyDescent="0.35">
      <c r="A245" s="1" t="s">
        <v>413</v>
      </c>
      <c r="B245" s="2">
        <v>45417</v>
      </c>
      <c r="C245" s="1" t="s">
        <v>414</v>
      </c>
      <c r="D245" s="1">
        <v>40</v>
      </c>
      <c r="E245" s="1" t="s">
        <v>35</v>
      </c>
      <c r="F245" s="1" t="s">
        <v>41</v>
      </c>
      <c r="G245" s="1" t="s">
        <v>31</v>
      </c>
      <c r="H245" s="1" t="s">
        <v>36</v>
      </c>
      <c r="I245" s="1">
        <v>1099.93</v>
      </c>
      <c r="J245" s="1">
        <v>35184</v>
      </c>
      <c r="K245" s="1">
        <v>2740</v>
      </c>
      <c r="L245" s="1">
        <v>31</v>
      </c>
      <c r="M245" s="1">
        <v>3</v>
      </c>
      <c r="N245" s="1">
        <v>7.7876307410000001</v>
      </c>
      <c r="O245" s="1">
        <v>1.131386861</v>
      </c>
      <c r="P245" s="1">
        <f t="shared" si="0"/>
        <v>3</v>
      </c>
      <c r="V245" t="str">
        <f t="shared" si="11"/>
        <v>Low Performer</v>
      </c>
      <c r="W245" t="e" cm="1">
        <f t="array" aca="1" ref="W245" ca="1">_xlfn.IFS(N245&gt;=20, "High",N245&gt;=10, "Medium", N245&lt;10, "Low")</f>
        <v>#NAME?</v>
      </c>
      <c r="X245" t="str">
        <f t="shared" si="12"/>
        <v>High Budget</v>
      </c>
      <c r="Y245" s="7">
        <f>VLOOKUP(G245, Lookup_table!B:C,2,0)</f>
        <v>1.2</v>
      </c>
      <c r="Z245" t="str">
        <f t="shared" si="13"/>
        <v>Efficient Spend</v>
      </c>
      <c r="AA245" t="str">
        <f>VLOOKUP(H245, Lookup_table!E:F,2,0)</f>
        <v>High</v>
      </c>
    </row>
    <row r="246" spans="1:27" ht="17.5" customHeight="1" x14ac:dyDescent="0.35">
      <c r="A246" s="1" t="s">
        <v>415</v>
      </c>
      <c r="B246" s="2">
        <v>45543</v>
      </c>
      <c r="C246" s="1" t="s">
        <v>329</v>
      </c>
      <c r="D246" s="1">
        <v>22</v>
      </c>
      <c r="E246" s="1" t="s">
        <v>23</v>
      </c>
      <c r="F246" s="1" t="s">
        <v>45</v>
      </c>
      <c r="G246" s="1" t="s">
        <v>46</v>
      </c>
      <c r="H246" s="1" t="s">
        <v>62</v>
      </c>
      <c r="I246" s="1">
        <v>1870.23</v>
      </c>
      <c r="J246" s="1">
        <v>4858</v>
      </c>
      <c r="K246" s="1">
        <v>2255</v>
      </c>
      <c r="L246" s="1">
        <v>205</v>
      </c>
      <c r="N246" s="1">
        <v>46.418279130000002</v>
      </c>
      <c r="O246" s="1">
        <v>9.0909090910000003</v>
      </c>
      <c r="P246" s="1">
        <f t="shared" si="0"/>
        <v>3</v>
      </c>
      <c r="V246" t="str">
        <f t="shared" si="11"/>
        <v>Average Performer</v>
      </c>
      <c r="W246" t="e" cm="1">
        <f t="array" aca="1" ref="W246" ca="1">_xlfn.IFS(N246&gt;=20, "High",N246&gt;=10, "Medium", N246&lt;10, "Low")</f>
        <v>#NAME?</v>
      </c>
      <c r="X246" t="str">
        <f t="shared" si="12"/>
        <v>High Budget</v>
      </c>
      <c r="Y246" s="7">
        <f>VLOOKUP(G246, Lookup_table!B:C,2,0)</f>
        <v>0.75</v>
      </c>
      <c r="Z246" t="str">
        <f t="shared" si="13"/>
        <v>Inefficient Spend</v>
      </c>
      <c r="AA246" t="str">
        <f>VLOOKUP(H246, Lookup_table!E:F,2,0)</f>
        <v>Medium</v>
      </c>
    </row>
    <row r="247" spans="1:27" ht="17.5" customHeight="1" x14ac:dyDescent="0.35">
      <c r="A247" s="1" t="s">
        <v>416</v>
      </c>
      <c r="B247" s="2">
        <v>45353</v>
      </c>
      <c r="C247" s="1" t="s">
        <v>329</v>
      </c>
      <c r="D247" s="1">
        <v>64</v>
      </c>
      <c r="E247" s="1" t="s">
        <v>23</v>
      </c>
      <c r="F247" s="1" t="s">
        <v>24</v>
      </c>
      <c r="G247" s="1" t="s">
        <v>61</v>
      </c>
      <c r="H247" s="1" t="s">
        <v>32</v>
      </c>
      <c r="I247" s="1">
        <v>699.4</v>
      </c>
      <c r="J247" s="1">
        <v>16566</v>
      </c>
      <c r="K247" s="1">
        <v>4254</v>
      </c>
      <c r="L247" s="1">
        <v>29</v>
      </c>
      <c r="M247" s="1">
        <v>1</v>
      </c>
      <c r="N247" s="1">
        <v>25.679101769999999</v>
      </c>
      <c r="O247" s="1">
        <v>0.68171133100000003</v>
      </c>
      <c r="P247" s="1">
        <f t="shared" si="0"/>
        <v>1</v>
      </c>
      <c r="V247" t="str">
        <f t="shared" si="11"/>
        <v>Low Performer</v>
      </c>
      <c r="W247" t="e" cm="1">
        <f t="array" aca="1" ref="W247" ca="1">_xlfn.IFS(N247&gt;=20, "High",N247&gt;=10, "Medium", N247&lt;10, "Low")</f>
        <v>#NAME?</v>
      </c>
      <c r="X247" t="str">
        <f t="shared" si="12"/>
        <v>Medium Budget</v>
      </c>
      <c r="Y247" s="7">
        <f>VLOOKUP(G247, Lookup_table!B:C,2,0)</f>
        <v>0.2</v>
      </c>
      <c r="Z247" t="str">
        <f t="shared" si="13"/>
        <v>Efficient Spend</v>
      </c>
      <c r="AA247" t="str">
        <f>VLOOKUP(H247, Lookup_table!E:F,2,0)</f>
        <v>Medium</v>
      </c>
    </row>
    <row r="248" spans="1:27" ht="17.5" customHeight="1" x14ac:dyDescent="0.35">
      <c r="A248" s="1" t="s">
        <v>417</v>
      </c>
      <c r="B248" s="2">
        <v>45642</v>
      </c>
      <c r="C248" s="1" t="s">
        <v>418</v>
      </c>
      <c r="D248" s="1">
        <v>51</v>
      </c>
      <c r="E248" s="1" t="s">
        <v>35</v>
      </c>
      <c r="F248" s="1" t="s">
        <v>45</v>
      </c>
      <c r="G248" s="1" t="s">
        <v>25</v>
      </c>
      <c r="H248" s="1" t="s">
        <v>62</v>
      </c>
      <c r="I248" s="1">
        <v>758.46</v>
      </c>
      <c r="J248" s="1">
        <v>34903</v>
      </c>
      <c r="K248" s="1">
        <v>1492</v>
      </c>
      <c r="L248" s="1">
        <v>340</v>
      </c>
      <c r="M248" s="1">
        <v>5</v>
      </c>
      <c r="N248" s="1">
        <v>4.2747041799999996</v>
      </c>
      <c r="O248" s="1">
        <v>22.788203750000001</v>
      </c>
      <c r="P248" s="1">
        <f t="shared" si="0"/>
        <v>5</v>
      </c>
      <c r="V248" t="str">
        <f t="shared" si="11"/>
        <v>Average Performer</v>
      </c>
      <c r="W248" t="e" cm="1">
        <f t="array" aca="1" ref="W248" ca="1">_xlfn.IFS(N248&gt;=20, "High",N248&gt;=10, "Medium", N248&lt;10, "Low")</f>
        <v>#NAME?</v>
      </c>
      <c r="X248" t="str">
        <f t="shared" si="12"/>
        <v>Medium Budget</v>
      </c>
      <c r="Y248" s="7">
        <f>VLOOKUP(G248, Lookup_table!B:C,2,0)</f>
        <v>0.5</v>
      </c>
      <c r="Z248" t="str">
        <f t="shared" si="13"/>
        <v>Inefficient Spend</v>
      </c>
      <c r="AA248" t="str">
        <f>VLOOKUP(H248, Lookup_table!E:F,2,0)</f>
        <v>Medium</v>
      </c>
    </row>
    <row r="249" spans="1:27" ht="17.5" customHeight="1" x14ac:dyDescent="0.35">
      <c r="A249" s="1" t="s">
        <v>419</v>
      </c>
      <c r="B249" s="2">
        <v>45370</v>
      </c>
      <c r="C249" s="1" t="s">
        <v>152</v>
      </c>
      <c r="D249" s="1">
        <v>57</v>
      </c>
      <c r="E249" s="1" t="s">
        <v>29</v>
      </c>
      <c r="F249" s="1" t="s">
        <v>24</v>
      </c>
      <c r="G249" s="1" t="s">
        <v>25</v>
      </c>
      <c r="H249" s="1" t="s">
        <v>26</v>
      </c>
      <c r="I249" s="1">
        <v>411.03</v>
      </c>
      <c r="J249" s="1">
        <v>5499</v>
      </c>
      <c r="K249" s="1">
        <v>1550</v>
      </c>
      <c r="L249" s="1">
        <v>18</v>
      </c>
      <c r="M249" s="1">
        <v>3</v>
      </c>
      <c r="N249" s="1">
        <v>28.186943079999999</v>
      </c>
      <c r="O249" s="1">
        <v>1.161290323</v>
      </c>
      <c r="P249" s="1">
        <f t="shared" si="0"/>
        <v>3</v>
      </c>
      <c r="V249" t="str">
        <f t="shared" si="11"/>
        <v>Low Performer</v>
      </c>
      <c r="W249" t="e" cm="1">
        <f t="array" aca="1" ref="W249" ca="1">_xlfn.IFS(N249&gt;=20, "High",N249&gt;=10, "Medium", N249&lt;10, "Low")</f>
        <v>#NAME?</v>
      </c>
      <c r="X249" t="str">
        <f t="shared" si="12"/>
        <v>Low Budget</v>
      </c>
      <c r="Y249" s="7">
        <f>VLOOKUP(G249, Lookup_table!B:C,2,0)</f>
        <v>0.5</v>
      </c>
      <c r="Z249" t="str">
        <f t="shared" si="13"/>
        <v>Efficient Spend</v>
      </c>
      <c r="AA249" t="str">
        <f>VLOOKUP(H249, Lookup_table!E:F,2,0)</f>
        <v>High</v>
      </c>
    </row>
    <row r="250" spans="1:27" ht="17.5" customHeight="1" x14ac:dyDescent="0.35">
      <c r="A250" s="1" t="s">
        <v>420</v>
      </c>
      <c r="B250" s="2">
        <v>45656</v>
      </c>
      <c r="C250" s="1" t="s">
        <v>354</v>
      </c>
      <c r="D250" s="1">
        <v>50</v>
      </c>
      <c r="E250" s="1" t="s">
        <v>35</v>
      </c>
      <c r="F250" s="1" t="s">
        <v>24</v>
      </c>
      <c r="G250" s="1" t="s">
        <v>31</v>
      </c>
      <c r="H250" s="1" t="s">
        <v>26</v>
      </c>
      <c r="I250" s="1">
        <v>946.44</v>
      </c>
      <c r="J250" s="1">
        <v>30703</v>
      </c>
      <c r="K250" s="1">
        <v>2607</v>
      </c>
      <c r="L250" s="1">
        <v>289</v>
      </c>
      <c r="M250" s="1">
        <v>4</v>
      </c>
      <c r="N250" s="1">
        <v>8.4910269350000007</v>
      </c>
      <c r="O250" s="1">
        <v>11.08553893</v>
      </c>
      <c r="P250" s="1">
        <f t="shared" si="0"/>
        <v>4</v>
      </c>
      <c r="V250" t="str">
        <f t="shared" si="11"/>
        <v>Average Performer</v>
      </c>
      <c r="W250" t="e" cm="1">
        <f t="array" aca="1" ref="W250" ca="1">_xlfn.IFS(N250&gt;=20, "High",N250&gt;=10, "Medium", N250&lt;10, "Low")</f>
        <v>#NAME?</v>
      </c>
      <c r="X250" t="str">
        <f t="shared" si="12"/>
        <v>Medium Budget</v>
      </c>
      <c r="Y250" s="7">
        <f>VLOOKUP(G250, Lookup_table!B:C,2,0)</f>
        <v>1.2</v>
      </c>
      <c r="Z250" t="str">
        <f t="shared" si="13"/>
        <v>Efficient Spend</v>
      </c>
      <c r="AA250" t="str">
        <f>VLOOKUP(H250, Lookup_table!E:F,2,0)</f>
        <v>High</v>
      </c>
    </row>
    <row r="251" spans="1:27" ht="17.5" customHeight="1" x14ac:dyDescent="0.35">
      <c r="A251" s="1" t="s">
        <v>421</v>
      </c>
      <c r="B251" s="2">
        <v>45368</v>
      </c>
      <c r="C251" s="1" t="s">
        <v>195</v>
      </c>
      <c r="D251" s="1">
        <v>42</v>
      </c>
      <c r="E251" s="1" t="s">
        <v>23</v>
      </c>
      <c r="F251" s="1" t="s">
        <v>57</v>
      </c>
      <c r="G251" s="1" t="s">
        <v>25</v>
      </c>
      <c r="H251" s="1" t="s">
        <v>26</v>
      </c>
      <c r="I251" s="1">
        <v>1811.41</v>
      </c>
      <c r="J251" s="1">
        <v>23980</v>
      </c>
      <c r="K251" s="1">
        <v>1485</v>
      </c>
      <c r="L251" s="1">
        <v>384</v>
      </c>
      <c r="N251" s="1">
        <v>6.1926605500000003</v>
      </c>
      <c r="O251" s="1">
        <v>25.858585860000002</v>
      </c>
      <c r="P251" s="1">
        <f t="shared" si="0"/>
        <v>3</v>
      </c>
      <c r="V251" t="str">
        <f t="shared" si="11"/>
        <v>Average Performer</v>
      </c>
      <c r="W251" t="e" cm="1">
        <f t="array" aca="1" ref="W251" ca="1">_xlfn.IFS(N251&gt;=20, "High",N251&gt;=10, "Medium", N251&lt;10, "Low")</f>
        <v>#NAME?</v>
      </c>
      <c r="X251" t="str">
        <f t="shared" si="12"/>
        <v>High Budget</v>
      </c>
      <c r="Y251" s="7">
        <f>VLOOKUP(G251, Lookup_table!B:C,2,0)</f>
        <v>0.5</v>
      </c>
      <c r="Z251" t="str">
        <f t="shared" si="13"/>
        <v>Inefficient Spend</v>
      </c>
      <c r="AA251" t="str">
        <f>VLOOKUP(H251, Lookup_table!E:F,2,0)</f>
        <v>High</v>
      </c>
    </row>
    <row r="252" spans="1:27" ht="17.5" customHeight="1" x14ac:dyDescent="0.35">
      <c r="A252" s="1" t="s">
        <v>422</v>
      </c>
      <c r="B252" s="2">
        <v>45414</v>
      </c>
      <c r="C252" s="1" t="s">
        <v>423</v>
      </c>
      <c r="D252" s="1">
        <v>28</v>
      </c>
      <c r="E252" s="1" t="s">
        <v>35</v>
      </c>
      <c r="F252" s="1" t="s">
        <v>57</v>
      </c>
      <c r="G252" s="1" t="s">
        <v>42</v>
      </c>
      <c r="H252" s="1" t="s">
        <v>32</v>
      </c>
      <c r="I252" s="1">
        <v>1934.61</v>
      </c>
      <c r="J252" s="1">
        <v>7195</v>
      </c>
      <c r="K252" s="1">
        <v>3150</v>
      </c>
      <c r="L252" s="1">
        <v>324</v>
      </c>
      <c r="N252" s="1">
        <v>43.780403059999998</v>
      </c>
      <c r="O252" s="1">
        <v>10.28571429</v>
      </c>
      <c r="P252" s="1">
        <f t="shared" si="0"/>
        <v>3</v>
      </c>
      <c r="V252" t="str">
        <f t="shared" si="11"/>
        <v>Top Performer</v>
      </c>
      <c r="W252" t="e" cm="1">
        <f t="array" aca="1" ref="W252" ca="1">_xlfn.IFS(N252&gt;=20, "High",N252&gt;=10, "Medium", N252&lt;10, "Low")</f>
        <v>#NAME?</v>
      </c>
      <c r="X252" t="str">
        <f t="shared" si="12"/>
        <v>High Budget</v>
      </c>
      <c r="Y252" s="7">
        <f>VLOOKUP(G252, Lookup_table!B:C,2,0)</f>
        <v>0.3</v>
      </c>
      <c r="Z252" t="str">
        <f t="shared" si="13"/>
        <v>Inefficient Spend</v>
      </c>
      <c r="AA252" t="str">
        <f>VLOOKUP(H252, Lookup_table!E:F,2,0)</f>
        <v>Medium</v>
      </c>
    </row>
    <row r="253" spans="1:27" ht="17.5" customHeight="1" x14ac:dyDescent="0.35">
      <c r="A253" s="1" t="s">
        <v>424</v>
      </c>
      <c r="B253" s="2">
        <v>45645</v>
      </c>
      <c r="C253" s="1" t="s">
        <v>95</v>
      </c>
      <c r="D253" s="1">
        <v>34</v>
      </c>
      <c r="E253" s="1" t="s">
        <v>35</v>
      </c>
      <c r="F253" s="1" t="s">
        <v>50</v>
      </c>
      <c r="G253" s="1" t="s">
        <v>46</v>
      </c>
      <c r="H253" s="1" t="s">
        <v>32</v>
      </c>
      <c r="I253" s="1">
        <v>359.82</v>
      </c>
      <c r="J253" s="1">
        <v>29915</v>
      </c>
      <c r="K253" s="1">
        <v>1376</v>
      </c>
      <c r="L253" s="1">
        <v>360</v>
      </c>
      <c r="M253" s="1">
        <v>3</v>
      </c>
      <c r="N253" s="1">
        <v>4.599699148</v>
      </c>
      <c r="O253" s="1">
        <v>26.162790699999999</v>
      </c>
      <c r="P253" s="1">
        <f t="shared" si="0"/>
        <v>3</v>
      </c>
      <c r="V253" t="str">
        <f t="shared" si="11"/>
        <v>Average Performer</v>
      </c>
      <c r="W253" t="e" cm="1">
        <f t="array" aca="1" ref="W253" ca="1">_xlfn.IFS(N253&gt;=20, "High",N253&gt;=10, "Medium", N253&lt;10, "Low")</f>
        <v>#NAME?</v>
      </c>
      <c r="X253" t="str">
        <f t="shared" si="12"/>
        <v>Low Budget</v>
      </c>
      <c r="Y253" s="7">
        <f>VLOOKUP(G253, Lookup_table!B:C,2,0)</f>
        <v>0.75</v>
      </c>
      <c r="Z253" t="str">
        <f t="shared" si="13"/>
        <v>Efficient Spend</v>
      </c>
      <c r="AA253" t="str">
        <f>VLOOKUP(H253, Lookup_table!E:F,2,0)</f>
        <v>Medium</v>
      </c>
    </row>
    <row r="254" spans="1:27" ht="17.5" customHeight="1" x14ac:dyDescent="0.35">
      <c r="A254" s="1" t="s">
        <v>425</v>
      </c>
      <c r="B254" s="2">
        <v>45300</v>
      </c>
      <c r="C254" s="1" t="s">
        <v>126</v>
      </c>
      <c r="D254" s="1">
        <v>59</v>
      </c>
      <c r="E254" s="1" t="s">
        <v>29</v>
      </c>
      <c r="F254" s="1" t="s">
        <v>30</v>
      </c>
      <c r="G254" s="1" t="s">
        <v>31</v>
      </c>
      <c r="H254" s="1" t="s">
        <v>26</v>
      </c>
      <c r="I254" s="1">
        <v>1861.2</v>
      </c>
      <c r="J254" s="1">
        <v>22153</v>
      </c>
      <c r="K254" s="1">
        <v>1966</v>
      </c>
      <c r="L254" s="1">
        <v>127</v>
      </c>
      <c r="M254" s="1">
        <v>2</v>
      </c>
      <c r="N254" s="1">
        <v>8.8746445180000002</v>
      </c>
      <c r="O254" s="1">
        <v>6.4598168869999997</v>
      </c>
      <c r="P254" s="1">
        <f t="shared" si="0"/>
        <v>2</v>
      </c>
      <c r="V254" t="str">
        <f t="shared" si="11"/>
        <v>Average Performer</v>
      </c>
      <c r="W254" t="e" cm="1">
        <f t="array" aca="1" ref="W254" ca="1">_xlfn.IFS(N254&gt;=20, "High",N254&gt;=10, "Medium", N254&lt;10, "Low")</f>
        <v>#NAME?</v>
      </c>
      <c r="X254" t="str">
        <f t="shared" si="12"/>
        <v>High Budget</v>
      </c>
      <c r="Y254" s="7">
        <f>VLOOKUP(G254, Lookup_table!B:C,2,0)</f>
        <v>1.2</v>
      </c>
      <c r="Z254" t="str">
        <f t="shared" si="13"/>
        <v>Efficient Spend</v>
      </c>
      <c r="AA254" t="str">
        <f>VLOOKUP(H254, Lookup_table!E:F,2,0)</f>
        <v>High</v>
      </c>
    </row>
    <row r="255" spans="1:27" ht="17.5" customHeight="1" x14ac:dyDescent="0.35">
      <c r="A255" s="1" t="s">
        <v>426</v>
      </c>
      <c r="B255" s="2">
        <v>45472</v>
      </c>
      <c r="C255" s="1" t="s">
        <v>59</v>
      </c>
      <c r="D255" s="1">
        <v>50</v>
      </c>
      <c r="E255" s="1" t="s">
        <v>23</v>
      </c>
      <c r="F255" s="1" t="s">
        <v>41</v>
      </c>
      <c r="G255" s="1" t="s">
        <v>46</v>
      </c>
      <c r="H255" s="1" t="s">
        <v>26</v>
      </c>
      <c r="I255" s="1">
        <v>431.94</v>
      </c>
      <c r="J255" s="1">
        <v>13414</v>
      </c>
      <c r="K255" s="1">
        <v>1643</v>
      </c>
      <c r="L255" s="1">
        <v>22</v>
      </c>
      <c r="M255" s="1">
        <v>4</v>
      </c>
      <c r="N255" s="1">
        <v>12.248397199999999</v>
      </c>
      <c r="O255" s="1">
        <v>1.3390139990000001</v>
      </c>
      <c r="P255" s="1">
        <f t="shared" si="0"/>
        <v>4</v>
      </c>
      <c r="V255" t="str">
        <f t="shared" si="11"/>
        <v>Low Performer</v>
      </c>
      <c r="W255" t="e" cm="1">
        <f t="array" aca="1" ref="W255" ca="1">_xlfn.IFS(N255&gt;=20, "High",N255&gt;=10, "Medium", N255&lt;10, "Low")</f>
        <v>#NAME?</v>
      </c>
      <c r="X255" t="str">
        <f t="shared" si="12"/>
        <v>Low Budget</v>
      </c>
      <c r="Y255" s="7">
        <f>VLOOKUP(G255, Lookup_table!B:C,2,0)</f>
        <v>0.75</v>
      </c>
      <c r="Z255" t="str">
        <f t="shared" si="13"/>
        <v>Efficient Spend</v>
      </c>
      <c r="AA255" t="str">
        <f>VLOOKUP(H255, Lookup_table!E:F,2,0)</f>
        <v>High</v>
      </c>
    </row>
    <row r="256" spans="1:27" ht="17.5" customHeight="1" x14ac:dyDescent="0.35">
      <c r="A256" s="1" t="s">
        <v>427</v>
      </c>
      <c r="B256" s="2">
        <v>45386</v>
      </c>
      <c r="C256" s="1" t="s">
        <v>428</v>
      </c>
      <c r="D256" s="1">
        <v>61</v>
      </c>
      <c r="E256" s="1" t="s">
        <v>29</v>
      </c>
      <c r="F256" s="1" t="s">
        <v>24</v>
      </c>
      <c r="G256" s="1" t="s">
        <v>25</v>
      </c>
      <c r="H256" s="1" t="s">
        <v>36</v>
      </c>
      <c r="I256" s="1">
        <v>1762.48</v>
      </c>
      <c r="J256" s="1">
        <v>32047</v>
      </c>
      <c r="K256" s="1">
        <v>3075</v>
      </c>
      <c r="L256" s="1">
        <v>15</v>
      </c>
      <c r="N256" s="1">
        <v>9.5952819300000005</v>
      </c>
      <c r="O256" s="1">
        <v>0.487804878</v>
      </c>
      <c r="P256" s="1">
        <f t="shared" si="0"/>
        <v>3</v>
      </c>
      <c r="V256" t="str">
        <f t="shared" si="11"/>
        <v>Low Performer</v>
      </c>
      <c r="W256" t="e" cm="1">
        <f t="array" aca="1" ref="W256" ca="1">_xlfn.IFS(N256&gt;=20, "High",N256&gt;=10, "Medium", N256&lt;10, "Low")</f>
        <v>#NAME?</v>
      </c>
      <c r="X256" t="str">
        <f t="shared" si="12"/>
        <v>High Budget</v>
      </c>
      <c r="Y256" s="7">
        <f>VLOOKUP(G256, Lookup_table!B:C,2,0)</f>
        <v>0.5</v>
      </c>
      <c r="Z256" t="str">
        <f t="shared" si="13"/>
        <v>Inefficient Spend</v>
      </c>
      <c r="AA256" t="str">
        <f>VLOOKUP(H256, Lookup_table!E:F,2,0)</f>
        <v>High</v>
      </c>
    </row>
    <row r="257" spans="1:27" ht="17.5" customHeight="1" x14ac:dyDescent="0.35">
      <c r="A257" s="1" t="s">
        <v>429</v>
      </c>
      <c r="B257" s="2">
        <v>45645</v>
      </c>
      <c r="C257" s="1" t="s">
        <v>113</v>
      </c>
      <c r="D257" s="1">
        <v>37</v>
      </c>
      <c r="E257" s="1" t="s">
        <v>35</v>
      </c>
      <c r="F257" s="1" t="s">
        <v>30</v>
      </c>
      <c r="G257" s="1" t="s">
        <v>46</v>
      </c>
      <c r="H257" s="1" t="s">
        <v>36</v>
      </c>
      <c r="I257" s="1">
        <v>1601.81</v>
      </c>
      <c r="J257" s="1">
        <v>26123</v>
      </c>
      <c r="K257" s="1">
        <v>4979</v>
      </c>
      <c r="L257" s="1">
        <v>229</v>
      </c>
      <c r="M257" s="1">
        <v>2</v>
      </c>
      <c r="N257" s="1">
        <v>19.059832329999999</v>
      </c>
      <c r="O257" s="1">
        <v>4.5993171320000004</v>
      </c>
      <c r="P257" s="1">
        <f t="shared" ref="P257:P501" si="14">IF(ISBLANK(M257), $S$2, M257)</f>
        <v>2</v>
      </c>
      <c r="V257" t="str">
        <f t="shared" si="11"/>
        <v>Top Performer</v>
      </c>
      <c r="W257" t="e" cm="1">
        <f t="array" aca="1" ref="W257" ca="1">_xlfn.IFS(N257&gt;=20, "High",N257&gt;=10, "Medium", N257&lt;10, "Low")</f>
        <v>#NAME?</v>
      </c>
      <c r="X257" t="str">
        <f t="shared" si="12"/>
        <v>High Budget</v>
      </c>
      <c r="Y257" s="7">
        <f>VLOOKUP(G257, Lookup_table!B:C,2,0)</f>
        <v>0.75</v>
      </c>
      <c r="Z257" t="str">
        <f t="shared" si="13"/>
        <v>Efficient Spend</v>
      </c>
      <c r="AA257" t="str">
        <f>VLOOKUP(H257, Lookup_table!E:F,2,0)</f>
        <v>High</v>
      </c>
    </row>
    <row r="258" spans="1:27" ht="17.5" customHeight="1" x14ac:dyDescent="0.35">
      <c r="A258" s="1" t="s">
        <v>430</v>
      </c>
      <c r="B258" s="2">
        <v>45499</v>
      </c>
      <c r="C258" s="1" t="s">
        <v>212</v>
      </c>
      <c r="D258" s="1">
        <v>36</v>
      </c>
      <c r="E258" s="1" t="s">
        <v>23</v>
      </c>
      <c r="F258" s="1" t="s">
        <v>24</v>
      </c>
      <c r="G258" s="1" t="s">
        <v>31</v>
      </c>
      <c r="H258" s="1" t="s">
        <v>62</v>
      </c>
      <c r="I258" s="1">
        <v>109.48</v>
      </c>
      <c r="J258" s="1">
        <v>27149</v>
      </c>
      <c r="K258" s="1">
        <v>2463</v>
      </c>
      <c r="L258" s="1">
        <v>229</v>
      </c>
      <c r="M258" s="1">
        <v>3</v>
      </c>
      <c r="N258" s="1">
        <v>9.0721573539999998</v>
      </c>
      <c r="O258" s="1">
        <v>9.2976045470000006</v>
      </c>
      <c r="P258" s="1">
        <f t="shared" si="14"/>
        <v>3</v>
      </c>
      <c r="V258" t="str">
        <f t="shared" ref="V258:V321" si="15">IF(AND(L258&gt;200,K258&gt;3000),"Top Performer", IF(AND(L258&gt;=100,K258&gt;=1000),"Average Performer","Low Performer"))</f>
        <v>Average Performer</v>
      </c>
      <c r="W258" t="e" cm="1">
        <f t="array" aca="1" ref="W258" ca="1">_xlfn.IFS(N258&gt;=20, "High",N258&gt;=10, "Medium", N258&lt;10, "Low")</f>
        <v>#NAME?</v>
      </c>
      <c r="X258" t="str">
        <f t="shared" ref="X258:X321" si="16">IF(I258&gt;1000, "High Budget",IF(I258&gt;=500, "Medium Budget", "Low Budget"))</f>
        <v>Low Budget</v>
      </c>
      <c r="Y258" s="7">
        <f>VLOOKUP(G258, Lookup_table!B:C,2,0)</f>
        <v>1.2</v>
      </c>
      <c r="Z258" t="str">
        <f t="shared" ref="Z258:Z321" si="17">IF(I258/K258&lt;Y258, "Efficient Spend", "Inefficient Spend")</f>
        <v>Efficient Spend</v>
      </c>
      <c r="AA258" t="str">
        <f>VLOOKUP(H258, Lookup_table!E:F,2,0)</f>
        <v>Medium</v>
      </c>
    </row>
    <row r="259" spans="1:27" ht="17.5" customHeight="1" x14ac:dyDescent="0.35">
      <c r="A259" s="1" t="s">
        <v>431</v>
      </c>
      <c r="B259" s="2">
        <v>45476</v>
      </c>
      <c r="C259" s="1" t="s">
        <v>155</v>
      </c>
      <c r="D259" s="1">
        <v>62</v>
      </c>
      <c r="E259" s="1" t="s">
        <v>35</v>
      </c>
      <c r="F259" s="1" t="s">
        <v>41</v>
      </c>
      <c r="G259" s="1" t="s">
        <v>31</v>
      </c>
      <c r="H259" s="1" t="s">
        <v>32</v>
      </c>
      <c r="I259" s="1">
        <v>776.48</v>
      </c>
      <c r="J259" s="1">
        <v>34102</v>
      </c>
      <c r="K259" s="1">
        <v>3834</v>
      </c>
      <c r="L259" s="1">
        <v>81</v>
      </c>
      <c r="M259" s="1">
        <v>2</v>
      </c>
      <c r="N259" s="1">
        <v>11.242742359999999</v>
      </c>
      <c r="O259" s="1">
        <v>2.1126760560000002</v>
      </c>
      <c r="P259" s="1">
        <f t="shared" si="14"/>
        <v>2</v>
      </c>
      <c r="V259" t="str">
        <f t="shared" si="15"/>
        <v>Low Performer</v>
      </c>
      <c r="W259" t="e" cm="1">
        <f t="array" aca="1" ref="W259" ca="1">_xlfn.IFS(N259&gt;=20, "High",N259&gt;=10, "Medium", N259&lt;10, "Low")</f>
        <v>#NAME?</v>
      </c>
      <c r="X259" t="str">
        <f t="shared" si="16"/>
        <v>Medium Budget</v>
      </c>
      <c r="Y259" s="7">
        <f>VLOOKUP(G259, Lookup_table!B:C,2,0)</f>
        <v>1.2</v>
      </c>
      <c r="Z259" t="str">
        <f t="shared" si="17"/>
        <v>Efficient Spend</v>
      </c>
      <c r="AA259" t="str">
        <f>VLOOKUP(H259, Lookup_table!E:F,2,0)</f>
        <v>Medium</v>
      </c>
    </row>
    <row r="260" spans="1:27" ht="17.5" customHeight="1" x14ac:dyDescent="0.35">
      <c r="A260" s="1" t="s">
        <v>432</v>
      </c>
      <c r="B260" s="2">
        <v>45473</v>
      </c>
      <c r="C260" s="1" t="s">
        <v>378</v>
      </c>
      <c r="D260" s="1">
        <v>36</v>
      </c>
      <c r="E260" s="1" t="s">
        <v>23</v>
      </c>
      <c r="F260" s="1" t="s">
        <v>57</v>
      </c>
      <c r="G260" s="1" t="s">
        <v>46</v>
      </c>
      <c r="H260" s="1" t="s">
        <v>36</v>
      </c>
      <c r="I260" s="1">
        <v>615.96</v>
      </c>
      <c r="J260" s="1">
        <v>28673</v>
      </c>
      <c r="K260" s="1">
        <v>2909</v>
      </c>
      <c r="L260" s="1">
        <v>5</v>
      </c>
      <c r="N260" s="1">
        <v>10.14543299</v>
      </c>
      <c r="O260" s="1">
        <v>0.171880371</v>
      </c>
      <c r="P260" s="1">
        <f t="shared" si="14"/>
        <v>3</v>
      </c>
      <c r="V260" t="str">
        <f t="shared" si="15"/>
        <v>Low Performer</v>
      </c>
      <c r="W260" t="e" cm="1">
        <f t="array" aca="1" ref="W260" ca="1">_xlfn.IFS(N260&gt;=20, "High",N260&gt;=10, "Medium", N260&lt;10, "Low")</f>
        <v>#NAME?</v>
      </c>
      <c r="X260" t="str">
        <f t="shared" si="16"/>
        <v>Medium Budget</v>
      </c>
      <c r="Y260" s="7">
        <f>VLOOKUP(G260, Lookup_table!B:C,2,0)</f>
        <v>0.75</v>
      </c>
      <c r="Z260" t="str">
        <f t="shared" si="17"/>
        <v>Efficient Spend</v>
      </c>
      <c r="AA260" t="str">
        <f>VLOOKUP(H260, Lookup_table!E:F,2,0)</f>
        <v>High</v>
      </c>
    </row>
    <row r="261" spans="1:27" ht="17.5" customHeight="1" x14ac:dyDescent="0.35">
      <c r="A261" s="1" t="s">
        <v>433</v>
      </c>
      <c r="B261" s="2">
        <v>45326</v>
      </c>
      <c r="C261" s="1" t="s">
        <v>22</v>
      </c>
      <c r="D261" s="1">
        <v>18</v>
      </c>
      <c r="E261" s="1" t="s">
        <v>35</v>
      </c>
      <c r="F261" s="1" t="s">
        <v>45</v>
      </c>
      <c r="G261" s="1" t="s">
        <v>42</v>
      </c>
      <c r="H261" s="1" t="s">
        <v>36</v>
      </c>
      <c r="I261" s="1">
        <v>1706.15</v>
      </c>
      <c r="J261" s="1">
        <v>24320</v>
      </c>
      <c r="K261" s="1">
        <v>19</v>
      </c>
      <c r="L261" s="1">
        <v>332</v>
      </c>
      <c r="N261" s="1">
        <v>7.8125E-2</v>
      </c>
      <c r="O261" s="1">
        <v>1747.3684209999999</v>
      </c>
      <c r="P261" s="1">
        <f t="shared" si="14"/>
        <v>3</v>
      </c>
      <c r="V261" t="str">
        <f t="shared" si="15"/>
        <v>Low Performer</v>
      </c>
      <c r="W261" t="e" cm="1">
        <f t="array" aca="1" ref="W261" ca="1">_xlfn.IFS(N261&gt;=20, "High",N261&gt;=10, "Medium", N261&lt;10, "Low")</f>
        <v>#NAME?</v>
      </c>
      <c r="X261" t="str">
        <f t="shared" si="16"/>
        <v>High Budget</v>
      </c>
      <c r="Y261" s="7">
        <f>VLOOKUP(G261, Lookup_table!B:C,2,0)</f>
        <v>0.3</v>
      </c>
      <c r="Z261" t="str">
        <f t="shared" si="17"/>
        <v>Inefficient Spend</v>
      </c>
      <c r="AA261" t="str">
        <f>VLOOKUP(H261, Lookup_table!E:F,2,0)</f>
        <v>High</v>
      </c>
    </row>
    <row r="262" spans="1:27" ht="17.5" customHeight="1" x14ac:dyDescent="0.35">
      <c r="A262" s="1" t="s">
        <v>434</v>
      </c>
      <c r="B262" s="2">
        <v>45560</v>
      </c>
      <c r="C262" s="1" t="s">
        <v>109</v>
      </c>
      <c r="D262" s="1">
        <v>30</v>
      </c>
      <c r="E262" s="1" t="s">
        <v>35</v>
      </c>
      <c r="F262" s="1" t="s">
        <v>57</v>
      </c>
      <c r="G262" s="1" t="s">
        <v>31</v>
      </c>
      <c r="H262" s="1" t="s">
        <v>26</v>
      </c>
      <c r="I262" s="1">
        <v>517.16</v>
      </c>
      <c r="J262" s="1">
        <v>47225</v>
      </c>
      <c r="K262" s="1">
        <v>983</v>
      </c>
      <c r="L262" s="1">
        <v>254</v>
      </c>
      <c r="M262" s="1">
        <v>2</v>
      </c>
      <c r="N262" s="1">
        <v>2.0815246159999998</v>
      </c>
      <c r="O262" s="1">
        <v>25.839267549999999</v>
      </c>
      <c r="P262" s="1">
        <f t="shared" si="14"/>
        <v>2</v>
      </c>
      <c r="V262" t="str">
        <f t="shared" si="15"/>
        <v>Low Performer</v>
      </c>
      <c r="W262" t="e" cm="1">
        <f t="array" aca="1" ref="W262" ca="1">_xlfn.IFS(N262&gt;=20, "High",N262&gt;=10, "Medium", N262&lt;10, "Low")</f>
        <v>#NAME?</v>
      </c>
      <c r="X262" t="str">
        <f t="shared" si="16"/>
        <v>Medium Budget</v>
      </c>
      <c r="Y262" s="7">
        <f>VLOOKUP(G262, Lookup_table!B:C,2,0)</f>
        <v>1.2</v>
      </c>
      <c r="Z262" t="str">
        <f t="shared" si="17"/>
        <v>Efficient Spend</v>
      </c>
      <c r="AA262" t="str">
        <f>VLOOKUP(H262, Lookup_table!E:F,2,0)</f>
        <v>High</v>
      </c>
    </row>
    <row r="263" spans="1:27" ht="17.5" customHeight="1" x14ac:dyDescent="0.35">
      <c r="A263" s="1" t="s">
        <v>435</v>
      </c>
      <c r="B263" s="2">
        <v>45552</v>
      </c>
      <c r="C263" s="1" t="s">
        <v>279</v>
      </c>
      <c r="D263" s="1">
        <v>63</v>
      </c>
      <c r="E263" s="1" t="s">
        <v>29</v>
      </c>
      <c r="F263" s="1" t="s">
        <v>30</v>
      </c>
      <c r="G263" s="1" t="s">
        <v>61</v>
      </c>
      <c r="H263" s="1" t="s">
        <v>36</v>
      </c>
      <c r="I263" s="1">
        <v>948.55</v>
      </c>
      <c r="J263" s="1">
        <v>41270</v>
      </c>
      <c r="K263" s="1">
        <v>3422</v>
      </c>
      <c r="L263" s="1">
        <v>106</v>
      </c>
      <c r="M263" s="1">
        <v>3</v>
      </c>
      <c r="N263" s="1">
        <v>8.2917373390000009</v>
      </c>
      <c r="O263" s="1">
        <v>3.0976037409999999</v>
      </c>
      <c r="P263" s="1">
        <f t="shared" si="14"/>
        <v>3</v>
      </c>
      <c r="V263" t="str">
        <f t="shared" si="15"/>
        <v>Average Performer</v>
      </c>
      <c r="W263" t="e" cm="1">
        <f t="array" aca="1" ref="W263" ca="1">_xlfn.IFS(N263&gt;=20, "High",N263&gt;=10, "Medium", N263&lt;10, "Low")</f>
        <v>#NAME?</v>
      </c>
      <c r="X263" t="str">
        <f t="shared" si="16"/>
        <v>Medium Budget</v>
      </c>
      <c r="Y263" s="7">
        <f>VLOOKUP(G263, Lookup_table!B:C,2,0)</f>
        <v>0.2</v>
      </c>
      <c r="Z263" t="str">
        <f t="shared" si="17"/>
        <v>Inefficient Spend</v>
      </c>
      <c r="AA263" t="str">
        <f>VLOOKUP(H263, Lookup_table!E:F,2,0)</f>
        <v>High</v>
      </c>
    </row>
    <row r="264" spans="1:27" ht="17.5" customHeight="1" x14ac:dyDescent="0.35">
      <c r="A264" s="1" t="s">
        <v>436</v>
      </c>
      <c r="B264" s="2">
        <v>45336</v>
      </c>
      <c r="C264" s="1" t="s">
        <v>181</v>
      </c>
      <c r="D264" s="1">
        <v>39</v>
      </c>
      <c r="E264" s="1" t="s">
        <v>29</v>
      </c>
      <c r="F264" s="1" t="s">
        <v>24</v>
      </c>
      <c r="G264" s="1" t="s">
        <v>31</v>
      </c>
      <c r="H264" s="1" t="s">
        <v>36</v>
      </c>
      <c r="I264" s="1">
        <v>1451.79</v>
      </c>
      <c r="J264" s="1">
        <v>5135</v>
      </c>
      <c r="K264" s="1">
        <v>275</v>
      </c>
      <c r="L264" s="1">
        <v>340</v>
      </c>
      <c r="M264" s="1">
        <v>2</v>
      </c>
      <c r="N264" s="1">
        <v>5.3554040900000004</v>
      </c>
      <c r="O264" s="1">
        <v>123.6363636</v>
      </c>
      <c r="P264" s="1">
        <f t="shared" si="14"/>
        <v>2</v>
      </c>
      <c r="V264" t="str">
        <f t="shared" si="15"/>
        <v>Low Performer</v>
      </c>
      <c r="W264" t="e" cm="1">
        <f t="array" aca="1" ref="W264" ca="1">_xlfn.IFS(N264&gt;=20, "High",N264&gt;=10, "Medium", N264&lt;10, "Low")</f>
        <v>#NAME?</v>
      </c>
      <c r="X264" t="str">
        <f t="shared" si="16"/>
        <v>High Budget</v>
      </c>
      <c r="Y264" s="7">
        <f>VLOOKUP(G264, Lookup_table!B:C,2,0)</f>
        <v>1.2</v>
      </c>
      <c r="Z264" t="str">
        <f t="shared" si="17"/>
        <v>Inefficient Spend</v>
      </c>
      <c r="AA264" t="str">
        <f>VLOOKUP(H264, Lookup_table!E:F,2,0)</f>
        <v>High</v>
      </c>
    </row>
    <row r="265" spans="1:27" ht="17.5" customHeight="1" x14ac:dyDescent="0.35">
      <c r="A265" s="1" t="s">
        <v>437</v>
      </c>
      <c r="B265" s="2">
        <v>45603</v>
      </c>
      <c r="C265" s="1" t="s">
        <v>238</v>
      </c>
      <c r="D265" s="1">
        <v>34</v>
      </c>
      <c r="E265" s="1" t="s">
        <v>29</v>
      </c>
      <c r="F265" s="1" t="s">
        <v>30</v>
      </c>
      <c r="G265" s="1" t="s">
        <v>25</v>
      </c>
      <c r="H265" s="1" t="s">
        <v>62</v>
      </c>
      <c r="I265" s="1">
        <v>1998.65</v>
      </c>
      <c r="J265" s="1">
        <v>40015</v>
      </c>
      <c r="K265" s="1">
        <v>2666</v>
      </c>
      <c r="L265" s="1">
        <v>160</v>
      </c>
      <c r="N265" s="1">
        <v>6.6625015620000001</v>
      </c>
      <c r="O265" s="1">
        <v>6.001500375</v>
      </c>
      <c r="P265" s="1">
        <f t="shared" si="14"/>
        <v>3</v>
      </c>
      <c r="V265" t="str">
        <f t="shared" si="15"/>
        <v>Average Performer</v>
      </c>
      <c r="W265" t="e" cm="1">
        <f t="array" aca="1" ref="W265" ca="1">_xlfn.IFS(N265&gt;=20, "High",N265&gt;=10, "Medium", N265&lt;10, "Low")</f>
        <v>#NAME?</v>
      </c>
      <c r="X265" t="str">
        <f t="shared" si="16"/>
        <v>High Budget</v>
      </c>
      <c r="Y265" s="7">
        <f>VLOOKUP(G265, Lookup_table!B:C,2,0)</f>
        <v>0.5</v>
      </c>
      <c r="Z265" t="str">
        <f t="shared" si="17"/>
        <v>Inefficient Spend</v>
      </c>
      <c r="AA265" t="str">
        <f>VLOOKUP(H265, Lookup_table!E:F,2,0)</f>
        <v>Medium</v>
      </c>
    </row>
    <row r="266" spans="1:27" ht="17.5" customHeight="1" x14ac:dyDescent="0.35">
      <c r="A266" s="1" t="s">
        <v>438</v>
      </c>
      <c r="B266" s="2">
        <v>45568</v>
      </c>
      <c r="C266" s="1" t="s">
        <v>105</v>
      </c>
      <c r="D266" s="1">
        <v>64</v>
      </c>
      <c r="E266" s="1" t="s">
        <v>29</v>
      </c>
      <c r="F266" s="1" t="s">
        <v>45</v>
      </c>
      <c r="G266" s="1" t="s">
        <v>25</v>
      </c>
      <c r="H266" s="1" t="s">
        <v>36</v>
      </c>
      <c r="I266" s="1">
        <v>758.2</v>
      </c>
      <c r="J266" s="1">
        <v>25415</v>
      </c>
      <c r="K266" s="1">
        <v>457</v>
      </c>
      <c r="L266" s="1">
        <v>357</v>
      </c>
      <c r="M266" s="1">
        <v>5</v>
      </c>
      <c r="N266" s="1">
        <v>1.7981506979999999</v>
      </c>
      <c r="O266" s="1">
        <v>78.118161929999999</v>
      </c>
      <c r="P266" s="1">
        <f t="shared" si="14"/>
        <v>5</v>
      </c>
      <c r="V266" t="str">
        <f t="shared" si="15"/>
        <v>Low Performer</v>
      </c>
      <c r="W266" t="e" cm="1">
        <f t="array" aca="1" ref="W266" ca="1">_xlfn.IFS(N266&gt;=20, "High",N266&gt;=10, "Medium", N266&lt;10, "Low")</f>
        <v>#NAME?</v>
      </c>
      <c r="X266" t="str">
        <f t="shared" si="16"/>
        <v>Medium Budget</v>
      </c>
      <c r="Y266" s="7">
        <f>VLOOKUP(G266, Lookup_table!B:C,2,0)</f>
        <v>0.5</v>
      </c>
      <c r="Z266" t="str">
        <f t="shared" si="17"/>
        <v>Inefficient Spend</v>
      </c>
      <c r="AA266" t="str">
        <f>VLOOKUP(H266, Lookup_table!E:F,2,0)</f>
        <v>High</v>
      </c>
    </row>
    <row r="267" spans="1:27" ht="17.5" customHeight="1" x14ac:dyDescent="0.35">
      <c r="A267" s="1" t="s">
        <v>439</v>
      </c>
      <c r="B267" s="2">
        <v>45591</v>
      </c>
      <c r="C267" s="1" t="s">
        <v>88</v>
      </c>
      <c r="D267" s="1">
        <v>45</v>
      </c>
      <c r="E267" s="1" t="s">
        <v>29</v>
      </c>
      <c r="F267" s="1" t="s">
        <v>30</v>
      </c>
      <c r="G267" s="1" t="s">
        <v>25</v>
      </c>
      <c r="H267" s="1" t="s">
        <v>26</v>
      </c>
      <c r="I267" s="1">
        <v>698.36</v>
      </c>
      <c r="J267" s="1">
        <v>4391</v>
      </c>
      <c r="K267" s="1">
        <v>2248</v>
      </c>
      <c r="L267" s="1">
        <v>40</v>
      </c>
      <c r="M267" s="1">
        <v>2</v>
      </c>
      <c r="N267" s="1">
        <v>51.195627420000001</v>
      </c>
      <c r="O267" s="1">
        <v>1.779359431</v>
      </c>
      <c r="P267" s="1">
        <f t="shared" si="14"/>
        <v>2</v>
      </c>
      <c r="V267" t="str">
        <f t="shared" si="15"/>
        <v>Low Performer</v>
      </c>
      <c r="W267" t="e" cm="1">
        <f t="array" aca="1" ref="W267" ca="1">_xlfn.IFS(N267&gt;=20, "High",N267&gt;=10, "Medium", N267&lt;10, "Low")</f>
        <v>#NAME?</v>
      </c>
      <c r="X267" t="str">
        <f t="shared" si="16"/>
        <v>Medium Budget</v>
      </c>
      <c r="Y267" s="7">
        <f>VLOOKUP(G267, Lookup_table!B:C,2,0)</f>
        <v>0.5</v>
      </c>
      <c r="Z267" t="str">
        <f t="shared" si="17"/>
        <v>Efficient Spend</v>
      </c>
      <c r="AA267" t="str">
        <f>VLOOKUP(H267, Lookup_table!E:F,2,0)</f>
        <v>High</v>
      </c>
    </row>
    <row r="268" spans="1:27" ht="17.5" customHeight="1" x14ac:dyDescent="0.35">
      <c r="A268" s="1" t="s">
        <v>440</v>
      </c>
      <c r="B268" s="2">
        <v>45566</v>
      </c>
      <c r="C268" s="1" t="s">
        <v>88</v>
      </c>
      <c r="D268" s="1">
        <v>36</v>
      </c>
      <c r="E268" s="1" t="s">
        <v>29</v>
      </c>
      <c r="F268" s="1" t="s">
        <v>50</v>
      </c>
      <c r="G268" s="1" t="s">
        <v>46</v>
      </c>
      <c r="H268" s="1" t="s">
        <v>62</v>
      </c>
      <c r="I268" s="1">
        <v>1089.8499999999999</v>
      </c>
      <c r="J268" s="1">
        <v>7470</v>
      </c>
      <c r="K268" s="1">
        <v>4068</v>
      </c>
      <c r="L268" s="1">
        <v>33</v>
      </c>
      <c r="M268" s="1">
        <v>4</v>
      </c>
      <c r="N268" s="1">
        <v>54.457831329999998</v>
      </c>
      <c r="O268" s="1">
        <v>0.81120943999999995</v>
      </c>
      <c r="P268" s="1">
        <f t="shared" si="14"/>
        <v>4</v>
      </c>
      <c r="V268" t="str">
        <f t="shared" si="15"/>
        <v>Low Performer</v>
      </c>
      <c r="W268" t="e" cm="1">
        <f t="array" aca="1" ref="W268" ca="1">_xlfn.IFS(N268&gt;=20, "High",N268&gt;=10, "Medium", N268&lt;10, "Low")</f>
        <v>#NAME?</v>
      </c>
      <c r="X268" t="str">
        <f t="shared" si="16"/>
        <v>High Budget</v>
      </c>
      <c r="Y268" s="7">
        <f>VLOOKUP(G268, Lookup_table!B:C,2,0)</f>
        <v>0.75</v>
      </c>
      <c r="Z268" t="str">
        <f t="shared" si="17"/>
        <v>Efficient Spend</v>
      </c>
      <c r="AA268" t="str">
        <f>VLOOKUP(H268, Lookup_table!E:F,2,0)</f>
        <v>Medium</v>
      </c>
    </row>
    <row r="269" spans="1:27" ht="17.5" customHeight="1" x14ac:dyDescent="0.35">
      <c r="A269" s="1" t="s">
        <v>441</v>
      </c>
      <c r="B269" s="2">
        <v>45476</v>
      </c>
      <c r="C269" s="1" t="s">
        <v>442</v>
      </c>
      <c r="D269" s="1">
        <v>33</v>
      </c>
      <c r="E269" s="1" t="s">
        <v>29</v>
      </c>
      <c r="F269" s="1" t="s">
        <v>24</v>
      </c>
      <c r="G269" s="1" t="s">
        <v>46</v>
      </c>
      <c r="H269" s="1" t="s">
        <v>32</v>
      </c>
      <c r="I269" s="1">
        <v>1846.83</v>
      </c>
      <c r="J269" s="1">
        <v>39373</v>
      </c>
      <c r="K269" s="1">
        <v>2905</v>
      </c>
      <c r="L269" s="1">
        <v>167</v>
      </c>
      <c r="M269" s="1">
        <v>2</v>
      </c>
      <c r="N269" s="1">
        <v>7.3781525410000004</v>
      </c>
      <c r="O269" s="1">
        <v>5.7487091220000002</v>
      </c>
      <c r="P269" s="1">
        <f t="shared" si="14"/>
        <v>2</v>
      </c>
      <c r="V269" t="str">
        <f t="shared" si="15"/>
        <v>Average Performer</v>
      </c>
      <c r="W269" t="e" cm="1">
        <f t="array" aca="1" ref="W269" ca="1">_xlfn.IFS(N269&gt;=20, "High",N269&gt;=10, "Medium", N269&lt;10, "Low")</f>
        <v>#NAME?</v>
      </c>
      <c r="X269" t="str">
        <f t="shared" si="16"/>
        <v>High Budget</v>
      </c>
      <c r="Y269" s="7">
        <f>VLOOKUP(G269, Lookup_table!B:C,2,0)</f>
        <v>0.75</v>
      </c>
      <c r="Z269" t="str">
        <f t="shared" si="17"/>
        <v>Efficient Spend</v>
      </c>
      <c r="AA269" t="str">
        <f>VLOOKUP(H269, Lookup_table!E:F,2,0)</f>
        <v>Medium</v>
      </c>
    </row>
    <row r="270" spans="1:27" ht="17.5" customHeight="1" x14ac:dyDescent="0.35">
      <c r="A270" s="1" t="s">
        <v>443</v>
      </c>
      <c r="B270" s="2">
        <v>45441</v>
      </c>
      <c r="C270" s="1" t="s">
        <v>170</v>
      </c>
      <c r="D270" s="1">
        <v>60</v>
      </c>
      <c r="E270" s="1" t="s">
        <v>35</v>
      </c>
      <c r="F270" s="1" t="s">
        <v>30</v>
      </c>
      <c r="G270" s="1" t="s">
        <v>25</v>
      </c>
      <c r="H270" s="1" t="s">
        <v>62</v>
      </c>
      <c r="I270" s="1">
        <v>1987.42</v>
      </c>
      <c r="J270" s="1">
        <v>41458</v>
      </c>
      <c r="K270" s="1">
        <v>3867</v>
      </c>
      <c r="L270" s="1">
        <v>202</v>
      </c>
      <c r="M270" s="1">
        <v>2</v>
      </c>
      <c r="N270" s="1">
        <v>9.3275121809999995</v>
      </c>
      <c r="O270" s="1">
        <v>5.2236876130000001</v>
      </c>
      <c r="P270" s="1">
        <f t="shared" si="14"/>
        <v>2</v>
      </c>
      <c r="V270" t="str">
        <f t="shared" si="15"/>
        <v>Top Performer</v>
      </c>
      <c r="W270" t="e" cm="1">
        <f t="array" aca="1" ref="W270" ca="1">_xlfn.IFS(N270&gt;=20, "High",N270&gt;=10, "Medium", N270&lt;10, "Low")</f>
        <v>#NAME?</v>
      </c>
      <c r="X270" t="str">
        <f t="shared" si="16"/>
        <v>High Budget</v>
      </c>
      <c r="Y270" s="7">
        <f>VLOOKUP(G270, Lookup_table!B:C,2,0)</f>
        <v>0.5</v>
      </c>
      <c r="Z270" t="str">
        <f t="shared" si="17"/>
        <v>Inefficient Spend</v>
      </c>
      <c r="AA270" t="str">
        <f>VLOOKUP(H270, Lookup_table!E:F,2,0)</f>
        <v>Medium</v>
      </c>
    </row>
    <row r="271" spans="1:27" ht="17.5" customHeight="1" x14ac:dyDescent="0.35">
      <c r="A271" s="1" t="s">
        <v>444</v>
      </c>
      <c r="B271" s="2">
        <v>45413</v>
      </c>
      <c r="C271" s="1" t="s">
        <v>445</v>
      </c>
      <c r="D271" s="1">
        <v>46</v>
      </c>
      <c r="E271" s="1" t="s">
        <v>35</v>
      </c>
      <c r="F271" s="1" t="s">
        <v>30</v>
      </c>
      <c r="G271" s="1" t="s">
        <v>31</v>
      </c>
      <c r="H271" s="1" t="s">
        <v>36</v>
      </c>
      <c r="I271" s="1">
        <v>607.95000000000005</v>
      </c>
      <c r="J271" s="1">
        <v>10972</v>
      </c>
      <c r="K271" s="1">
        <v>2613</v>
      </c>
      <c r="L271" s="1">
        <v>373</v>
      </c>
      <c r="M271" s="1">
        <v>4</v>
      </c>
      <c r="N271" s="1">
        <v>23.815165879999999</v>
      </c>
      <c r="O271" s="1">
        <v>14.274779949999999</v>
      </c>
      <c r="P271" s="1">
        <f t="shared" si="14"/>
        <v>4</v>
      </c>
      <c r="V271" t="str">
        <f t="shared" si="15"/>
        <v>Average Performer</v>
      </c>
      <c r="W271" t="e" cm="1">
        <f t="array" aca="1" ref="W271" ca="1">_xlfn.IFS(N271&gt;=20, "High",N271&gt;=10, "Medium", N271&lt;10, "Low")</f>
        <v>#NAME?</v>
      </c>
      <c r="X271" t="str">
        <f t="shared" si="16"/>
        <v>Medium Budget</v>
      </c>
      <c r="Y271" s="7">
        <f>VLOOKUP(G271, Lookup_table!B:C,2,0)</f>
        <v>1.2</v>
      </c>
      <c r="Z271" t="str">
        <f t="shared" si="17"/>
        <v>Efficient Spend</v>
      </c>
      <c r="AA271" t="str">
        <f>VLOOKUP(H271, Lookup_table!E:F,2,0)</f>
        <v>High</v>
      </c>
    </row>
    <row r="272" spans="1:27" ht="17.5" customHeight="1" x14ac:dyDescent="0.35">
      <c r="A272" s="1" t="s">
        <v>446</v>
      </c>
      <c r="B272" s="2">
        <v>45310</v>
      </c>
      <c r="C272" s="1" t="s">
        <v>378</v>
      </c>
      <c r="D272" s="1">
        <v>37</v>
      </c>
      <c r="E272" s="1" t="s">
        <v>23</v>
      </c>
      <c r="F272" s="1" t="s">
        <v>57</v>
      </c>
      <c r="G272" s="1" t="s">
        <v>61</v>
      </c>
      <c r="H272" s="1" t="s">
        <v>26</v>
      </c>
      <c r="I272" s="1">
        <v>966.22</v>
      </c>
      <c r="J272" s="1">
        <v>3400</v>
      </c>
      <c r="K272" s="1">
        <v>3943</v>
      </c>
      <c r="L272" s="1">
        <v>142</v>
      </c>
      <c r="M272" s="1">
        <v>2</v>
      </c>
      <c r="N272" s="1">
        <v>115.97058819999999</v>
      </c>
      <c r="O272" s="1">
        <v>3.6013187929999999</v>
      </c>
      <c r="P272" s="1">
        <f t="shared" si="14"/>
        <v>2</v>
      </c>
      <c r="U272" s="1">
        <f>COUNTIF(N268:N1000, N272&gt;100)</f>
        <v>0</v>
      </c>
      <c r="V272" t="str">
        <f t="shared" si="15"/>
        <v>Average Performer</v>
      </c>
      <c r="W272" t="e" cm="1">
        <f t="array" aca="1" ref="W272" ca="1">_xlfn.IFS(N272&gt;=20, "High",N272&gt;=10, "Medium", N272&lt;10, "Low")</f>
        <v>#NAME?</v>
      </c>
      <c r="X272" t="str">
        <f t="shared" si="16"/>
        <v>Medium Budget</v>
      </c>
      <c r="Y272" s="7">
        <f>VLOOKUP(G272, Lookup_table!B:C,2,0)</f>
        <v>0.2</v>
      </c>
      <c r="Z272" t="str">
        <f t="shared" si="17"/>
        <v>Inefficient Spend</v>
      </c>
      <c r="AA272" t="str">
        <f>VLOOKUP(H272, Lookup_table!E:F,2,0)</f>
        <v>High</v>
      </c>
    </row>
    <row r="273" spans="1:27" ht="17.5" customHeight="1" x14ac:dyDescent="0.35">
      <c r="A273" s="1" t="s">
        <v>447</v>
      </c>
      <c r="B273" s="2">
        <v>45651</v>
      </c>
      <c r="C273" s="1" t="s">
        <v>256</v>
      </c>
      <c r="D273" s="1">
        <v>28</v>
      </c>
      <c r="E273" s="1" t="s">
        <v>35</v>
      </c>
      <c r="F273" s="1" t="s">
        <v>24</v>
      </c>
      <c r="G273" s="1" t="s">
        <v>31</v>
      </c>
      <c r="H273" s="1" t="s">
        <v>36</v>
      </c>
      <c r="I273" s="1">
        <v>1344.32</v>
      </c>
      <c r="J273" s="1">
        <v>39311</v>
      </c>
      <c r="K273" s="1">
        <v>86</v>
      </c>
      <c r="L273" s="1">
        <v>320</v>
      </c>
      <c r="M273" s="1">
        <v>5</v>
      </c>
      <c r="N273" s="1">
        <v>0.21876828400000001</v>
      </c>
      <c r="O273" s="1">
        <v>372.09302330000003</v>
      </c>
      <c r="P273" s="1">
        <f t="shared" si="14"/>
        <v>5</v>
      </c>
      <c r="V273" t="str">
        <f t="shared" si="15"/>
        <v>Low Performer</v>
      </c>
      <c r="W273" t="e" cm="1">
        <f t="array" aca="1" ref="W273" ca="1">_xlfn.IFS(N273&gt;=20, "High",N273&gt;=10, "Medium", N273&lt;10, "Low")</f>
        <v>#NAME?</v>
      </c>
      <c r="X273" t="str">
        <f t="shared" si="16"/>
        <v>High Budget</v>
      </c>
      <c r="Y273" s="7">
        <f>VLOOKUP(G273, Lookup_table!B:C,2,0)</f>
        <v>1.2</v>
      </c>
      <c r="Z273" t="str">
        <f t="shared" si="17"/>
        <v>Inefficient Spend</v>
      </c>
      <c r="AA273" t="str">
        <f>VLOOKUP(H273, Lookup_table!E:F,2,0)</f>
        <v>High</v>
      </c>
    </row>
    <row r="274" spans="1:27" ht="17.5" customHeight="1" x14ac:dyDescent="0.35">
      <c r="A274" s="1" t="s">
        <v>448</v>
      </c>
      <c r="B274" s="2">
        <v>45539</v>
      </c>
      <c r="C274" s="1" t="s">
        <v>234</v>
      </c>
      <c r="D274" s="1">
        <v>62</v>
      </c>
      <c r="E274" s="1" t="s">
        <v>23</v>
      </c>
      <c r="F274" s="1" t="s">
        <v>30</v>
      </c>
      <c r="G274" s="1" t="s">
        <v>46</v>
      </c>
      <c r="H274" s="1" t="s">
        <v>32</v>
      </c>
      <c r="I274" s="1">
        <v>417.52</v>
      </c>
      <c r="J274" s="1">
        <v>5397</v>
      </c>
      <c r="K274" s="1">
        <v>2231</v>
      </c>
      <c r="L274" s="1">
        <v>380</v>
      </c>
      <c r="M274" s="1">
        <v>4</v>
      </c>
      <c r="N274" s="1">
        <v>41.337780250000002</v>
      </c>
      <c r="O274" s="1">
        <v>17.032720749999999</v>
      </c>
      <c r="P274" s="1">
        <f t="shared" si="14"/>
        <v>4</v>
      </c>
      <c r="V274" t="str">
        <f t="shared" si="15"/>
        <v>Average Performer</v>
      </c>
      <c r="W274" t="e" cm="1">
        <f t="array" aca="1" ref="W274" ca="1">_xlfn.IFS(N274&gt;=20, "High",N274&gt;=10, "Medium", N274&lt;10, "Low")</f>
        <v>#NAME?</v>
      </c>
      <c r="X274" t="str">
        <f t="shared" si="16"/>
        <v>Low Budget</v>
      </c>
      <c r="Y274" s="7">
        <f>VLOOKUP(G274, Lookup_table!B:C,2,0)</f>
        <v>0.75</v>
      </c>
      <c r="Z274" t="str">
        <f t="shared" si="17"/>
        <v>Efficient Spend</v>
      </c>
      <c r="AA274" t="str">
        <f>VLOOKUP(H274, Lookup_table!E:F,2,0)</f>
        <v>Medium</v>
      </c>
    </row>
    <row r="275" spans="1:27" ht="17.5" customHeight="1" x14ac:dyDescent="0.35">
      <c r="A275" s="1" t="s">
        <v>449</v>
      </c>
      <c r="B275" s="2">
        <v>45297</v>
      </c>
      <c r="C275" s="1" t="s">
        <v>79</v>
      </c>
      <c r="D275" s="1">
        <v>61</v>
      </c>
      <c r="E275" s="1" t="s">
        <v>35</v>
      </c>
      <c r="F275" s="1" t="s">
        <v>45</v>
      </c>
      <c r="G275" s="1" t="s">
        <v>61</v>
      </c>
      <c r="H275" s="1" t="s">
        <v>32</v>
      </c>
      <c r="I275" s="1">
        <v>379.51</v>
      </c>
      <c r="J275" s="1">
        <v>47022</v>
      </c>
      <c r="K275" s="1">
        <v>2647</v>
      </c>
      <c r="L275" s="1">
        <v>175</v>
      </c>
      <c r="M275" s="1">
        <v>1</v>
      </c>
      <c r="N275" s="1">
        <v>5.6292799120000003</v>
      </c>
      <c r="O275" s="1">
        <v>6.611258028</v>
      </c>
      <c r="P275" s="1">
        <f t="shared" si="14"/>
        <v>1</v>
      </c>
      <c r="V275" t="str">
        <f t="shared" si="15"/>
        <v>Average Performer</v>
      </c>
      <c r="W275" t="e" cm="1">
        <f t="array" aca="1" ref="W275" ca="1">_xlfn.IFS(N275&gt;=20, "High",N275&gt;=10, "Medium", N275&lt;10, "Low")</f>
        <v>#NAME?</v>
      </c>
      <c r="X275" t="str">
        <f t="shared" si="16"/>
        <v>Low Budget</v>
      </c>
      <c r="Y275" s="7">
        <f>VLOOKUP(G275, Lookup_table!B:C,2,0)</f>
        <v>0.2</v>
      </c>
      <c r="Z275" t="str">
        <f t="shared" si="17"/>
        <v>Efficient Spend</v>
      </c>
      <c r="AA275" t="str">
        <f>VLOOKUP(H275, Lookup_table!E:F,2,0)</f>
        <v>Medium</v>
      </c>
    </row>
    <row r="276" spans="1:27" ht="17.5" customHeight="1" x14ac:dyDescent="0.35">
      <c r="A276" s="1" t="s">
        <v>450</v>
      </c>
      <c r="B276" s="2">
        <v>45425</v>
      </c>
      <c r="C276" s="1" t="s">
        <v>451</v>
      </c>
      <c r="D276" s="1">
        <v>43</v>
      </c>
      <c r="E276" s="1" t="s">
        <v>23</v>
      </c>
      <c r="F276" s="1" t="s">
        <v>45</v>
      </c>
      <c r="G276" s="1" t="s">
        <v>46</v>
      </c>
      <c r="H276" s="1" t="s">
        <v>26</v>
      </c>
      <c r="I276" s="1">
        <v>698.4</v>
      </c>
      <c r="J276" s="1">
        <v>6481</v>
      </c>
      <c r="K276" s="1">
        <v>2419</v>
      </c>
      <c r="L276" s="1">
        <v>111</v>
      </c>
      <c r="M276" s="1">
        <v>2</v>
      </c>
      <c r="N276" s="1">
        <v>37.324486960000002</v>
      </c>
      <c r="O276" s="1">
        <v>4.5886730050000004</v>
      </c>
      <c r="P276" s="1">
        <f t="shared" si="14"/>
        <v>2</v>
      </c>
      <c r="V276" t="str">
        <f t="shared" si="15"/>
        <v>Average Performer</v>
      </c>
      <c r="W276" t="e" cm="1">
        <f t="array" aca="1" ref="W276" ca="1">_xlfn.IFS(N276&gt;=20, "High",N276&gt;=10, "Medium", N276&lt;10, "Low")</f>
        <v>#NAME?</v>
      </c>
      <c r="X276" t="str">
        <f t="shared" si="16"/>
        <v>Medium Budget</v>
      </c>
      <c r="Y276" s="7">
        <f>VLOOKUP(G276, Lookup_table!B:C,2,0)</f>
        <v>0.75</v>
      </c>
      <c r="Z276" t="str">
        <f t="shared" si="17"/>
        <v>Efficient Spend</v>
      </c>
      <c r="AA276" t="str">
        <f>VLOOKUP(H276, Lookup_table!E:F,2,0)</f>
        <v>High</v>
      </c>
    </row>
    <row r="277" spans="1:27" ht="17.5" customHeight="1" x14ac:dyDescent="0.35">
      <c r="A277" s="1" t="s">
        <v>452</v>
      </c>
      <c r="B277" s="2">
        <v>45618</v>
      </c>
      <c r="C277" s="1" t="s">
        <v>366</v>
      </c>
      <c r="D277" s="1">
        <v>18</v>
      </c>
      <c r="E277" s="1" t="s">
        <v>23</v>
      </c>
      <c r="F277" s="1" t="s">
        <v>50</v>
      </c>
      <c r="G277" s="1" t="s">
        <v>61</v>
      </c>
      <c r="H277" s="1" t="s">
        <v>62</v>
      </c>
      <c r="I277" s="1">
        <v>1570.77</v>
      </c>
      <c r="J277" s="1">
        <v>32930</v>
      </c>
      <c r="K277" s="1">
        <v>3206</v>
      </c>
      <c r="L277" s="1">
        <v>252</v>
      </c>
      <c r="N277" s="1">
        <v>9.7358032189999992</v>
      </c>
      <c r="O277" s="1">
        <v>7.8602620090000004</v>
      </c>
      <c r="P277" s="1">
        <f t="shared" si="14"/>
        <v>3</v>
      </c>
      <c r="V277" t="str">
        <f t="shared" si="15"/>
        <v>Top Performer</v>
      </c>
      <c r="W277" t="e" cm="1">
        <f t="array" aca="1" ref="W277" ca="1">_xlfn.IFS(N277&gt;=20, "High",N277&gt;=10, "Medium", N277&lt;10, "Low")</f>
        <v>#NAME?</v>
      </c>
      <c r="X277" t="str">
        <f t="shared" si="16"/>
        <v>High Budget</v>
      </c>
      <c r="Y277" s="7">
        <f>VLOOKUP(G277, Lookup_table!B:C,2,0)</f>
        <v>0.2</v>
      </c>
      <c r="Z277" t="str">
        <f t="shared" si="17"/>
        <v>Inefficient Spend</v>
      </c>
      <c r="AA277" t="str">
        <f>VLOOKUP(H277, Lookup_table!E:F,2,0)</f>
        <v>Medium</v>
      </c>
    </row>
    <row r="278" spans="1:27" ht="17.5" customHeight="1" x14ac:dyDescent="0.35">
      <c r="A278" s="1" t="s">
        <v>453</v>
      </c>
      <c r="B278" s="2">
        <v>45449</v>
      </c>
      <c r="C278" s="1" t="s">
        <v>210</v>
      </c>
      <c r="D278" s="1">
        <v>42</v>
      </c>
      <c r="E278" s="1" t="s">
        <v>23</v>
      </c>
      <c r="F278" s="1" t="s">
        <v>30</v>
      </c>
      <c r="G278" s="1" t="s">
        <v>61</v>
      </c>
      <c r="H278" s="1" t="s">
        <v>36</v>
      </c>
      <c r="I278" s="1">
        <v>101.55</v>
      </c>
      <c r="J278" s="1">
        <v>24515</v>
      </c>
      <c r="K278" s="1">
        <v>3342</v>
      </c>
      <c r="L278" s="1">
        <v>165</v>
      </c>
      <c r="M278" s="1">
        <v>4</v>
      </c>
      <c r="N278" s="1">
        <v>13.63246992</v>
      </c>
      <c r="O278" s="1">
        <v>4.9371633749999999</v>
      </c>
      <c r="P278" s="1">
        <f t="shared" si="14"/>
        <v>4</v>
      </c>
      <c r="V278" t="str">
        <f t="shared" si="15"/>
        <v>Average Performer</v>
      </c>
      <c r="W278" t="e" cm="1">
        <f t="array" aca="1" ref="W278" ca="1">_xlfn.IFS(N278&gt;=20, "High",N278&gt;=10, "Medium", N278&lt;10, "Low")</f>
        <v>#NAME?</v>
      </c>
      <c r="X278" t="str">
        <f t="shared" si="16"/>
        <v>Low Budget</v>
      </c>
      <c r="Y278" s="7">
        <f>VLOOKUP(G278, Lookup_table!B:C,2,0)</f>
        <v>0.2</v>
      </c>
      <c r="Z278" t="str">
        <f t="shared" si="17"/>
        <v>Efficient Spend</v>
      </c>
      <c r="AA278" t="str">
        <f>VLOOKUP(H278, Lookup_table!E:F,2,0)</f>
        <v>High</v>
      </c>
    </row>
    <row r="279" spans="1:27" ht="17.5" customHeight="1" x14ac:dyDescent="0.35">
      <c r="A279" s="1" t="s">
        <v>454</v>
      </c>
      <c r="B279" s="2">
        <v>45538</v>
      </c>
      <c r="C279" s="1" t="s">
        <v>64</v>
      </c>
      <c r="D279" s="1">
        <v>50</v>
      </c>
      <c r="E279" s="1" t="s">
        <v>29</v>
      </c>
      <c r="F279" s="1" t="s">
        <v>57</v>
      </c>
      <c r="G279" s="1" t="s">
        <v>42</v>
      </c>
      <c r="H279" s="1" t="s">
        <v>62</v>
      </c>
      <c r="I279" s="1">
        <v>1911.15</v>
      </c>
      <c r="J279" s="1">
        <v>36008</v>
      </c>
      <c r="K279" s="1">
        <v>2636</v>
      </c>
      <c r="L279" s="1">
        <v>236</v>
      </c>
      <c r="M279" s="1">
        <v>1</v>
      </c>
      <c r="N279" s="1">
        <v>7.3205954230000003</v>
      </c>
      <c r="O279" s="1">
        <v>8.9529590290000005</v>
      </c>
      <c r="P279" s="1">
        <f t="shared" si="14"/>
        <v>1</v>
      </c>
      <c r="V279" t="str">
        <f t="shared" si="15"/>
        <v>Average Performer</v>
      </c>
      <c r="W279" t="e" cm="1">
        <f t="array" aca="1" ref="W279" ca="1">_xlfn.IFS(N279&gt;=20, "High",N279&gt;=10, "Medium", N279&lt;10, "Low")</f>
        <v>#NAME?</v>
      </c>
      <c r="X279" t="str">
        <f t="shared" si="16"/>
        <v>High Budget</v>
      </c>
      <c r="Y279" s="7">
        <f>VLOOKUP(G279, Lookup_table!B:C,2,0)</f>
        <v>0.3</v>
      </c>
      <c r="Z279" t="str">
        <f t="shared" si="17"/>
        <v>Inefficient Spend</v>
      </c>
      <c r="AA279" t="str">
        <f>VLOOKUP(H279, Lookup_table!E:F,2,0)</f>
        <v>Medium</v>
      </c>
    </row>
    <row r="280" spans="1:27" ht="17.5" customHeight="1" x14ac:dyDescent="0.35">
      <c r="A280" s="1" t="s">
        <v>455</v>
      </c>
      <c r="B280" s="2">
        <v>45360</v>
      </c>
      <c r="C280" s="1" t="s">
        <v>456</v>
      </c>
      <c r="D280" s="1">
        <v>57</v>
      </c>
      <c r="E280" s="1" t="s">
        <v>23</v>
      </c>
      <c r="F280" s="1" t="s">
        <v>57</v>
      </c>
      <c r="G280" s="1" t="s">
        <v>42</v>
      </c>
      <c r="H280" s="1" t="s">
        <v>32</v>
      </c>
      <c r="I280" s="1">
        <v>906.53</v>
      </c>
      <c r="J280" s="1">
        <v>11617</v>
      </c>
      <c r="K280" s="1">
        <v>4182</v>
      </c>
      <c r="L280" s="1">
        <v>58</v>
      </c>
      <c r="M280" s="1">
        <v>5</v>
      </c>
      <c r="N280" s="1">
        <v>35.998967030000003</v>
      </c>
      <c r="O280" s="1">
        <v>1.3868962220000001</v>
      </c>
      <c r="P280" s="1">
        <f t="shared" si="14"/>
        <v>5</v>
      </c>
      <c r="V280" t="str">
        <f t="shared" si="15"/>
        <v>Low Performer</v>
      </c>
      <c r="W280" t="e" cm="1">
        <f t="array" aca="1" ref="W280" ca="1">_xlfn.IFS(N280&gt;=20, "High",N280&gt;=10, "Medium", N280&lt;10, "Low")</f>
        <v>#NAME?</v>
      </c>
      <c r="X280" t="str">
        <f t="shared" si="16"/>
        <v>Medium Budget</v>
      </c>
      <c r="Y280" s="7">
        <f>VLOOKUP(G280, Lookup_table!B:C,2,0)</f>
        <v>0.3</v>
      </c>
      <c r="Z280" t="str">
        <f t="shared" si="17"/>
        <v>Efficient Spend</v>
      </c>
      <c r="AA280" t="str">
        <f>VLOOKUP(H280, Lookup_table!E:F,2,0)</f>
        <v>Medium</v>
      </c>
    </row>
    <row r="281" spans="1:27" ht="17.5" customHeight="1" x14ac:dyDescent="0.35">
      <c r="A281" s="1" t="s">
        <v>457</v>
      </c>
      <c r="B281" s="2">
        <v>45530</v>
      </c>
      <c r="C281" s="1" t="s">
        <v>391</v>
      </c>
      <c r="D281" s="1">
        <v>32</v>
      </c>
      <c r="E281" s="1" t="s">
        <v>29</v>
      </c>
      <c r="F281" s="1" t="s">
        <v>30</v>
      </c>
      <c r="G281" s="1" t="s">
        <v>25</v>
      </c>
      <c r="H281" s="1" t="s">
        <v>62</v>
      </c>
      <c r="I281" s="1">
        <v>1288.8900000000001</v>
      </c>
      <c r="J281" s="1">
        <v>20561</v>
      </c>
      <c r="K281" s="1">
        <v>132</v>
      </c>
      <c r="L281" s="1">
        <v>70</v>
      </c>
      <c r="M281" s="1">
        <v>4</v>
      </c>
      <c r="N281" s="1">
        <v>0.64199212100000003</v>
      </c>
      <c r="O281" s="1">
        <v>53.030303029999999</v>
      </c>
      <c r="P281" s="1">
        <f t="shared" si="14"/>
        <v>4</v>
      </c>
      <c r="V281" t="str">
        <f t="shared" si="15"/>
        <v>Low Performer</v>
      </c>
      <c r="W281" t="e" cm="1">
        <f t="array" aca="1" ref="W281" ca="1">_xlfn.IFS(N281&gt;=20, "High",N281&gt;=10, "Medium", N281&lt;10, "Low")</f>
        <v>#NAME?</v>
      </c>
      <c r="X281" t="str">
        <f t="shared" si="16"/>
        <v>High Budget</v>
      </c>
      <c r="Y281" s="7">
        <f>VLOOKUP(G281, Lookup_table!B:C,2,0)</f>
        <v>0.5</v>
      </c>
      <c r="Z281" t="str">
        <f t="shared" si="17"/>
        <v>Inefficient Spend</v>
      </c>
      <c r="AA281" t="str">
        <f>VLOOKUP(H281, Lookup_table!E:F,2,0)</f>
        <v>Medium</v>
      </c>
    </row>
    <row r="282" spans="1:27" ht="17.5" customHeight="1" x14ac:dyDescent="0.35">
      <c r="A282" s="1" t="s">
        <v>458</v>
      </c>
      <c r="B282" s="2">
        <v>45394</v>
      </c>
      <c r="C282" s="1" t="s">
        <v>186</v>
      </c>
      <c r="D282" s="1">
        <v>55</v>
      </c>
      <c r="E282" s="1" t="s">
        <v>23</v>
      </c>
      <c r="F282" s="1" t="s">
        <v>57</v>
      </c>
      <c r="G282" s="1" t="s">
        <v>46</v>
      </c>
      <c r="H282" s="1" t="s">
        <v>36</v>
      </c>
      <c r="I282" s="1">
        <v>893.86</v>
      </c>
      <c r="J282" s="1">
        <v>41057</v>
      </c>
      <c r="K282" s="1">
        <v>80</v>
      </c>
      <c r="L282" s="1">
        <v>303</v>
      </c>
      <c r="M282" s="1">
        <v>4</v>
      </c>
      <c r="N282" s="1">
        <v>0.19485106099999999</v>
      </c>
      <c r="O282" s="1">
        <v>378.75</v>
      </c>
      <c r="P282" s="1">
        <f t="shared" si="14"/>
        <v>4</v>
      </c>
      <c r="V282" t="str">
        <f t="shared" si="15"/>
        <v>Low Performer</v>
      </c>
      <c r="W282" t="e" cm="1">
        <f t="array" aca="1" ref="W282" ca="1">_xlfn.IFS(N282&gt;=20, "High",N282&gt;=10, "Medium", N282&lt;10, "Low")</f>
        <v>#NAME?</v>
      </c>
      <c r="X282" t="str">
        <f t="shared" si="16"/>
        <v>Medium Budget</v>
      </c>
      <c r="Y282" s="7">
        <f>VLOOKUP(G282, Lookup_table!B:C,2,0)</f>
        <v>0.75</v>
      </c>
      <c r="Z282" t="str">
        <f t="shared" si="17"/>
        <v>Inefficient Spend</v>
      </c>
      <c r="AA282" t="str">
        <f>VLOOKUP(H282, Lookup_table!E:F,2,0)</f>
        <v>High</v>
      </c>
    </row>
    <row r="283" spans="1:27" ht="17.5" customHeight="1" x14ac:dyDescent="0.35">
      <c r="A283" s="1" t="s">
        <v>459</v>
      </c>
      <c r="B283" s="2">
        <v>45497</v>
      </c>
      <c r="C283" s="1" t="s">
        <v>111</v>
      </c>
      <c r="D283" s="1">
        <v>57</v>
      </c>
      <c r="E283" s="1" t="s">
        <v>23</v>
      </c>
      <c r="F283" s="1" t="s">
        <v>45</v>
      </c>
      <c r="G283" s="1" t="s">
        <v>31</v>
      </c>
      <c r="H283" s="1" t="s">
        <v>26</v>
      </c>
      <c r="I283" s="1">
        <v>793.31</v>
      </c>
      <c r="J283" s="1">
        <v>49542</v>
      </c>
      <c r="K283" s="1">
        <v>2177</v>
      </c>
      <c r="L283" s="1">
        <v>60</v>
      </c>
      <c r="M283" s="1">
        <v>3</v>
      </c>
      <c r="N283" s="1">
        <v>4.3942513419999996</v>
      </c>
      <c r="O283" s="1">
        <v>2.756086357</v>
      </c>
      <c r="P283" s="1">
        <f t="shared" si="14"/>
        <v>3</v>
      </c>
      <c r="V283" t="str">
        <f t="shared" si="15"/>
        <v>Low Performer</v>
      </c>
      <c r="W283" t="e" cm="1">
        <f t="array" aca="1" ref="W283" ca="1">_xlfn.IFS(N283&gt;=20, "High",N283&gt;=10, "Medium", N283&lt;10, "Low")</f>
        <v>#NAME?</v>
      </c>
      <c r="X283" t="str">
        <f t="shared" si="16"/>
        <v>Medium Budget</v>
      </c>
      <c r="Y283" s="7">
        <f>VLOOKUP(G283, Lookup_table!B:C,2,0)</f>
        <v>1.2</v>
      </c>
      <c r="Z283" t="str">
        <f t="shared" si="17"/>
        <v>Efficient Spend</v>
      </c>
      <c r="AA283" t="str">
        <f>VLOOKUP(H283, Lookup_table!E:F,2,0)</f>
        <v>High</v>
      </c>
    </row>
    <row r="284" spans="1:27" ht="17.5" customHeight="1" x14ac:dyDescent="0.35">
      <c r="A284" s="1" t="s">
        <v>460</v>
      </c>
      <c r="B284" s="2">
        <v>45602</v>
      </c>
      <c r="C284" s="1" t="s">
        <v>461</v>
      </c>
      <c r="D284" s="1">
        <v>32</v>
      </c>
      <c r="E284" s="1" t="s">
        <v>29</v>
      </c>
      <c r="F284" s="1" t="s">
        <v>24</v>
      </c>
      <c r="G284" s="1" t="s">
        <v>31</v>
      </c>
      <c r="H284" s="1" t="s">
        <v>26</v>
      </c>
      <c r="I284" s="1">
        <v>353.31</v>
      </c>
      <c r="J284" s="1">
        <v>25212</v>
      </c>
      <c r="K284" s="1">
        <v>2092</v>
      </c>
      <c r="L284" s="1">
        <v>185</v>
      </c>
      <c r="M284" s="1">
        <v>3</v>
      </c>
      <c r="N284" s="1">
        <v>8.2976360459999992</v>
      </c>
      <c r="O284" s="1">
        <v>8.8432122369999995</v>
      </c>
      <c r="P284" s="1">
        <f t="shared" si="14"/>
        <v>3</v>
      </c>
      <c r="V284" t="str">
        <f t="shared" si="15"/>
        <v>Average Performer</v>
      </c>
      <c r="W284" t="e" cm="1">
        <f t="array" aca="1" ref="W284" ca="1">_xlfn.IFS(N284&gt;=20, "High",N284&gt;=10, "Medium", N284&lt;10, "Low")</f>
        <v>#NAME?</v>
      </c>
      <c r="X284" t="str">
        <f t="shared" si="16"/>
        <v>Low Budget</v>
      </c>
      <c r="Y284" s="7">
        <f>VLOOKUP(G284, Lookup_table!B:C,2,0)</f>
        <v>1.2</v>
      </c>
      <c r="Z284" t="str">
        <f t="shared" si="17"/>
        <v>Efficient Spend</v>
      </c>
      <c r="AA284" t="str">
        <f>VLOOKUP(H284, Lookup_table!E:F,2,0)</f>
        <v>High</v>
      </c>
    </row>
    <row r="285" spans="1:27" ht="17.5" customHeight="1" x14ac:dyDescent="0.35">
      <c r="A285" s="1" t="s">
        <v>462</v>
      </c>
      <c r="B285" s="2">
        <v>45380</v>
      </c>
      <c r="C285" s="1" t="s">
        <v>97</v>
      </c>
      <c r="D285" s="1">
        <v>45</v>
      </c>
      <c r="E285" s="1" t="s">
        <v>35</v>
      </c>
      <c r="F285" s="1" t="s">
        <v>57</v>
      </c>
      <c r="G285" s="1" t="s">
        <v>46</v>
      </c>
      <c r="H285" s="1" t="s">
        <v>36</v>
      </c>
      <c r="I285" s="1">
        <v>1594</v>
      </c>
      <c r="J285" s="1">
        <v>39454</v>
      </c>
      <c r="K285" s="1">
        <v>4754</v>
      </c>
      <c r="L285" s="1">
        <v>29</v>
      </c>
      <c r="M285" s="1">
        <v>2</v>
      </c>
      <c r="N285" s="1">
        <v>12.049475340000001</v>
      </c>
      <c r="O285" s="1">
        <v>0.61001262099999998</v>
      </c>
      <c r="P285" s="1">
        <f t="shared" si="14"/>
        <v>2</v>
      </c>
      <c r="V285" t="str">
        <f t="shared" si="15"/>
        <v>Low Performer</v>
      </c>
      <c r="W285" t="e" cm="1">
        <f t="array" aca="1" ref="W285" ca="1">_xlfn.IFS(N285&gt;=20, "High",N285&gt;=10, "Medium", N285&lt;10, "Low")</f>
        <v>#NAME?</v>
      </c>
      <c r="X285" t="str">
        <f t="shared" si="16"/>
        <v>High Budget</v>
      </c>
      <c r="Y285" s="7">
        <f>VLOOKUP(G285, Lookup_table!B:C,2,0)</f>
        <v>0.75</v>
      </c>
      <c r="Z285" t="str">
        <f t="shared" si="17"/>
        <v>Efficient Spend</v>
      </c>
      <c r="AA285" t="str">
        <f>VLOOKUP(H285, Lookup_table!E:F,2,0)</f>
        <v>High</v>
      </c>
    </row>
    <row r="286" spans="1:27" ht="17.5" customHeight="1" x14ac:dyDescent="0.35">
      <c r="A286" s="1" t="s">
        <v>463</v>
      </c>
      <c r="B286" s="2">
        <v>45383</v>
      </c>
      <c r="C286" s="1" t="s">
        <v>152</v>
      </c>
      <c r="D286" s="1">
        <v>20</v>
      </c>
      <c r="E286" s="1" t="s">
        <v>35</v>
      </c>
      <c r="F286" s="1" t="s">
        <v>57</v>
      </c>
      <c r="G286" s="1" t="s">
        <v>31</v>
      </c>
      <c r="H286" s="1" t="s">
        <v>36</v>
      </c>
      <c r="I286" s="1">
        <v>1752.29</v>
      </c>
      <c r="J286" s="1">
        <v>31606</v>
      </c>
      <c r="K286" s="1">
        <v>672</v>
      </c>
      <c r="L286" s="1">
        <v>183</v>
      </c>
      <c r="N286" s="1">
        <v>2.1261785739999999</v>
      </c>
      <c r="O286" s="1">
        <v>27.23214286</v>
      </c>
      <c r="P286" s="1">
        <f t="shared" si="14"/>
        <v>3</v>
      </c>
      <c r="V286" t="str">
        <f t="shared" si="15"/>
        <v>Low Performer</v>
      </c>
      <c r="W286" t="e" cm="1">
        <f t="array" aca="1" ref="W286" ca="1">_xlfn.IFS(N286&gt;=20, "High",N286&gt;=10, "Medium", N286&lt;10, "Low")</f>
        <v>#NAME?</v>
      </c>
      <c r="X286" t="str">
        <f t="shared" si="16"/>
        <v>High Budget</v>
      </c>
      <c r="Y286" s="7">
        <f>VLOOKUP(G286, Lookup_table!B:C,2,0)</f>
        <v>1.2</v>
      </c>
      <c r="Z286" t="str">
        <f t="shared" si="17"/>
        <v>Inefficient Spend</v>
      </c>
      <c r="AA286" t="str">
        <f>VLOOKUP(H286, Lookup_table!E:F,2,0)</f>
        <v>High</v>
      </c>
    </row>
    <row r="287" spans="1:27" ht="17.5" customHeight="1" x14ac:dyDescent="0.35">
      <c r="A287" s="1" t="s">
        <v>464</v>
      </c>
      <c r="B287" s="2">
        <v>45308</v>
      </c>
      <c r="C287" s="1" t="s">
        <v>224</v>
      </c>
      <c r="D287" s="1">
        <v>35</v>
      </c>
      <c r="E287" s="1" t="s">
        <v>29</v>
      </c>
      <c r="F287" s="1" t="s">
        <v>50</v>
      </c>
      <c r="G287" s="1" t="s">
        <v>46</v>
      </c>
      <c r="H287" s="1" t="s">
        <v>62</v>
      </c>
      <c r="I287" s="1">
        <v>193.59</v>
      </c>
      <c r="J287" s="1">
        <v>22693</v>
      </c>
      <c r="K287" s="1">
        <v>1026</v>
      </c>
      <c r="L287" s="1">
        <v>373</v>
      </c>
      <c r="M287" s="1">
        <v>5</v>
      </c>
      <c r="N287" s="1">
        <v>4.5212179969999999</v>
      </c>
      <c r="O287" s="1">
        <v>36.354775830000001</v>
      </c>
      <c r="P287" s="1">
        <f t="shared" si="14"/>
        <v>5</v>
      </c>
      <c r="V287" t="str">
        <f t="shared" si="15"/>
        <v>Average Performer</v>
      </c>
      <c r="W287" t="e" cm="1">
        <f t="array" aca="1" ref="W287" ca="1">_xlfn.IFS(N287&gt;=20, "High",N287&gt;=10, "Medium", N287&lt;10, "Low")</f>
        <v>#NAME?</v>
      </c>
      <c r="X287" t="str">
        <f t="shared" si="16"/>
        <v>Low Budget</v>
      </c>
      <c r="Y287" s="7">
        <f>VLOOKUP(G287, Lookup_table!B:C,2,0)</f>
        <v>0.75</v>
      </c>
      <c r="Z287" t="str">
        <f t="shared" si="17"/>
        <v>Efficient Spend</v>
      </c>
      <c r="AA287" t="str">
        <f>VLOOKUP(H287, Lookup_table!E:F,2,0)</f>
        <v>Medium</v>
      </c>
    </row>
    <row r="288" spans="1:27" ht="17.5" customHeight="1" x14ac:dyDescent="0.35">
      <c r="A288" s="1" t="s">
        <v>465</v>
      </c>
      <c r="B288" s="2">
        <v>45425</v>
      </c>
      <c r="C288" s="1" t="s">
        <v>136</v>
      </c>
      <c r="D288" s="1">
        <v>19</v>
      </c>
      <c r="E288" s="1" t="s">
        <v>23</v>
      </c>
      <c r="F288" s="1" t="s">
        <v>50</v>
      </c>
      <c r="G288" s="1" t="s">
        <v>25</v>
      </c>
      <c r="H288" s="1" t="s">
        <v>36</v>
      </c>
      <c r="I288" s="1">
        <v>1588.33</v>
      </c>
      <c r="J288" s="1">
        <v>7116</v>
      </c>
      <c r="K288" s="1">
        <v>3602</v>
      </c>
      <c r="L288" s="1">
        <v>117</v>
      </c>
      <c r="M288" s="1">
        <v>4</v>
      </c>
      <c r="N288" s="1">
        <v>50.618324899999998</v>
      </c>
      <c r="O288" s="1">
        <v>3.2481954470000001</v>
      </c>
      <c r="P288" s="1">
        <f t="shared" si="14"/>
        <v>4</v>
      </c>
      <c r="V288" t="str">
        <f t="shared" si="15"/>
        <v>Average Performer</v>
      </c>
      <c r="W288" t="e" cm="1">
        <f t="array" aca="1" ref="W288" ca="1">_xlfn.IFS(N288&gt;=20, "High",N288&gt;=10, "Medium", N288&lt;10, "Low")</f>
        <v>#NAME?</v>
      </c>
      <c r="X288" t="str">
        <f t="shared" si="16"/>
        <v>High Budget</v>
      </c>
      <c r="Y288" s="7">
        <f>VLOOKUP(G288, Lookup_table!B:C,2,0)</f>
        <v>0.5</v>
      </c>
      <c r="Z288" t="str">
        <f t="shared" si="17"/>
        <v>Efficient Spend</v>
      </c>
      <c r="AA288" t="str">
        <f>VLOOKUP(H288, Lookup_table!E:F,2,0)</f>
        <v>High</v>
      </c>
    </row>
    <row r="289" spans="1:27" ht="17.5" customHeight="1" x14ac:dyDescent="0.35">
      <c r="A289" s="1" t="s">
        <v>466</v>
      </c>
      <c r="B289" s="2">
        <v>45396</v>
      </c>
      <c r="C289" s="1" t="s">
        <v>467</v>
      </c>
      <c r="D289" s="1">
        <v>64</v>
      </c>
      <c r="E289" s="1" t="s">
        <v>35</v>
      </c>
      <c r="F289" s="1" t="s">
        <v>41</v>
      </c>
      <c r="G289" s="1" t="s">
        <v>31</v>
      </c>
      <c r="H289" s="1" t="s">
        <v>62</v>
      </c>
      <c r="I289" s="1">
        <v>182.5</v>
      </c>
      <c r="J289" s="1">
        <v>7864</v>
      </c>
      <c r="K289" s="1">
        <v>4423</v>
      </c>
      <c r="L289" s="1">
        <v>371</v>
      </c>
      <c r="M289" s="1">
        <v>5</v>
      </c>
      <c r="N289" s="1">
        <v>56.243641910000001</v>
      </c>
      <c r="O289" s="1">
        <v>8.3879719650000002</v>
      </c>
      <c r="P289" s="1">
        <f t="shared" si="14"/>
        <v>5</v>
      </c>
      <c r="V289" t="str">
        <f t="shared" si="15"/>
        <v>Top Performer</v>
      </c>
      <c r="W289" t="e" cm="1">
        <f t="array" aca="1" ref="W289" ca="1">_xlfn.IFS(N289&gt;=20, "High",N289&gt;=10, "Medium", N289&lt;10, "Low")</f>
        <v>#NAME?</v>
      </c>
      <c r="X289" t="str">
        <f t="shared" si="16"/>
        <v>Low Budget</v>
      </c>
      <c r="Y289" s="7">
        <f>VLOOKUP(G289, Lookup_table!B:C,2,0)</f>
        <v>1.2</v>
      </c>
      <c r="Z289" t="str">
        <f t="shared" si="17"/>
        <v>Efficient Spend</v>
      </c>
      <c r="AA289" t="str">
        <f>VLOOKUP(H289, Lookup_table!E:F,2,0)</f>
        <v>Medium</v>
      </c>
    </row>
    <row r="290" spans="1:27" ht="17.5" customHeight="1" x14ac:dyDescent="0.35">
      <c r="A290" s="1" t="s">
        <v>468</v>
      </c>
      <c r="B290" s="2">
        <v>45385</v>
      </c>
      <c r="C290" s="1" t="s">
        <v>469</v>
      </c>
      <c r="D290" s="1">
        <v>20</v>
      </c>
      <c r="E290" s="1" t="s">
        <v>29</v>
      </c>
      <c r="F290" s="1" t="s">
        <v>45</v>
      </c>
      <c r="G290" s="1" t="s">
        <v>46</v>
      </c>
      <c r="H290" s="1" t="s">
        <v>32</v>
      </c>
      <c r="I290" s="1">
        <v>950.76</v>
      </c>
      <c r="J290" s="1">
        <v>25485</v>
      </c>
      <c r="K290" s="1">
        <v>3308</v>
      </c>
      <c r="L290" s="1">
        <v>50</v>
      </c>
      <c r="M290" s="1">
        <v>2</v>
      </c>
      <c r="N290" s="1">
        <v>12.980184420000001</v>
      </c>
      <c r="O290" s="1">
        <v>1.5114873040000001</v>
      </c>
      <c r="P290" s="1">
        <f t="shared" si="14"/>
        <v>2</v>
      </c>
      <c r="V290" t="str">
        <f t="shared" si="15"/>
        <v>Low Performer</v>
      </c>
      <c r="W290" t="e" cm="1">
        <f t="array" aca="1" ref="W290" ca="1">_xlfn.IFS(N290&gt;=20, "High",N290&gt;=10, "Medium", N290&lt;10, "Low")</f>
        <v>#NAME?</v>
      </c>
      <c r="X290" t="str">
        <f t="shared" si="16"/>
        <v>Medium Budget</v>
      </c>
      <c r="Y290" s="7">
        <f>VLOOKUP(G290, Lookup_table!B:C,2,0)</f>
        <v>0.75</v>
      </c>
      <c r="Z290" t="str">
        <f t="shared" si="17"/>
        <v>Efficient Spend</v>
      </c>
      <c r="AA290" t="str">
        <f>VLOOKUP(H290, Lookup_table!E:F,2,0)</f>
        <v>Medium</v>
      </c>
    </row>
    <row r="291" spans="1:27" ht="17.5" customHeight="1" x14ac:dyDescent="0.35">
      <c r="A291" s="1" t="s">
        <v>470</v>
      </c>
      <c r="B291" s="2">
        <v>45365</v>
      </c>
      <c r="C291" s="1" t="s">
        <v>471</v>
      </c>
      <c r="D291" s="1">
        <v>48</v>
      </c>
      <c r="E291" s="1" t="s">
        <v>35</v>
      </c>
      <c r="F291" s="1" t="s">
        <v>45</v>
      </c>
      <c r="G291" s="1" t="s">
        <v>42</v>
      </c>
      <c r="H291" s="1" t="s">
        <v>62</v>
      </c>
      <c r="I291" s="1">
        <v>679.15</v>
      </c>
      <c r="J291" s="1">
        <v>14524</v>
      </c>
      <c r="K291" s="1">
        <v>653</v>
      </c>
      <c r="L291" s="1">
        <v>48</v>
      </c>
      <c r="M291" s="1">
        <v>4</v>
      </c>
      <c r="N291" s="1">
        <v>4.4960066100000002</v>
      </c>
      <c r="O291" s="1">
        <v>7.3506891269999999</v>
      </c>
      <c r="P291" s="1">
        <f t="shared" si="14"/>
        <v>4</v>
      </c>
      <c r="V291" t="str">
        <f t="shared" si="15"/>
        <v>Low Performer</v>
      </c>
      <c r="W291" t="e" cm="1">
        <f t="array" aca="1" ref="W291" ca="1">_xlfn.IFS(N291&gt;=20, "High",N291&gt;=10, "Medium", N291&lt;10, "Low")</f>
        <v>#NAME?</v>
      </c>
      <c r="X291" t="str">
        <f t="shared" si="16"/>
        <v>Medium Budget</v>
      </c>
      <c r="Y291" s="7">
        <f>VLOOKUP(G291, Lookup_table!B:C,2,0)</f>
        <v>0.3</v>
      </c>
      <c r="Z291" t="str">
        <f t="shared" si="17"/>
        <v>Inefficient Spend</v>
      </c>
      <c r="AA291" t="str">
        <f>VLOOKUP(H291, Lookup_table!E:F,2,0)</f>
        <v>Medium</v>
      </c>
    </row>
    <row r="292" spans="1:27" ht="17.5" customHeight="1" x14ac:dyDescent="0.35">
      <c r="A292" s="1" t="s">
        <v>472</v>
      </c>
      <c r="B292" s="2">
        <v>45475</v>
      </c>
      <c r="C292" s="1" t="s">
        <v>473</v>
      </c>
      <c r="D292" s="1">
        <v>27</v>
      </c>
      <c r="E292" s="1" t="s">
        <v>29</v>
      </c>
      <c r="F292" s="1" t="s">
        <v>24</v>
      </c>
      <c r="G292" s="1" t="s">
        <v>61</v>
      </c>
      <c r="H292" s="1" t="s">
        <v>32</v>
      </c>
      <c r="I292" s="1">
        <v>233.28</v>
      </c>
      <c r="J292" s="1">
        <v>22861</v>
      </c>
      <c r="K292" s="1">
        <v>2657</v>
      </c>
      <c r="L292" s="1">
        <v>298</v>
      </c>
      <c r="N292" s="1">
        <v>11.622413720000001</v>
      </c>
      <c r="O292" s="1">
        <v>11.21565676</v>
      </c>
      <c r="P292" s="1">
        <f t="shared" si="14"/>
        <v>3</v>
      </c>
      <c r="V292" t="str">
        <f t="shared" si="15"/>
        <v>Average Performer</v>
      </c>
      <c r="W292" t="e" cm="1">
        <f t="array" aca="1" ref="W292" ca="1">_xlfn.IFS(N292&gt;=20, "High",N292&gt;=10, "Medium", N292&lt;10, "Low")</f>
        <v>#NAME?</v>
      </c>
      <c r="X292" t="str">
        <f t="shared" si="16"/>
        <v>Low Budget</v>
      </c>
      <c r="Y292" s="7">
        <f>VLOOKUP(G292, Lookup_table!B:C,2,0)</f>
        <v>0.2</v>
      </c>
      <c r="Z292" t="str">
        <f t="shared" si="17"/>
        <v>Efficient Spend</v>
      </c>
      <c r="AA292" t="str">
        <f>VLOOKUP(H292, Lookup_table!E:F,2,0)</f>
        <v>Medium</v>
      </c>
    </row>
    <row r="293" spans="1:27" ht="17.5" customHeight="1" x14ac:dyDescent="0.35">
      <c r="A293" s="1" t="s">
        <v>474</v>
      </c>
      <c r="B293" s="2">
        <v>45587</v>
      </c>
      <c r="C293" s="1" t="s">
        <v>212</v>
      </c>
      <c r="D293" s="9">
        <v>41</v>
      </c>
      <c r="E293" s="1" t="s">
        <v>23</v>
      </c>
      <c r="G293" s="1" t="s">
        <v>25</v>
      </c>
      <c r="H293" s="1" t="s">
        <v>36</v>
      </c>
      <c r="I293" s="1">
        <v>1175.3499999999999</v>
      </c>
      <c r="J293" s="1">
        <v>18946</v>
      </c>
      <c r="K293" s="1">
        <v>838</v>
      </c>
      <c r="L293" s="1">
        <v>10</v>
      </c>
      <c r="N293" s="1">
        <v>4.4230972240000002</v>
      </c>
      <c r="O293" s="1">
        <v>1.193317422</v>
      </c>
      <c r="P293" s="1">
        <f t="shared" si="14"/>
        <v>3</v>
      </c>
      <c r="V293" t="str">
        <f t="shared" si="15"/>
        <v>Low Performer</v>
      </c>
      <c r="W293" t="e" cm="1">
        <f t="array" aca="1" ref="W293" ca="1">_xlfn.IFS(N293&gt;=20, "High",N293&gt;=10, "Medium", N293&lt;10, "Low")</f>
        <v>#NAME?</v>
      </c>
      <c r="X293" t="str">
        <f t="shared" si="16"/>
        <v>High Budget</v>
      </c>
      <c r="Y293" s="7">
        <f>VLOOKUP(G293, Lookup_table!B:C,2,0)</f>
        <v>0.5</v>
      </c>
      <c r="Z293" t="str">
        <f t="shared" si="17"/>
        <v>Inefficient Spend</v>
      </c>
      <c r="AA293" t="str">
        <f>VLOOKUP(H293, Lookup_table!E:F,2,0)</f>
        <v>High</v>
      </c>
    </row>
    <row r="294" spans="1:27" ht="17.5" customHeight="1" x14ac:dyDescent="0.35">
      <c r="A294" s="1" t="s">
        <v>475</v>
      </c>
      <c r="B294" s="2">
        <v>45498</v>
      </c>
      <c r="C294" s="1" t="s">
        <v>336</v>
      </c>
      <c r="D294" s="1">
        <v>22</v>
      </c>
      <c r="E294" s="1" t="s">
        <v>35</v>
      </c>
      <c r="F294" s="1" t="s">
        <v>24</v>
      </c>
      <c r="G294" s="1" t="s">
        <v>42</v>
      </c>
      <c r="H294" s="1" t="s">
        <v>32</v>
      </c>
      <c r="I294" s="1">
        <v>1163.9000000000001</v>
      </c>
      <c r="J294" s="1">
        <v>29133</v>
      </c>
      <c r="K294" s="1">
        <v>559</v>
      </c>
      <c r="L294" s="1">
        <v>327</v>
      </c>
      <c r="M294" s="1">
        <v>3</v>
      </c>
      <c r="N294" s="1">
        <v>1.918786256</v>
      </c>
      <c r="O294" s="1">
        <v>58.497316640000001</v>
      </c>
      <c r="P294" s="1">
        <f t="shared" si="14"/>
        <v>3</v>
      </c>
      <c r="V294" t="str">
        <f t="shared" si="15"/>
        <v>Low Performer</v>
      </c>
      <c r="W294" t="e" cm="1">
        <f t="array" aca="1" ref="W294" ca="1">_xlfn.IFS(N294&gt;=20, "High",N294&gt;=10, "Medium", N294&lt;10, "Low")</f>
        <v>#NAME?</v>
      </c>
      <c r="X294" t="str">
        <f t="shared" si="16"/>
        <v>High Budget</v>
      </c>
      <c r="Y294" s="7">
        <f>VLOOKUP(G294, Lookup_table!B:C,2,0)</f>
        <v>0.3</v>
      </c>
      <c r="Z294" t="str">
        <f t="shared" si="17"/>
        <v>Inefficient Spend</v>
      </c>
      <c r="AA294" t="str">
        <f>VLOOKUP(H294, Lookup_table!E:F,2,0)</f>
        <v>Medium</v>
      </c>
    </row>
    <row r="295" spans="1:27" ht="17.5" customHeight="1" x14ac:dyDescent="0.35">
      <c r="A295" s="1" t="s">
        <v>476</v>
      </c>
      <c r="B295" s="2">
        <v>45482</v>
      </c>
      <c r="C295" s="1" t="s">
        <v>477</v>
      </c>
      <c r="D295" s="1">
        <v>63</v>
      </c>
      <c r="E295" s="1" t="s">
        <v>35</v>
      </c>
      <c r="F295" s="1" t="s">
        <v>45</v>
      </c>
      <c r="G295" s="1" t="s">
        <v>61</v>
      </c>
      <c r="H295" s="1" t="s">
        <v>62</v>
      </c>
      <c r="I295" s="1">
        <v>1193.5999999999999</v>
      </c>
      <c r="J295" s="1">
        <v>34719</v>
      </c>
      <c r="K295" s="1">
        <v>2037</v>
      </c>
      <c r="L295" s="1">
        <v>287</v>
      </c>
      <c r="M295" s="1">
        <v>4</v>
      </c>
      <c r="N295" s="1">
        <v>5.8671044669999999</v>
      </c>
      <c r="O295" s="1">
        <v>14.08934708</v>
      </c>
      <c r="P295" s="1">
        <f t="shared" si="14"/>
        <v>4</v>
      </c>
      <c r="V295" t="str">
        <f t="shared" si="15"/>
        <v>Average Performer</v>
      </c>
      <c r="W295" t="e" cm="1">
        <f t="array" aca="1" ref="W295" ca="1">_xlfn.IFS(N295&gt;=20, "High",N295&gt;=10, "Medium", N295&lt;10, "Low")</f>
        <v>#NAME?</v>
      </c>
      <c r="X295" t="str">
        <f t="shared" si="16"/>
        <v>High Budget</v>
      </c>
      <c r="Y295" s="7">
        <f>VLOOKUP(G295, Lookup_table!B:C,2,0)</f>
        <v>0.2</v>
      </c>
      <c r="Z295" t="str">
        <f t="shared" si="17"/>
        <v>Inefficient Spend</v>
      </c>
      <c r="AA295" t="str">
        <f>VLOOKUP(H295, Lookup_table!E:F,2,0)</f>
        <v>Medium</v>
      </c>
    </row>
    <row r="296" spans="1:27" ht="17.5" customHeight="1" x14ac:dyDescent="0.35">
      <c r="A296" s="1" t="s">
        <v>478</v>
      </c>
      <c r="B296" s="2">
        <v>45329</v>
      </c>
      <c r="C296" s="1" t="s">
        <v>477</v>
      </c>
      <c r="D296" s="1">
        <v>62</v>
      </c>
      <c r="E296" s="1" t="s">
        <v>23</v>
      </c>
      <c r="F296" s="1" t="s">
        <v>45</v>
      </c>
      <c r="G296" s="1" t="s">
        <v>42</v>
      </c>
      <c r="H296" s="1" t="s">
        <v>36</v>
      </c>
      <c r="I296" s="1">
        <v>941.1</v>
      </c>
      <c r="J296" s="1">
        <v>33872</v>
      </c>
      <c r="K296" s="1">
        <v>372</v>
      </c>
      <c r="L296" s="1">
        <v>191</v>
      </c>
      <c r="M296" s="1">
        <v>2</v>
      </c>
      <c r="N296" s="1">
        <v>1.098252244</v>
      </c>
      <c r="O296" s="1">
        <v>51.344086019999999</v>
      </c>
      <c r="P296" s="1">
        <f t="shared" si="14"/>
        <v>2</v>
      </c>
      <c r="V296" t="str">
        <f t="shared" si="15"/>
        <v>Low Performer</v>
      </c>
      <c r="W296" t="e" cm="1">
        <f t="array" aca="1" ref="W296" ca="1">_xlfn.IFS(N296&gt;=20, "High",N296&gt;=10, "Medium", N296&lt;10, "Low")</f>
        <v>#NAME?</v>
      </c>
      <c r="X296" t="str">
        <f t="shared" si="16"/>
        <v>Medium Budget</v>
      </c>
      <c r="Y296" s="7">
        <f>VLOOKUP(G296, Lookup_table!B:C,2,0)</f>
        <v>0.3</v>
      </c>
      <c r="Z296" t="str">
        <f t="shared" si="17"/>
        <v>Inefficient Spend</v>
      </c>
      <c r="AA296" t="str">
        <f>VLOOKUP(H296, Lookup_table!E:F,2,0)</f>
        <v>High</v>
      </c>
    </row>
    <row r="297" spans="1:27" ht="17.5" customHeight="1" x14ac:dyDescent="0.35">
      <c r="A297" s="1" t="s">
        <v>479</v>
      </c>
      <c r="B297" s="2">
        <v>45634</v>
      </c>
      <c r="C297" s="1" t="s">
        <v>88</v>
      </c>
      <c r="D297" s="1">
        <v>54</v>
      </c>
      <c r="E297" s="1" t="s">
        <v>29</v>
      </c>
      <c r="F297" s="1" t="s">
        <v>24</v>
      </c>
      <c r="G297" s="1" t="s">
        <v>46</v>
      </c>
      <c r="H297" s="1" t="s">
        <v>32</v>
      </c>
      <c r="I297" s="1">
        <v>1971.95</v>
      </c>
      <c r="J297" s="1">
        <v>11792</v>
      </c>
      <c r="K297" s="1">
        <v>4428</v>
      </c>
      <c r="L297" s="1">
        <v>60</v>
      </c>
      <c r="M297" s="1">
        <v>5</v>
      </c>
      <c r="N297" s="1">
        <v>37.550881949999997</v>
      </c>
      <c r="O297" s="1">
        <v>1.35501355</v>
      </c>
      <c r="P297" s="1">
        <f t="shared" si="14"/>
        <v>5</v>
      </c>
      <c r="V297" t="str">
        <f t="shared" si="15"/>
        <v>Low Performer</v>
      </c>
      <c r="W297" t="e" cm="1">
        <f t="array" aca="1" ref="W297" ca="1">_xlfn.IFS(N297&gt;=20, "High",N297&gt;=10, "Medium", N297&lt;10, "Low")</f>
        <v>#NAME?</v>
      </c>
      <c r="X297" t="str">
        <f t="shared" si="16"/>
        <v>High Budget</v>
      </c>
      <c r="Y297" s="7">
        <f>VLOOKUP(G297, Lookup_table!B:C,2,0)</f>
        <v>0.75</v>
      </c>
      <c r="Z297" t="str">
        <f t="shared" si="17"/>
        <v>Efficient Spend</v>
      </c>
      <c r="AA297" t="str">
        <f>VLOOKUP(H297, Lookup_table!E:F,2,0)</f>
        <v>Medium</v>
      </c>
    </row>
    <row r="298" spans="1:27" ht="17.5" customHeight="1" x14ac:dyDescent="0.35">
      <c r="A298" s="1" t="s">
        <v>480</v>
      </c>
      <c r="B298" s="2">
        <v>45533</v>
      </c>
      <c r="C298" s="1" t="s">
        <v>186</v>
      </c>
      <c r="D298" s="1">
        <v>48</v>
      </c>
      <c r="E298" s="1" t="s">
        <v>35</v>
      </c>
      <c r="F298" s="1" t="s">
        <v>24</v>
      </c>
      <c r="G298" s="1" t="s">
        <v>42</v>
      </c>
      <c r="H298" s="1" t="s">
        <v>36</v>
      </c>
      <c r="I298" s="1">
        <v>640.09</v>
      </c>
      <c r="J298" s="1">
        <v>28230</v>
      </c>
      <c r="K298" s="1">
        <v>3058</v>
      </c>
      <c r="L298" s="1">
        <v>324</v>
      </c>
      <c r="M298" s="1">
        <v>5</v>
      </c>
      <c r="N298" s="1">
        <v>10.83244775</v>
      </c>
      <c r="O298" s="1">
        <v>10.59516024</v>
      </c>
      <c r="P298" s="1">
        <f t="shared" si="14"/>
        <v>5</v>
      </c>
      <c r="V298" t="str">
        <f t="shared" si="15"/>
        <v>Top Performer</v>
      </c>
      <c r="W298" t="e" cm="1">
        <f t="array" aca="1" ref="W298" ca="1">_xlfn.IFS(N298&gt;=20, "High",N298&gt;=10, "Medium", N298&lt;10, "Low")</f>
        <v>#NAME?</v>
      </c>
      <c r="X298" t="str">
        <f t="shared" si="16"/>
        <v>Medium Budget</v>
      </c>
      <c r="Y298" s="7">
        <f>VLOOKUP(G298, Lookup_table!B:C,2,0)</f>
        <v>0.3</v>
      </c>
      <c r="Z298" t="str">
        <f t="shared" si="17"/>
        <v>Efficient Spend</v>
      </c>
      <c r="AA298" t="str">
        <f>VLOOKUP(H298, Lookup_table!E:F,2,0)</f>
        <v>High</v>
      </c>
    </row>
    <row r="299" spans="1:27" ht="17.5" customHeight="1" x14ac:dyDescent="0.35">
      <c r="A299" s="1" t="s">
        <v>481</v>
      </c>
      <c r="B299" s="2">
        <v>45594</v>
      </c>
      <c r="C299" s="1" t="s">
        <v>75</v>
      </c>
      <c r="D299" s="1">
        <v>34</v>
      </c>
      <c r="E299" s="1" t="s">
        <v>29</v>
      </c>
      <c r="F299" s="1" t="s">
        <v>57</v>
      </c>
      <c r="G299" s="1" t="s">
        <v>42</v>
      </c>
      <c r="H299" s="1" t="s">
        <v>26</v>
      </c>
      <c r="I299" s="1">
        <v>1245.4100000000001</v>
      </c>
      <c r="J299" s="1">
        <v>14446</v>
      </c>
      <c r="K299" s="1">
        <v>4601</v>
      </c>
      <c r="L299" s="1">
        <v>315</v>
      </c>
      <c r="M299" s="1">
        <v>3</v>
      </c>
      <c r="N299" s="1">
        <v>31.849646960000001</v>
      </c>
      <c r="O299" s="1">
        <v>6.8463377530000002</v>
      </c>
      <c r="P299" s="1">
        <f t="shared" si="14"/>
        <v>3</v>
      </c>
      <c r="V299" t="str">
        <f t="shared" si="15"/>
        <v>Top Performer</v>
      </c>
      <c r="W299" t="e" cm="1">
        <f t="array" aca="1" ref="W299" ca="1">_xlfn.IFS(N299&gt;=20, "High",N299&gt;=10, "Medium", N299&lt;10, "Low")</f>
        <v>#NAME?</v>
      </c>
      <c r="X299" t="str">
        <f t="shared" si="16"/>
        <v>High Budget</v>
      </c>
      <c r="Y299" s="7">
        <f>VLOOKUP(G299, Lookup_table!B:C,2,0)</f>
        <v>0.3</v>
      </c>
      <c r="Z299" t="str">
        <f t="shared" si="17"/>
        <v>Efficient Spend</v>
      </c>
      <c r="AA299" t="str">
        <f>VLOOKUP(H299, Lookup_table!E:F,2,0)</f>
        <v>High</v>
      </c>
    </row>
    <row r="300" spans="1:27" ht="17.5" customHeight="1" x14ac:dyDescent="0.35">
      <c r="A300" s="1" t="s">
        <v>482</v>
      </c>
      <c r="B300" s="2">
        <v>45557</v>
      </c>
      <c r="C300" s="1" t="s">
        <v>483</v>
      </c>
      <c r="D300" s="1">
        <v>23</v>
      </c>
      <c r="E300" s="1" t="s">
        <v>23</v>
      </c>
      <c r="F300" s="1" t="s">
        <v>24</v>
      </c>
      <c r="G300" s="1" t="s">
        <v>61</v>
      </c>
      <c r="H300" s="1" t="s">
        <v>26</v>
      </c>
      <c r="I300" s="1">
        <v>199.16</v>
      </c>
      <c r="J300" s="1">
        <v>33698</v>
      </c>
      <c r="K300" s="1">
        <v>4008</v>
      </c>
      <c r="L300" s="1">
        <v>344</v>
      </c>
      <c r="M300" s="1">
        <v>4</v>
      </c>
      <c r="N300" s="1">
        <v>11.893880940000001</v>
      </c>
      <c r="O300" s="1">
        <v>8.5828343310000008</v>
      </c>
      <c r="P300" s="1">
        <f t="shared" si="14"/>
        <v>4</v>
      </c>
      <c r="V300" t="str">
        <f t="shared" si="15"/>
        <v>Top Performer</v>
      </c>
      <c r="W300" t="e" cm="1">
        <f t="array" aca="1" ref="W300" ca="1">_xlfn.IFS(N300&gt;=20, "High",N300&gt;=10, "Medium", N300&lt;10, "Low")</f>
        <v>#NAME?</v>
      </c>
      <c r="X300" t="str">
        <f t="shared" si="16"/>
        <v>Low Budget</v>
      </c>
      <c r="Y300" s="7">
        <f>VLOOKUP(G300, Lookup_table!B:C,2,0)</f>
        <v>0.2</v>
      </c>
      <c r="Z300" t="str">
        <f t="shared" si="17"/>
        <v>Efficient Spend</v>
      </c>
      <c r="AA300" t="str">
        <f>VLOOKUP(H300, Lookup_table!E:F,2,0)</f>
        <v>High</v>
      </c>
    </row>
    <row r="301" spans="1:27" ht="17.5" customHeight="1" x14ac:dyDescent="0.35">
      <c r="A301" s="1" t="s">
        <v>484</v>
      </c>
      <c r="B301" s="2">
        <v>45455</v>
      </c>
      <c r="C301" s="1" t="s">
        <v>386</v>
      </c>
      <c r="D301" s="1">
        <v>57</v>
      </c>
      <c r="E301" s="1" t="s">
        <v>35</v>
      </c>
      <c r="F301" s="1" t="s">
        <v>41</v>
      </c>
      <c r="G301" s="1" t="s">
        <v>25</v>
      </c>
      <c r="H301" s="1" t="s">
        <v>62</v>
      </c>
      <c r="I301" s="1">
        <v>145.68</v>
      </c>
      <c r="J301" s="1">
        <v>19221</v>
      </c>
      <c r="K301" s="1">
        <v>404</v>
      </c>
      <c r="L301" s="1">
        <v>22</v>
      </c>
      <c r="M301" s="1">
        <v>5</v>
      </c>
      <c r="N301" s="1">
        <v>2.1018677490000002</v>
      </c>
      <c r="O301" s="1">
        <v>5.4455445539999996</v>
      </c>
      <c r="P301" s="1">
        <f t="shared" si="14"/>
        <v>5</v>
      </c>
      <c r="V301" t="str">
        <f t="shared" si="15"/>
        <v>Low Performer</v>
      </c>
      <c r="W301" t="e" cm="1">
        <f t="array" aca="1" ref="W301" ca="1">_xlfn.IFS(N301&gt;=20, "High",N301&gt;=10, "Medium", N301&lt;10, "Low")</f>
        <v>#NAME?</v>
      </c>
      <c r="X301" t="str">
        <f t="shared" si="16"/>
        <v>Low Budget</v>
      </c>
      <c r="Y301" s="7">
        <f>VLOOKUP(G301, Lookup_table!B:C,2,0)</f>
        <v>0.5</v>
      </c>
      <c r="Z301" t="str">
        <f t="shared" si="17"/>
        <v>Efficient Spend</v>
      </c>
      <c r="AA301" t="str">
        <f>VLOOKUP(H301, Lookup_table!E:F,2,0)</f>
        <v>Medium</v>
      </c>
    </row>
    <row r="302" spans="1:27" ht="17.5" customHeight="1" x14ac:dyDescent="0.35">
      <c r="A302" s="1" t="s">
        <v>485</v>
      </c>
      <c r="B302" s="2">
        <v>45307</v>
      </c>
      <c r="C302" s="1" t="s">
        <v>391</v>
      </c>
      <c r="D302" s="1">
        <v>63</v>
      </c>
      <c r="E302" s="1" t="s">
        <v>23</v>
      </c>
      <c r="F302" s="1" t="s">
        <v>24</v>
      </c>
      <c r="G302" s="1" t="s">
        <v>31</v>
      </c>
      <c r="H302" s="1" t="s">
        <v>62</v>
      </c>
      <c r="I302" s="1">
        <v>1982.36</v>
      </c>
      <c r="J302" s="1">
        <v>47781</v>
      </c>
      <c r="K302" s="1">
        <v>4092</v>
      </c>
      <c r="L302" s="1">
        <v>25</v>
      </c>
      <c r="M302" s="1">
        <v>4</v>
      </c>
      <c r="N302" s="1">
        <v>8.5640735859999992</v>
      </c>
      <c r="O302" s="1">
        <v>0.61094819199999995</v>
      </c>
      <c r="P302" s="1">
        <f t="shared" si="14"/>
        <v>4</v>
      </c>
      <c r="V302" t="str">
        <f t="shared" si="15"/>
        <v>Low Performer</v>
      </c>
      <c r="W302" t="e" cm="1">
        <f t="array" aca="1" ref="W302" ca="1">_xlfn.IFS(N302&gt;=20, "High",N302&gt;=10, "Medium", N302&lt;10, "Low")</f>
        <v>#NAME?</v>
      </c>
      <c r="X302" t="str">
        <f t="shared" si="16"/>
        <v>High Budget</v>
      </c>
      <c r="Y302" s="7">
        <f>VLOOKUP(G302, Lookup_table!B:C,2,0)</f>
        <v>1.2</v>
      </c>
      <c r="Z302" t="str">
        <f t="shared" si="17"/>
        <v>Efficient Spend</v>
      </c>
      <c r="AA302" t="str">
        <f>VLOOKUP(H302, Lookup_table!E:F,2,0)</f>
        <v>Medium</v>
      </c>
    </row>
    <row r="303" spans="1:27" ht="17.5" customHeight="1" x14ac:dyDescent="0.35">
      <c r="A303" s="1" t="s">
        <v>486</v>
      </c>
      <c r="B303" s="2">
        <v>45452</v>
      </c>
      <c r="C303" s="1" t="s">
        <v>203</v>
      </c>
      <c r="D303" s="1">
        <v>19</v>
      </c>
      <c r="E303" s="1" t="s">
        <v>29</v>
      </c>
      <c r="F303" s="1" t="s">
        <v>57</v>
      </c>
      <c r="G303" s="1" t="s">
        <v>31</v>
      </c>
      <c r="H303" s="1" t="s">
        <v>32</v>
      </c>
      <c r="I303" s="1">
        <v>1223.1400000000001</v>
      </c>
      <c r="J303" s="1">
        <v>1853</v>
      </c>
      <c r="K303" s="1">
        <v>3700</v>
      </c>
      <c r="L303" s="1">
        <v>150</v>
      </c>
      <c r="M303" s="1">
        <v>3</v>
      </c>
      <c r="N303" s="1">
        <v>199.6762008</v>
      </c>
      <c r="O303" s="1">
        <v>4.0540540539999999</v>
      </c>
      <c r="P303" s="1">
        <f t="shared" si="14"/>
        <v>3</v>
      </c>
      <c r="U303" s="1">
        <f>COUNTIF(N299:N1000, N303&gt;100)</f>
        <v>0</v>
      </c>
      <c r="V303" t="str">
        <f t="shared" si="15"/>
        <v>Average Performer</v>
      </c>
      <c r="W303" t="e" cm="1">
        <f t="array" aca="1" ref="W303" ca="1">_xlfn.IFS(N303&gt;=20, "High",N303&gt;=10, "Medium", N303&lt;10, "Low")</f>
        <v>#NAME?</v>
      </c>
      <c r="X303" t="str">
        <f t="shared" si="16"/>
        <v>High Budget</v>
      </c>
      <c r="Y303" s="7">
        <f>VLOOKUP(G303, Lookup_table!B:C,2,0)</f>
        <v>1.2</v>
      </c>
      <c r="Z303" t="str">
        <f t="shared" si="17"/>
        <v>Efficient Spend</v>
      </c>
      <c r="AA303" t="str">
        <f>VLOOKUP(H303, Lookup_table!E:F,2,0)</f>
        <v>Medium</v>
      </c>
    </row>
    <row r="304" spans="1:27" ht="17.5" customHeight="1" x14ac:dyDescent="0.35">
      <c r="A304" s="1" t="s">
        <v>487</v>
      </c>
      <c r="B304" s="2">
        <v>45647</v>
      </c>
      <c r="C304" s="1" t="s">
        <v>166</v>
      </c>
      <c r="D304" s="1">
        <v>44</v>
      </c>
      <c r="E304" s="1" t="s">
        <v>35</v>
      </c>
      <c r="F304" s="1" t="s">
        <v>50</v>
      </c>
      <c r="G304" s="1" t="s">
        <v>46</v>
      </c>
      <c r="H304" s="1" t="s">
        <v>32</v>
      </c>
      <c r="I304" s="1">
        <v>362.4</v>
      </c>
      <c r="J304" s="1">
        <v>7548</v>
      </c>
      <c r="K304" s="1">
        <v>896</v>
      </c>
      <c r="L304" s="1">
        <v>352</v>
      </c>
      <c r="M304" s="1">
        <v>4</v>
      </c>
      <c r="N304" s="1">
        <v>11.870694220000001</v>
      </c>
      <c r="O304" s="1">
        <v>39.285714290000001</v>
      </c>
      <c r="P304" s="1">
        <f t="shared" si="14"/>
        <v>4</v>
      </c>
      <c r="V304" t="str">
        <f t="shared" si="15"/>
        <v>Low Performer</v>
      </c>
      <c r="W304" t="e" cm="1">
        <f t="array" aca="1" ref="W304" ca="1">_xlfn.IFS(N304&gt;=20, "High",N304&gt;=10, "Medium", N304&lt;10, "Low")</f>
        <v>#NAME?</v>
      </c>
      <c r="X304" t="str">
        <f t="shared" si="16"/>
        <v>Low Budget</v>
      </c>
      <c r="Y304" s="7">
        <f>VLOOKUP(G304, Lookup_table!B:C,2,0)</f>
        <v>0.75</v>
      </c>
      <c r="Z304" t="str">
        <f t="shared" si="17"/>
        <v>Efficient Spend</v>
      </c>
      <c r="AA304" t="str">
        <f>VLOOKUP(H304, Lookup_table!E:F,2,0)</f>
        <v>Medium</v>
      </c>
    </row>
    <row r="305" spans="1:27" ht="17.5" customHeight="1" x14ac:dyDescent="0.35">
      <c r="A305" s="1" t="s">
        <v>488</v>
      </c>
      <c r="B305" s="2">
        <v>45490</v>
      </c>
      <c r="C305" s="1" t="s">
        <v>295</v>
      </c>
      <c r="D305" s="1">
        <v>50</v>
      </c>
      <c r="E305" s="1" t="s">
        <v>23</v>
      </c>
      <c r="F305" s="1" t="s">
        <v>24</v>
      </c>
      <c r="G305" s="1" t="s">
        <v>42</v>
      </c>
      <c r="H305" s="1" t="s">
        <v>62</v>
      </c>
      <c r="I305" s="1">
        <v>682.86</v>
      </c>
      <c r="J305" s="1">
        <v>21436</v>
      </c>
      <c r="K305" s="1">
        <v>3402</v>
      </c>
      <c r="L305" s="1">
        <v>55</v>
      </c>
      <c r="M305" s="1">
        <v>1</v>
      </c>
      <c r="N305" s="1">
        <v>15.870498230000001</v>
      </c>
      <c r="O305" s="1">
        <v>1.6166960610000001</v>
      </c>
      <c r="P305" s="1">
        <f t="shared" si="14"/>
        <v>1</v>
      </c>
      <c r="V305" t="str">
        <f t="shared" si="15"/>
        <v>Low Performer</v>
      </c>
      <c r="W305" t="e" cm="1">
        <f t="array" aca="1" ref="W305" ca="1">_xlfn.IFS(N305&gt;=20, "High",N305&gt;=10, "Medium", N305&lt;10, "Low")</f>
        <v>#NAME?</v>
      </c>
      <c r="X305" t="str">
        <f t="shared" si="16"/>
        <v>Medium Budget</v>
      </c>
      <c r="Y305" s="7">
        <f>VLOOKUP(G305, Lookup_table!B:C,2,0)</f>
        <v>0.3</v>
      </c>
      <c r="Z305" t="str">
        <f t="shared" si="17"/>
        <v>Efficient Spend</v>
      </c>
      <c r="AA305" t="str">
        <f>VLOOKUP(H305, Lookup_table!E:F,2,0)</f>
        <v>Medium</v>
      </c>
    </row>
    <row r="306" spans="1:27" ht="17.5" customHeight="1" x14ac:dyDescent="0.35">
      <c r="A306" s="1" t="s">
        <v>489</v>
      </c>
      <c r="B306" s="2">
        <v>45504</v>
      </c>
      <c r="C306" s="1" t="s">
        <v>195</v>
      </c>
      <c r="D306" s="1">
        <v>31</v>
      </c>
      <c r="E306" s="1" t="s">
        <v>29</v>
      </c>
      <c r="F306" s="1" t="s">
        <v>50</v>
      </c>
      <c r="G306" s="1" t="s">
        <v>25</v>
      </c>
      <c r="H306" s="1" t="s">
        <v>26</v>
      </c>
      <c r="I306" s="1">
        <v>1844.59</v>
      </c>
      <c r="J306" s="1">
        <v>5522</v>
      </c>
      <c r="K306" s="1">
        <v>1730</v>
      </c>
      <c r="L306" s="1">
        <v>326</v>
      </c>
      <c r="M306" s="1">
        <v>1</v>
      </c>
      <c r="N306" s="1">
        <v>31.329228539999999</v>
      </c>
      <c r="O306" s="1">
        <v>18.84393064</v>
      </c>
      <c r="P306" s="1">
        <f t="shared" si="14"/>
        <v>1</v>
      </c>
      <c r="V306" t="str">
        <f t="shared" si="15"/>
        <v>Average Performer</v>
      </c>
      <c r="W306" t="e" cm="1">
        <f t="array" aca="1" ref="W306" ca="1">_xlfn.IFS(N306&gt;=20, "High",N306&gt;=10, "Medium", N306&lt;10, "Low")</f>
        <v>#NAME?</v>
      </c>
      <c r="X306" t="str">
        <f t="shared" si="16"/>
        <v>High Budget</v>
      </c>
      <c r="Y306" s="7">
        <f>VLOOKUP(G306, Lookup_table!B:C,2,0)</f>
        <v>0.5</v>
      </c>
      <c r="Z306" t="str">
        <f t="shared" si="17"/>
        <v>Inefficient Spend</v>
      </c>
      <c r="AA306" t="str">
        <f>VLOOKUP(H306, Lookup_table!E:F,2,0)</f>
        <v>High</v>
      </c>
    </row>
    <row r="307" spans="1:27" ht="17.5" customHeight="1" x14ac:dyDescent="0.35">
      <c r="A307" s="1" t="s">
        <v>490</v>
      </c>
      <c r="B307" s="2">
        <v>45325</v>
      </c>
      <c r="C307" s="1" t="s">
        <v>404</v>
      </c>
      <c r="D307" s="1">
        <v>29</v>
      </c>
      <c r="E307" s="1" t="s">
        <v>35</v>
      </c>
      <c r="F307" s="1" t="s">
        <v>24</v>
      </c>
      <c r="G307" s="1" t="s">
        <v>46</v>
      </c>
      <c r="H307" s="1" t="s">
        <v>36</v>
      </c>
      <c r="I307" s="1">
        <v>550.41</v>
      </c>
      <c r="J307" s="1">
        <v>4042</v>
      </c>
      <c r="K307" s="1">
        <v>600</v>
      </c>
      <c r="L307" s="1">
        <v>370</v>
      </c>
      <c r="M307" s="1">
        <v>1</v>
      </c>
      <c r="N307" s="1">
        <v>14.84413657</v>
      </c>
      <c r="O307" s="1">
        <v>61.666666669999998</v>
      </c>
      <c r="P307" s="1">
        <f t="shared" si="14"/>
        <v>1</v>
      </c>
      <c r="V307" t="str">
        <f t="shared" si="15"/>
        <v>Low Performer</v>
      </c>
      <c r="W307" t="e" cm="1">
        <f t="array" aca="1" ref="W307" ca="1">_xlfn.IFS(N307&gt;=20, "High",N307&gt;=10, "Medium", N307&lt;10, "Low")</f>
        <v>#NAME?</v>
      </c>
      <c r="X307" t="str">
        <f t="shared" si="16"/>
        <v>Medium Budget</v>
      </c>
      <c r="Y307" s="7">
        <f>VLOOKUP(G307, Lookup_table!B:C,2,0)</f>
        <v>0.75</v>
      </c>
      <c r="Z307" t="str">
        <f t="shared" si="17"/>
        <v>Inefficient Spend</v>
      </c>
      <c r="AA307" t="str">
        <f>VLOOKUP(H307, Lookup_table!E:F,2,0)</f>
        <v>High</v>
      </c>
    </row>
    <row r="308" spans="1:27" ht="17.5" customHeight="1" x14ac:dyDescent="0.35">
      <c r="A308" s="1" t="s">
        <v>491</v>
      </c>
      <c r="B308" s="2">
        <v>45313</v>
      </c>
      <c r="C308" s="1" t="s">
        <v>492</v>
      </c>
      <c r="D308" s="1">
        <v>57</v>
      </c>
      <c r="E308" s="1" t="s">
        <v>35</v>
      </c>
      <c r="F308" s="1" t="s">
        <v>57</v>
      </c>
      <c r="G308" s="1" t="s">
        <v>25</v>
      </c>
      <c r="H308" s="1" t="s">
        <v>26</v>
      </c>
      <c r="I308" s="1">
        <v>1590.02</v>
      </c>
      <c r="J308" s="1">
        <v>19755</v>
      </c>
      <c r="K308" s="1">
        <v>2156</v>
      </c>
      <c r="L308" s="1">
        <v>305</v>
      </c>
      <c r="M308" s="1">
        <v>3</v>
      </c>
      <c r="N308" s="1">
        <v>10.91369274</v>
      </c>
      <c r="O308" s="1">
        <v>14.14656772</v>
      </c>
      <c r="P308" s="1">
        <f t="shared" si="14"/>
        <v>3</v>
      </c>
      <c r="V308" t="str">
        <f t="shared" si="15"/>
        <v>Average Performer</v>
      </c>
      <c r="W308" t="e" cm="1">
        <f t="array" aca="1" ref="W308" ca="1">_xlfn.IFS(N308&gt;=20, "High",N308&gt;=10, "Medium", N308&lt;10, "Low")</f>
        <v>#NAME?</v>
      </c>
      <c r="X308" t="str">
        <f t="shared" si="16"/>
        <v>High Budget</v>
      </c>
      <c r="Y308" s="7">
        <f>VLOOKUP(G308, Lookup_table!B:C,2,0)</f>
        <v>0.5</v>
      </c>
      <c r="Z308" t="str">
        <f t="shared" si="17"/>
        <v>Inefficient Spend</v>
      </c>
      <c r="AA308" t="str">
        <f>VLOOKUP(H308, Lookup_table!E:F,2,0)</f>
        <v>High</v>
      </c>
    </row>
    <row r="309" spans="1:27" ht="17.5" customHeight="1" x14ac:dyDescent="0.35">
      <c r="A309" s="1" t="s">
        <v>493</v>
      </c>
      <c r="B309" s="2">
        <v>45614</v>
      </c>
      <c r="C309" s="1" t="s">
        <v>494</v>
      </c>
      <c r="D309" s="1">
        <v>29</v>
      </c>
      <c r="E309" s="1" t="s">
        <v>23</v>
      </c>
      <c r="F309" s="1" t="s">
        <v>24</v>
      </c>
      <c r="G309" s="1" t="s">
        <v>25</v>
      </c>
      <c r="H309" s="1" t="s">
        <v>36</v>
      </c>
      <c r="I309" s="1">
        <v>1362.88</v>
      </c>
      <c r="J309" s="1">
        <v>41551</v>
      </c>
      <c r="K309" s="1">
        <v>3514</v>
      </c>
      <c r="L309" s="1">
        <v>271</v>
      </c>
      <c r="M309" s="1">
        <v>1</v>
      </c>
      <c r="N309" s="1">
        <v>8.4570768449999996</v>
      </c>
      <c r="O309" s="1">
        <v>7.712009106</v>
      </c>
      <c r="P309" s="1">
        <f t="shared" si="14"/>
        <v>1</v>
      </c>
      <c r="V309" t="str">
        <f t="shared" si="15"/>
        <v>Top Performer</v>
      </c>
      <c r="W309" t="e" cm="1">
        <f t="array" aca="1" ref="W309" ca="1">_xlfn.IFS(N309&gt;=20, "High",N309&gt;=10, "Medium", N309&lt;10, "Low")</f>
        <v>#NAME?</v>
      </c>
      <c r="X309" t="str">
        <f t="shared" si="16"/>
        <v>High Budget</v>
      </c>
      <c r="Y309" s="7">
        <f>VLOOKUP(G309, Lookup_table!B:C,2,0)</f>
        <v>0.5</v>
      </c>
      <c r="Z309" t="str">
        <f t="shared" si="17"/>
        <v>Efficient Spend</v>
      </c>
      <c r="AA309" t="str">
        <f>VLOOKUP(H309, Lookup_table!E:F,2,0)</f>
        <v>High</v>
      </c>
    </row>
    <row r="310" spans="1:27" ht="17.5" customHeight="1" x14ac:dyDescent="0.35">
      <c r="A310" s="1" t="s">
        <v>495</v>
      </c>
      <c r="B310" s="2">
        <v>45559</v>
      </c>
      <c r="C310" s="1" t="s">
        <v>138</v>
      </c>
      <c r="D310" s="1">
        <v>51</v>
      </c>
      <c r="E310" s="1" t="s">
        <v>35</v>
      </c>
      <c r="F310" s="1" t="s">
        <v>30</v>
      </c>
      <c r="G310" s="1" t="s">
        <v>42</v>
      </c>
      <c r="H310" s="1" t="s">
        <v>32</v>
      </c>
      <c r="I310" s="1">
        <v>263.88</v>
      </c>
      <c r="J310" s="1">
        <v>25024</v>
      </c>
      <c r="K310" s="1">
        <v>2978</v>
      </c>
      <c r="L310" s="1">
        <v>382</v>
      </c>
      <c r="M310" s="1">
        <v>4</v>
      </c>
      <c r="N310" s="1">
        <v>11.90057545</v>
      </c>
      <c r="O310" s="1">
        <v>12.82740094</v>
      </c>
      <c r="P310" s="1">
        <f t="shared" si="14"/>
        <v>4</v>
      </c>
      <c r="V310" t="str">
        <f t="shared" si="15"/>
        <v>Average Performer</v>
      </c>
      <c r="W310" t="e" cm="1">
        <f t="array" aca="1" ref="W310" ca="1">_xlfn.IFS(N310&gt;=20, "High",N310&gt;=10, "Medium", N310&lt;10, "Low")</f>
        <v>#NAME?</v>
      </c>
      <c r="X310" t="str">
        <f t="shared" si="16"/>
        <v>Low Budget</v>
      </c>
      <c r="Y310" s="7">
        <f>VLOOKUP(G310, Lookup_table!B:C,2,0)</f>
        <v>0.3</v>
      </c>
      <c r="Z310" t="str">
        <f t="shared" si="17"/>
        <v>Efficient Spend</v>
      </c>
      <c r="AA310" t="str">
        <f>VLOOKUP(H310, Lookup_table!E:F,2,0)</f>
        <v>Medium</v>
      </c>
    </row>
    <row r="311" spans="1:27" ht="17.5" customHeight="1" x14ac:dyDescent="0.35">
      <c r="A311" s="1" t="s">
        <v>496</v>
      </c>
      <c r="B311" s="2">
        <v>45595</v>
      </c>
      <c r="C311" s="1" t="s">
        <v>175</v>
      </c>
      <c r="D311" s="1">
        <v>55</v>
      </c>
      <c r="E311" s="1" t="s">
        <v>35</v>
      </c>
      <c r="F311" s="1" t="s">
        <v>30</v>
      </c>
      <c r="G311" s="1" t="s">
        <v>46</v>
      </c>
      <c r="H311" s="1" t="s">
        <v>32</v>
      </c>
      <c r="I311" s="1">
        <v>55</v>
      </c>
      <c r="J311" s="1">
        <v>6377</v>
      </c>
      <c r="K311" s="1">
        <v>4662</v>
      </c>
      <c r="L311" s="1">
        <v>221</v>
      </c>
      <c r="M311" s="1">
        <v>4</v>
      </c>
      <c r="N311" s="1">
        <v>73.106476400000005</v>
      </c>
      <c r="O311" s="1">
        <v>4.7404547399999997</v>
      </c>
      <c r="P311" s="1">
        <f t="shared" si="14"/>
        <v>4</v>
      </c>
      <c r="V311" t="str">
        <f t="shared" si="15"/>
        <v>Top Performer</v>
      </c>
      <c r="W311" t="e" cm="1">
        <f t="array" aca="1" ref="W311" ca="1">_xlfn.IFS(N311&gt;=20, "High",N311&gt;=10, "Medium", N311&lt;10, "Low")</f>
        <v>#NAME?</v>
      </c>
      <c r="X311" t="str">
        <f t="shared" si="16"/>
        <v>Low Budget</v>
      </c>
      <c r="Y311" s="7">
        <f>VLOOKUP(G311, Lookup_table!B:C,2,0)</f>
        <v>0.75</v>
      </c>
      <c r="Z311" t="str">
        <f t="shared" si="17"/>
        <v>Efficient Spend</v>
      </c>
      <c r="AA311" t="str">
        <f>VLOOKUP(H311, Lookup_table!E:F,2,0)</f>
        <v>Medium</v>
      </c>
    </row>
    <row r="312" spans="1:27" ht="17.5" customHeight="1" x14ac:dyDescent="0.35">
      <c r="A312" s="1" t="s">
        <v>497</v>
      </c>
      <c r="B312" s="2">
        <v>45431</v>
      </c>
      <c r="C312" s="1" t="s">
        <v>395</v>
      </c>
      <c r="D312" s="1">
        <v>42</v>
      </c>
      <c r="E312" s="1" t="s">
        <v>29</v>
      </c>
      <c r="F312" s="1" t="s">
        <v>50</v>
      </c>
      <c r="G312" s="1" t="s">
        <v>31</v>
      </c>
      <c r="H312" s="1" t="s">
        <v>32</v>
      </c>
      <c r="I312" s="1">
        <v>1944.39</v>
      </c>
      <c r="J312" s="1">
        <v>10605</v>
      </c>
      <c r="K312" s="1">
        <v>643</v>
      </c>
      <c r="L312" s="1">
        <v>200</v>
      </c>
      <c r="M312" s="1">
        <v>4</v>
      </c>
      <c r="N312" s="1">
        <v>6.063177746</v>
      </c>
      <c r="O312" s="1">
        <v>31.10419907</v>
      </c>
      <c r="P312" s="1">
        <f t="shared" si="14"/>
        <v>4</v>
      </c>
      <c r="V312" t="str">
        <f t="shared" si="15"/>
        <v>Low Performer</v>
      </c>
      <c r="W312" t="e" cm="1">
        <f t="array" aca="1" ref="W312" ca="1">_xlfn.IFS(N312&gt;=20, "High",N312&gt;=10, "Medium", N312&lt;10, "Low")</f>
        <v>#NAME?</v>
      </c>
      <c r="X312" t="str">
        <f t="shared" si="16"/>
        <v>High Budget</v>
      </c>
      <c r="Y312" s="7">
        <f>VLOOKUP(G312, Lookup_table!B:C,2,0)</f>
        <v>1.2</v>
      </c>
      <c r="Z312" t="str">
        <f t="shared" si="17"/>
        <v>Inefficient Spend</v>
      </c>
      <c r="AA312" t="str">
        <f>VLOOKUP(H312, Lookup_table!E:F,2,0)</f>
        <v>Medium</v>
      </c>
    </row>
    <row r="313" spans="1:27" ht="17.5" customHeight="1" x14ac:dyDescent="0.35">
      <c r="A313" s="1" t="s">
        <v>498</v>
      </c>
      <c r="B313" s="2">
        <v>45328</v>
      </c>
      <c r="C313" s="1" t="s">
        <v>79</v>
      </c>
      <c r="D313" s="1">
        <v>44</v>
      </c>
      <c r="E313" s="1" t="s">
        <v>35</v>
      </c>
      <c r="F313" s="1" t="s">
        <v>41</v>
      </c>
      <c r="G313" s="1" t="s">
        <v>31</v>
      </c>
      <c r="H313" s="1" t="s">
        <v>26</v>
      </c>
      <c r="I313" s="1">
        <v>849.28</v>
      </c>
      <c r="J313" s="1">
        <v>3413</v>
      </c>
      <c r="K313" s="1">
        <v>2626</v>
      </c>
      <c r="L313" s="1">
        <v>347</v>
      </c>
      <c r="M313" s="1">
        <v>1</v>
      </c>
      <c r="N313" s="1">
        <v>76.941107529999996</v>
      </c>
      <c r="O313" s="1">
        <v>13.21401371</v>
      </c>
      <c r="P313" s="1">
        <f t="shared" si="14"/>
        <v>1</v>
      </c>
      <c r="V313" t="str">
        <f t="shared" si="15"/>
        <v>Average Performer</v>
      </c>
      <c r="W313" t="e" cm="1">
        <f t="array" aca="1" ref="W313" ca="1">_xlfn.IFS(N313&gt;=20, "High",N313&gt;=10, "Medium", N313&lt;10, "Low")</f>
        <v>#NAME?</v>
      </c>
      <c r="X313" t="str">
        <f t="shared" si="16"/>
        <v>Medium Budget</v>
      </c>
      <c r="Y313" s="7">
        <f>VLOOKUP(G313, Lookup_table!B:C,2,0)</f>
        <v>1.2</v>
      </c>
      <c r="Z313" t="str">
        <f t="shared" si="17"/>
        <v>Efficient Spend</v>
      </c>
      <c r="AA313" t="str">
        <f>VLOOKUP(H313, Lookup_table!E:F,2,0)</f>
        <v>High</v>
      </c>
    </row>
    <row r="314" spans="1:27" ht="17.5" customHeight="1" x14ac:dyDescent="0.35">
      <c r="A314" s="1" t="s">
        <v>499</v>
      </c>
      <c r="B314" s="2">
        <v>45529</v>
      </c>
      <c r="C314" s="1" t="s">
        <v>492</v>
      </c>
      <c r="D314" s="1">
        <v>38</v>
      </c>
      <c r="E314" s="1" t="s">
        <v>35</v>
      </c>
      <c r="F314" s="1" t="s">
        <v>41</v>
      </c>
      <c r="G314" s="1" t="s">
        <v>46</v>
      </c>
      <c r="H314" s="1" t="s">
        <v>36</v>
      </c>
      <c r="I314" s="1">
        <v>1117.8699999999999</v>
      </c>
      <c r="J314" s="1">
        <v>23129</v>
      </c>
      <c r="K314" s="1">
        <v>3979</v>
      </c>
      <c r="L314" s="1">
        <v>19</v>
      </c>
      <c r="M314" s="1">
        <v>5</v>
      </c>
      <c r="N314" s="1">
        <v>17.203510739999999</v>
      </c>
      <c r="O314" s="1">
        <v>0.47750691099999998</v>
      </c>
      <c r="P314" s="1">
        <f t="shared" si="14"/>
        <v>5</v>
      </c>
      <c r="V314" t="str">
        <f t="shared" si="15"/>
        <v>Low Performer</v>
      </c>
      <c r="W314" t="e" cm="1">
        <f t="array" aca="1" ref="W314" ca="1">_xlfn.IFS(N314&gt;=20, "High",N314&gt;=10, "Medium", N314&lt;10, "Low")</f>
        <v>#NAME?</v>
      </c>
      <c r="X314" t="str">
        <f t="shared" si="16"/>
        <v>High Budget</v>
      </c>
      <c r="Y314" s="7">
        <f>VLOOKUP(G314, Lookup_table!B:C,2,0)</f>
        <v>0.75</v>
      </c>
      <c r="Z314" t="str">
        <f t="shared" si="17"/>
        <v>Efficient Spend</v>
      </c>
      <c r="AA314" t="str">
        <f>VLOOKUP(H314, Lookup_table!E:F,2,0)</f>
        <v>High</v>
      </c>
    </row>
    <row r="315" spans="1:27" ht="17.5" customHeight="1" x14ac:dyDescent="0.35">
      <c r="A315" s="1" t="s">
        <v>500</v>
      </c>
      <c r="B315" s="2">
        <v>45463</v>
      </c>
      <c r="C315" s="1" t="s">
        <v>292</v>
      </c>
      <c r="D315" s="1">
        <v>50</v>
      </c>
      <c r="E315" s="1" t="s">
        <v>29</v>
      </c>
      <c r="F315" s="1" t="s">
        <v>24</v>
      </c>
      <c r="G315" s="1" t="s">
        <v>46</v>
      </c>
      <c r="H315" s="1" t="s">
        <v>26</v>
      </c>
      <c r="I315" s="1">
        <v>193.19</v>
      </c>
      <c r="J315" s="1">
        <v>25526</v>
      </c>
      <c r="K315" s="1">
        <v>4639</v>
      </c>
      <c r="L315" s="1">
        <v>187</v>
      </c>
      <c r="M315" s="1">
        <v>4</v>
      </c>
      <c r="N315" s="1">
        <v>18.173626890000001</v>
      </c>
      <c r="O315" s="1">
        <v>4.0310411730000002</v>
      </c>
      <c r="P315" s="1">
        <f t="shared" si="14"/>
        <v>4</v>
      </c>
      <c r="V315" t="str">
        <f t="shared" si="15"/>
        <v>Average Performer</v>
      </c>
      <c r="W315" t="e" cm="1">
        <f t="array" aca="1" ref="W315" ca="1">_xlfn.IFS(N315&gt;=20, "High",N315&gt;=10, "Medium", N315&lt;10, "Low")</f>
        <v>#NAME?</v>
      </c>
      <c r="X315" t="str">
        <f t="shared" si="16"/>
        <v>Low Budget</v>
      </c>
      <c r="Y315" s="7">
        <f>VLOOKUP(G315, Lookup_table!B:C,2,0)</f>
        <v>0.75</v>
      </c>
      <c r="Z315" t="str">
        <f t="shared" si="17"/>
        <v>Efficient Spend</v>
      </c>
      <c r="AA315" t="str">
        <f>VLOOKUP(H315, Lookup_table!E:F,2,0)</f>
        <v>High</v>
      </c>
    </row>
    <row r="316" spans="1:27" ht="17.5" customHeight="1" x14ac:dyDescent="0.35">
      <c r="A316" s="1" t="s">
        <v>501</v>
      </c>
      <c r="B316" s="2">
        <v>45545</v>
      </c>
      <c r="C316" s="1" t="s">
        <v>329</v>
      </c>
      <c r="D316" s="1">
        <v>56</v>
      </c>
      <c r="E316" s="1" t="s">
        <v>29</v>
      </c>
      <c r="F316" s="1" t="s">
        <v>45</v>
      </c>
      <c r="G316" s="1" t="s">
        <v>31</v>
      </c>
      <c r="H316" s="1" t="s">
        <v>26</v>
      </c>
      <c r="I316" s="1">
        <v>1845.57</v>
      </c>
      <c r="J316" s="1">
        <v>10640</v>
      </c>
      <c r="K316" s="1">
        <v>2599</v>
      </c>
      <c r="L316" s="1">
        <v>313</v>
      </c>
      <c r="M316" s="1">
        <v>1</v>
      </c>
      <c r="N316" s="1">
        <v>24.426691730000002</v>
      </c>
      <c r="O316" s="1">
        <v>12.043093499999999</v>
      </c>
      <c r="P316" s="1">
        <f t="shared" si="14"/>
        <v>1</v>
      </c>
      <c r="V316" t="str">
        <f t="shared" si="15"/>
        <v>Average Performer</v>
      </c>
      <c r="W316" t="e" cm="1">
        <f t="array" aca="1" ref="W316" ca="1">_xlfn.IFS(N316&gt;=20, "High",N316&gt;=10, "Medium", N316&lt;10, "Low")</f>
        <v>#NAME?</v>
      </c>
      <c r="X316" t="str">
        <f t="shared" si="16"/>
        <v>High Budget</v>
      </c>
      <c r="Y316" s="7">
        <f>VLOOKUP(G316, Lookup_table!B:C,2,0)</f>
        <v>1.2</v>
      </c>
      <c r="Z316" t="str">
        <f t="shared" si="17"/>
        <v>Efficient Spend</v>
      </c>
      <c r="AA316" t="str">
        <f>VLOOKUP(H316, Lookup_table!E:F,2,0)</f>
        <v>High</v>
      </c>
    </row>
    <row r="317" spans="1:27" ht="17.5" customHeight="1" x14ac:dyDescent="0.35">
      <c r="A317" s="1" t="s">
        <v>502</v>
      </c>
      <c r="B317" s="2">
        <v>45491</v>
      </c>
      <c r="C317" s="1" t="s">
        <v>503</v>
      </c>
      <c r="D317" s="1">
        <v>46</v>
      </c>
      <c r="E317" s="1" t="s">
        <v>29</v>
      </c>
      <c r="F317" s="1" t="s">
        <v>30</v>
      </c>
      <c r="G317" s="1" t="s">
        <v>31</v>
      </c>
      <c r="H317" s="1" t="s">
        <v>36</v>
      </c>
      <c r="I317" s="1">
        <v>54.73</v>
      </c>
      <c r="J317" s="1">
        <v>1362</v>
      </c>
      <c r="K317" s="1">
        <v>4365</v>
      </c>
      <c r="L317" s="1">
        <v>240</v>
      </c>
      <c r="M317" s="1">
        <v>4</v>
      </c>
      <c r="N317" s="1">
        <v>320.48458149999999</v>
      </c>
      <c r="O317" s="1">
        <v>5.4982817869999998</v>
      </c>
      <c r="P317" s="1">
        <f t="shared" si="14"/>
        <v>4</v>
      </c>
      <c r="U317" s="1">
        <f>COUNTIF(N313:N1000, N317&gt;100)</f>
        <v>0</v>
      </c>
      <c r="V317" t="str">
        <f t="shared" si="15"/>
        <v>Top Performer</v>
      </c>
      <c r="W317" t="e" cm="1">
        <f t="array" aca="1" ref="W317" ca="1">_xlfn.IFS(N317&gt;=20, "High",N317&gt;=10, "Medium", N317&lt;10, "Low")</f>
        <v>#NAME?</v>
      </c>
      <c r="X317" t="str">
        <f t="shared" si="16"/>
        <v>Low Budget</v>
      </c>
      <c r="Y317" s="7">
        <f>VLOOKUP(G317, Lookup_table!B:C,2,0)</f>
        <v>1.2</v>
      </c>
      <c r="Z317" t="str">
        <f t="shared" si="17"/>
        <v>Efficient Spend</v>
      </c>
      <c r="AA317" t="str">
        <f>VLOOKUP(H317, Lookup_table!E:F,2,0)</f>
        <v>High</v>
      </c>
    </row>
    <row r="318" spans="1:27" ht="17.5" customHeight="1" x14ac:dyDescent="0.35">
      <c r="A318" s="1" t="s">
        <v>504</v>
      </c>
      <c r="B318" s="2">
        <v>45601</v>
      </c>
      <c r="C318" s="1" t="s">
        <v>505</v>
      </c>
      <c r="D318" s="1">
        <v>36</v>
      </c>
      <c r="E318" s="1" t="s">
        <v>29</v>
      </c>
      <c r="F318" s="1" t="s">
        <v>30</v>
      </c>
      <c r="G318" s="1" t="s">
        <v>25</v>
      </c>
      <c r="H318" s="1" t="s">
        <v>36</v>
      </c>
      <c r="I318" s="1">
        <v>656.01</v>
      </c>
      <c r="J318" s="1">
        <v>40602</v>
      </c>
      <c r="K318" s="1">
        <v>3417</v>
      </c>
      <c r="L318" s="1">
        <v>74</v>
      </c>
      <c r="M318" s="1">
        <v>2</v>
      </c>
      <c r="N318" s="1">
        <v>8.4158415840000007</v>
      </c>
      <c r="O318" s="1">
        <v>2.1656423760000001</v>
      </c>
      <c r="P318" s="1">
        <f t="shared" si="14"/>
        <v>2</v>
      </c>
      <c r="V318" t="str">
        <f t="shared" si="15"/>
        <v>Low Performer</v>
      </c>
      <c r="W318" t="e" cm="1">
        <f t="array" aca="1" ref="W318" ca="1">_xlfn.IFS(N318&gt;=20, "High",N318&gt;=10, "Medium", N318&lt;10, "Low")</f>
        <v>#NAME?</v>
      </c>
      <c r="X318" t="str">
        <f t="shared" si="16"/>
        <v>Medium Budget</v>
      </c>
      <c r="Y318" s="7">
        <f>VLOOKUP(G318, Lookup_table!B:C,2,0)</f>
        <v>0.5</v>
      </c>
      <c r="Z318" t="str">
        <f t="shared" si="17"/>
        <v>Efficient Spend</v>
      </c>
      <c r="AA318" t="str">
        <f>VLOOKUP(H318, Lookup_table!E:F,2,0)</f>
        <v>High</v>
      </c>
    </row>
    <row r="319" spans="1:27" ht="17.5" customHeight="1" x14ac:dyDescent="0.35">
      <c r="A319" s="1" t="s">
        <v>506</v>
      </c>
      <c r="B319" s="2">
        <v>45555</v>
      </c>
      <c r="C319" s="1" t="s">
        <v>492</v>
      </c>
      <c r="D319" s="1">
        <v>19</v>
      </c>
      <c r="E319" s="1" t="s">
        <v>23</v>
      </c>
      <c r="F319" s="1" t="s">
        <v>57</v>
      </c>
      <c r="G319" s="1" t="s">
        <v>25</v>
      </c>
      <c r="H319" s="1" t="s">
        <v>32</v>
      </c>
      <c r="I319" s="1">
        <v>771.12</v>
      </c>
      <c r="J319" s="1">
        <v>35950</v>
      </c>
      <c r="K319" s="1">
        <v>754</v>
      </c>
      <c r="L319" s="1">
        <v>298</v>
      </c>
      <c r="N319" s="1">
        <v>2.0973574410000002</v>
      </c>
      <c r="O319" s="1">
        <v>39.522546419999998</v>
      </c>
      <c r="P319" s="1">
        <f t="shared" si="14"/>
        <v>3</v>
      </c>
      <c r="V319" t="str">
        <f t="shared" si="15"/>
        <v>Low Performer</v>
      </c>
      <c r="W319" t="e" cm="1">
        <f t="array" aca="1" ref="W319" ca="1">_xlfn.IFS(N319&gt;=20, "High",N319&gt;=10, "Medium", N319&lt;10, "Low")</f>
        <v>#NAME?</v>
      </c>
      <c r="X319" t="str">
        <f t="shared" si="16"/>
        <v>Medium Budget</v>
      </c>
      <c r="Y319" s="7">
        <f>VLOOKUP(G319, Lookup_table!B:C,2,0)</f>
        <v>0.5</v>
      </c>
      <c r="Z319" t="str">
        <f t="shared" si="17"/>
        <v>Inefficient Spend</v>
      </c>
      <c r="AA319" t="str">
        <f>VLOOKUP(H319, Lookup_table!E:F,2,0)</f>
        <v>Medium</v>
      </c>
    </row>
    <row r="320" spans="1:27" ht="17.5" customHeight="1" x14ac:dyDescent="0.35">
      <c r="A320" s="1" t="s">
        <v>507</v>
      </c>
      <c r="B320" s="2">
        <v>45418</v>
      </c>
      <c r="C320" s="1" t="s">
        <v>366</v>
      </c>
      <c r="D320" s="1">
        <v>62</v>
      </c>
      <c r="E320" s="1" t="s">
        <v>29</v>
      </c>
      <c r="F320" s="1" t="s">
        <v>30</v>
      </c>
      <c r="G320" s="1" t="s">
        <v>42</v>
      </c>
      <c r="H320" s="1" t="s">
        <v>32</v>
      </c>
      <c r="I320" s="1">
        <v>1621.86</v>
      </c>
      <c r="J320" s="1">
        <v>18370</v>
      </c>
      <c r="K320" s="1">
        <v>2095</v>
      </c>
      <c r="L320" s="1">
        <v>374</v>
      </c>
      <c r="M320" s="1">
        <v>5</v>
      </c>
      <c r="N320" s="1">
        <v>11.4044638</v>
      </c>
      <c r="O320" s="1">
        <v>17.85202864</v>
      </c>
      <c r="P320" s="1">
        <f t="shared" si="14"/>
        <v>5</v>
      </c>
      <c r="V320" t="str">
        <f t="shared" si="15"/>
        <v>Average Performer</v>
      </c>
      <c r="W320" t="e" cm="1">
        <f t="array" aca="1" ref="W320" ca="1">_xlfn.IFS(N320&gt;=20, "High",N320&gt;=10, "Medium", N320&lt;10, "Low")</f>
        <v>#NAME?</v>
      </c>
      <c r="X320" t="str">
        <f t="shared" si="16"/>
        <v>High Budget</v>
      </c>
      <c r="Y320" s="7">
        <f>VLOOKUP(G320, Lookup_table!B:C,2,0)</f>
        <v>0.3</v>
      </c>
      <c r="Z320" t="str">
        <f t="shared" si="17"/>
        <v>Inefficient Spend</v>
      </c>
      <c r="AA320" t="str">
        <f>VLOOKUP(H320, Lookup_table!E:F,2,0)</f>
        <v>Medium</v>
      </c>
    </row>
    <row r="321" spans="1:27" ht="17.5" customHeight="1" x14ac:dyDescent="0.35">
      <c r="A321" s="1" t="s">
        <v>508</v>
      </c>
      <c r="B321" s="2">
        <v>45567</v>
      </c>
      <c r="C321" s="1" t="s">
        <v>414</v>
      </c>
      <c r="D321" s="1">
        <v>28</v>
      </c>
      <c r="E321" s="1" t="s">
        <v>35</v>
      </c>
      <c r="F321" s="1" t="s">
        <v>45</v>
      </c>
      <c r="G321" s="1" t="s">
        <v>42</v>
      </c>
      <c r="H321" s="1" t="s">
        <v>32</v>
      </c>
      <c r="I321" s="1">
        <v>1657.74</v>
      </c>
      <c r="J321" s="1">
        <v>45259</v>
      </c>
      <c r="K321" s="1">
        <v>3473</v>
      </c>
      <c r="L321" s="1">
        <v>14</v>
      </c>
      <c r="M321" s="1">
        <v>4</v>
      </c>
      <c r="N321" s="1">
        <v>7.673611878</v>
      </c>
      <c r="O321" s="1">
        <v>0.40310970299999999</v>
      </c>
      <c r="P321" s="1">
        <f t="shared" si="14"/>
        <v>4</v>
      </c>
      <c r="V321" t="str">
        <f t="shared" si="15"/>
        <v>Low Performer</v>
      </c>
      <c r="W321" t="e" cm="1">
        <f t="array" aca="1" ref="W321" ca="1">_xlfn.IFS(N321&gt;=20, "High",N321&gt;=10, "Medium", N321&lt;10, "Low")</f>
        <v>#NAME?</v>
      </c>
      <c r="X321" t="str">
        <f t="shared" si="16"/>
        <v>High Budget</v>
      </c>
      <c r="Y321" s="7">
        <f>VLOOKUP(G321, Lookup_table!B:C,2,0)</f>
        <v>0.3</v>
      </c>
      <c r="Z321" t="str">
        <f t="shared" si="17"/>
        <v>Inefficient Spend</v>
      </c>
      <c r="AA321" t="str">
        <f>VLOOKUP(H321, Lookup_table!E:F,2,0)</f>
        <v>Medium</v>
      </c>
    </row>
    <row r="322" spans="1:27" ht="17.5" customHeight="1" x14ac:dyDescent="0.35">
      <c r="A322" s="1" t="s">
        <v>509</v>
      </c>
      <c r="B322" s="2">
        <v>45634</v>
      </c>
      <c r="C322" s="1" t="s">
        <v>510</v>
      </c>
      <c r="D322" s="1">
        <v>28</v>
      </c>
      <c r="E322" s="1" t="s">
        <v>29</v>
      </c>
      <c r="F322" s="1" t="s">
        <v>30</v>
      </c>
      <c r="G322" s="1" t="s">
        <v>46</v>
      </c>
      <c r="H322" s="1" t="s">
        <v>26</v>
      </c>
      <c r="I322" s="1">
        <v>1996.02</v>
      </c>
      <c r="J322" s="1">
        <v>28638</v>
      </c>
      <c r="K322" s="1">
        <v>3786</v>
      </c>
      <c r="L322" s="1">
        <v>14</v>
      </c>
      <c r="M322" s="1">
        <v>3</v>
      </c>
      <c r="N322" s="1">
        <v>13.220196939999999</v>
      </c>
      <c r="O322" s="1">
        <v>0.36978341300000001</v>
      </c>
      <c r="P322" s="1">
        <f t="shared" si="14"/>
        <v>3</v>
      </c>
      <c r="V322" t="str">
        <f t="shared" ref="V322:V385" si="18">IF(AND(L322&gt;200,K322&gt;3000),"Top Performer", IF(AND(L322&gt;=100,K322&gt;=1000),"Average Performer","Low Performer"))</f>
        <v>Low Performer</v>
      </c>
      <c r="W322" t="e" cm="1">
        <f t="array" aca="1" ref="W322" ca="1">_xlfn.IFS(N322&gt;=20, "High",N322&gt;=10, "Medium", N322&lt;10, "Low")</f>
        <v>#NAME?</v>
      </c>
      <c r="X322" t="str">
        <f t="shared" ref="X322:X385" si="19">IF(I322&gt;1000, "High Budget",IF(I322&gt;=500, "Medium Budget", "Low Budget"))</f>
        <v>High Budget</v>
      </c>
      <c r="Y322" s="7">
        <f>VLOOKUP(G322, Lookup_table!B:C,2,0)</f>
        <v>0.75</v>
      </c>
      <c r="Z322" t="str">
        <f t="shared" ref="Z322:Z385" si="20">IF(I322/K322&lt;Y322, "Efficient Spend", "Inefficient Spend")</f>
        <v>Efficient Spend</v>
      </c>
      <c r="AA322" t="str">
        <f>VLOOKUP(H322, Lookup_table!E:F,2,0)</f>
        <v>High</v>
      </c>
    </row>
    <row r="323" spans="1:27" ht="17.5" customHeight="1" x14ac:dyDescent="0.35">
      <c r="A323" s="1" t="s">
        <v>511</v>
      </c>
      <c r="B323" s="2">
        <v>45593</v>
      </c>
      <c r="C323" s="1" t="s">
        <v>230</v>
      </c>
      <c r="D323" s="9">
        <v>41</v>
      </c>
      <c r="E323" s="1" t="s">
        <v>23</v>
      </c>
      <c r="G323" s="1" t="s">
        <v>31</v>
      </c>
      <c r="H323" s="1" t="s">
        <v>62</v>
      </c>
      <c r="I323" s="1">
        <v>367.06</v>
      </c>
      <c r="J323" s="1">
        <v>30017</v>
      </c>
      <c r="K323" s="1">
        <v>2843</v>
      </c>
      <c r="L323" s="1">
        <v>32</v>
      </c>
      <c r="N323" s="1">
        <v>9.4712995969999998</v>
      </c>
      <c r="O323" s="1">
        <v>1.125571579</v>
      </c>
      <c r="P323" s="1">
        <f t="shared" si="14"/>
        <v>3</v>
      </c>
      <c r="V323" t="str">
        <f t="shared" si="18"/>
        <v>Low Performer</v>
      </c>
      <c r="W323" t="e" cm="1">
        <f t="array" aca="1" ref="W323" ca="1">_xlfn.IFS(N323&gt;=20, "High",N323&gt;=10, "Medium", N323&lt;10, "Low")</f>
        <v>#NAME?</v>
      </c>
      <c r="X323" t="str">
        <f t="shared" si="19"/>
        <v>Low Budget</v>
      </c>
      <c r="Y323" s="7">
        <f>VLOOKUP(G323, Lookup_table!B:C,2,0)</f>
        <v>1.2</v>
      </c>
      <c r="Z323" t="str">
        <f t="shared" si="20"/>
        <v>Efficient Spend</v>
      </c>
      <c r="AA323" t="str">
        <f>VLOOKUP(H323, Lookup_table!E:F,2,0)</f>
        <v>Medium</v>
      </c>
    </row>
    <row r="324" spans="1:27" ht="17.5" customHeight="1" x14ac:dyDescent="0.35">
      <c r="A324" s="1" t="s">
        <v>512</v>
      </c>
      <c r="B324" s="2">
        <v>45519</v>
      </c>
      <c r="C324" s="1" t="s">
        <v>95</v>
      </c>
      <c r="D324" s="1">
        <v>20</v>
      </c>
      <c r="E324" s="1" t="s">
        <v>35</v>
      </c>
      <c r="F324" s="1" t="s">
        <v>24</v>
      </c>
      <c r="G324" s="1" t="s">
        <v>31</v>
      </c>
      <c r="H324" s="1" t="s">
        <v>32</v>
      </c>
      <c r="I324" s="1">
        <v>253.87</v>
      </c>
      <c r="J324" s="1">
        <v>42686</v>
      </c>
      <c r="K324" s="1">
        <v>4661</v>
      </c>
      <c r="L324" s="1">
        <v>139</v>
      </c>
      <c r="M324" s="1">
        <v>3</v>
      </c>
      <c r="N324" s="1">
        <v>10.91927096</v>
      </c>
      <c r="O324" s="1">
        <v>2.9821926630000002</v>
      </c>
      <c r="P324" s="1">
        <f t="shared" si="14"/>
        <v>3</v>
      </c>
      <c r="V324" t="str">
        <f t="shared" si="18"/>
        <v>Average Performer</v>
      </c>
      <c r="W324" t="e" cm="1">
        <f t="array" aca="1" ref="W324" ca="1">_xlfn.IFS(N324&gt;=20, "High",N324&gt;=10, "Medium", N324&lt;10, "Low")</f>
        <v>#NAME?</v>
      </c>
      <c r="X324" t="str">
        <f t="shared" si="19"/>
        <v>Low Budget</v>
      </c>
      <c r="Y324" s="7">
        <f>VLOOKUP(G324, Lookup_table!B:C,2,0)</f>
        <v>1.2</v>
      </c>
      <c r="Z324" t="str">
        <f t="shared" si="20"/>
        <v>Efficient Spend</v>
      </c>
      <c r="AA324" t="str">
        <f>VLOOKUP(H324, Lookup_table!E:F,2,0)</f>
        <v>Medium</v>
      </c>
    </row>
    <row r="325" spans="1:27" ht="17.5" customHeight="1" x14ac:dyDescent="0.35">
      <c r="A325" s="1" t="s">
        <v>513</v>
      </c>
      <c r="B325" s="2">
        <v>45629</v>
      </c>
      <c r="C325" s="1" t="s">
        <v>40</v>
      </c>
      <c r="D325" s="9">
        <v>41</v>
      </c>
      <c r="E325" s="1" t="s">
        <v>35</v>
      </c>
      <c r="G325" s="1" t="s">
        <v>61</v>
      </c>
      <c r="H325" s="1" t="s">
        <v>36</v>
      </c>
      <c r="I325" s="1">
        <v>1347.23</v>
      </c>
      <c r="J325" s="1">
        <v>6445</v>
      </c>
      <c r="K325" s="1">
        <v>663</v>
      </c>
      <c r="L325" s="1">
        <v>259</v>
      </c>
      <c r="N325" s="1">
        <v>10.28704422</v>
      </c>
      <c r="O325" s="1">
        <v>39.064856710000001</v>
      </c>
      <c r="P325" s="1">
        <f t="shared" si="14"/>
        <v>3</v>
      </c>
      <c r="V325" t="str">
        <f t="shared" si="18"/>
        <v>Low Performer</v>
      </c>
      <c r="W325" t="e" cm="1">
        <f t="array" aca="1" ref="W325" ca="1">_xlfn.IFS(N325&gt;=20, "High",N325&gt;=10, "Medium", N325&lt;10, "Low")</f>
        <v>#NAME?</v>
      </c>
      <c r="X325" t="str">
        <f t="shared" si="19"/>
        <v>High Budget</v>
      </c>
      <c r="Y325" s="7">
        <f>VLOOKUP(G325, Lookup_table!B:C,2,0)</f>
        <v>0.2</v>
      </c>
      <c r="Z325" t="str">
        <f t="shared" si="20"/>
        <v>Inefficient Spend</v>
      </c>
      <c r="AA325" t="str">
        <f>VLOOKUP(H325, Lookup_table!E:F,2,0)</f>
        <v>High</v>
      </c>
    </row>
    <row r="326" spans="1:27" ht="17.5" customHeight="1" x14ac:dyDescent="0.35">
      <c r="A326" s="1" t="s">
        <v>514</v>
      </c>
      <c r="B326" s="2">
        <v>45325</v>
      </c>
      <c r="C326" s="1" t="s">
        <v>52</v>
      </c>
      <c r="D326" s="1">
        <v>57</v>
      </c>
      <c r="E326" s="1" t="s">
        <v>29</v>
      </c>
      <c r="F326" s="1" t="s">
        <v>41</v>
      </c>
      <c r="G326" s="1" t="s">
        <v>25</v>
      </c>
      <c r="H326" s="1" t="s">
        <v>26</v>
      </c>
      <c r="I326" s="1">
        <v>562.35</v>
      </c>
      <c r="J326" s="1">
        <v>20092</v>
      </c>
      <c r="K326" s="1">
        <v>4423</v>
      </c>
      <c r="L326" s="1">
        <v>269</v>
      </c>
      <c r="N326" s="1">
        <v>22.013736810000001</v>
      </c>
      <c r="O326" s="1">
        <v>6.0818449020000003</v>
      </c>
      <c r="P326" s="1">
        <f t="shared" si="14"/>
        <v>3</v>
      </c>
      <c r="V326" t="str">
        <f t="shared" si="18"/>
        <v>Top Performer</v>
      </c>
      <c r="W326" t="e" cm="1">
        <f t="array" aca="1" ref="W326" ca="1">_xlfn.IFS(N326&gt;=20, "High",N326&gt;=10, "Medium", N326&lt;10, "Low")</f>
        <v>#NAME?</v>
      </c>
      <c r="X326" t="str">
        <f t="shared" si="19"/>
        <v>Medium Budget</v>
      </c>
      <c r="Y326" s="7">
        <f>VLOOKUP(G326, Lookup_table!B:C,2,0)</f>
        <v>0.5</v>
      </c>
      <c r="Z326" t="str">
        <f t="shared" si="20"/>
        <v>Efficient Spend</v>
      </c>
      <c r="AA326" t="str">
        <f>VLOOKUP(H326, Lookup_table!E:F,2,0)</f>
        <v>High</v>
      </c>
    </row>
    <row r="327" spans="1:27" ht="17.5" customHeight="1" x14ac:dyDescent="0.35">
      <c r="A327" s="1" t="s">
        <v>515</v>
      </c>
      <c r="B327" s="2">
        <v>45556</v>
      </c>
      <c r="C327" s="1" t="s">
        <v>155</v>
      </c>
      <c r="D327" s="1">
        <v>49</v>
      </c>
      <c r="E327" s="1" t="s">
        <v>29</v>
      </c>
      <c r="F327" s="1" t="s">
        <v>50</v>
      </c>
      <c r="G327" s="1" t="s">
        <v>46</v>
      </c>
      <c r="H327" s="1" t="s">
        <v>26</v>
      </c>
      <c r="I327" s="1">
        <v>1617.05</v>
      </c>
      <c r="J327" s="1">
        <v>37943</v>
      </c>
      <c r="K327" s="1">
        <v>2543</v>
      </c>
      <c r="L327" s="1">
        <v>237</v>
      </c>
      <c r="M327" s="1">
        <v>3</v>
      </c>
      <c r="N327" s="1">
        <v>6.7021585010000004</v>
      </c>
      <c r="O327" s="1">
        <v>9.3197011399999994</v>
      </c>
      <c r="P327" s="1">
        <f t="shared" si="14"/>
        <v>3</v>
      </c>
      <c r="V327" t="str">
        <f t="shared" si="18"/>
        <v>Average Performer</v>
      </c>
      <c r="W327" t="e" cm="1">
        <f t="array" aca="1" ref="W327" ca="1">_xlfn.IFS(N327&gt;=20, "High",N327&gt;=10, "Medium", N327&lt;10, "Low")</f>
        <v>#NAME?</v>
      </c>
      <c r="X327" t="str">
        <f t="shared" si="19"/>
        <v>High Budget</v>
      </c>
      <c r="Y327" s="7">
        <f>VLOOKUP(G327, Lookup_table!B:C,2,0)</f>
        <v>0.75</v>
      </c>
      <c r="Z327" t="str">
        <f t="shared" si="20"/>
        <v>Efficient Spend</v>
      </c>
      <c r="AA327" t="str">
        <f>VLOOKUP(H327, Lookup_table!E:F,2,0)</f>
        <v>High</v>
      </c>
    </row>
    <row r="328" spans="1:27" ht="17.5" customHeight="1" x14ac:dyDescent="0.35">
      <c r="A328" s="1" t="s">
        <v>516</v>
      </c>
      <c r="B328" s="2">
        <v>45499</v>
      </c>
      <c r="C328" s="1" t="s">
        <v>224</v>
      </c>
      <c r="D328" s="1">
        <v>33</v>
      </c>
      <c r="E328" s="1" t="s">
        <v>29</v>
      </c>
      <c r="F328" s="1" t="s">
        <v>50</v>
      </c>
      <c r="G328" s="1" t="s">
        <v>25</v>
      </c>
      <c r="H328" s="1" t="s">
        <v>26</v>
      </c>
      <c r="I328" s="1">
        <v>1601.65</v>
      </c>
      <c r="J328" s="1">
        <v>7582</v>
      </c>
      <c r="K328" s="1">
        <v>1960</v>
      </c>
      <c r="L328" s="1">
        <v>133</v>
      </c>
      <c r="N328" s="1">
        <v>25.85069902</v>
      </c>
      <c r="O328" s="1">
        <v>6.7857142860000002</v>
      </c>
      <c r="P328" s="1">
        <f t="shared" si="14"/>
        <v>3</v>
      </c>
      <c r="V328" t="str">
        <f t="shared" si="18"/>
        <v>Average Performer</v>
      </c>
      <c r="W328" t="e" cm="1">
        <f t="array" aca="1" ref="W328" ca="1">_xlfn.IFS(N328&gt;=20, "High",N328&gt;=10, "Medium", N328&lt;10, "Low")</f>
        <v>#NAME?</v>
      </c>
      <c r="X328" t="str">
        <f t="shared" si="19"/>
        <v>High Budget</v>
      </c>
      <c r="Y328" s="7">
        <f>VLOOKUP(G328, Lookup_table!B:C,2,0)</f>
        <v>0.5</v>
      </c>
      <c r="Z328" t="str">
        <f t="shared" si="20"/>
        <v>Inefficient Spend</v>
      </c>
      <c r="AA328" t="str">
        <f>VLOOKUP(H328, Lookup_table!E:F,2,0)</f>
        <v>High</v>
      </c>
    </row>
    <row r="329" spans="1:27" ht="17.5" customHeight="1" x14ac:dyDescent="0.35">
      <c r="A329" s="1" t="s">
        <v>517</v>
      </c>
      <c r="B329" s="2">
        <v>45566</v>
      </c>
      <c r="C329" s="1" t="s">
        <v>205</v>
      </c>
      <c r="D329" s="1">
        <v>63</v>
      </c>
      <c r="E329" s="1" t="s">
        <v>35</v>
      </c>
      <c r="F329" s="1" t="s">
        <v>41</v>
      </c>
      <c r="G329" s="1" t="s">
        <v>61</v>
      </c>
      <c r="H329" s="1" t="s">
        <v>36</v>
      </c>
      <c r="I329" s="1">
        <v>1623.58</v>
      </c>
      <c r="J329" s="1">
        <v>44860</v>
      </c>
      <c r="K329" s="1">
        <v>3405</v>
      </c>
      <c r="L329" s="1">
        <v>66</v>
      </c>
      <c r="M329" s="1">
        <v>2</v>
      </c>
      <c r="N329" s="1">
        <v>7.5902808740000003</v>
      </c>
      <c r="O329" s="1">
        <v>1.9383259909999999</v>
      </c>
      <c r="P329" s="1">
        <f t="shared" si="14"/>
        <v>2</v>
      </c>
      <c r="V329" t="str">
        <f t="shared" si="18"/>
        <v>Low Performer</v>
      </c>
      <c r="W329" t="e" cm="1">
        <f t="array" aca="1" ref="W329" ca="1">_xlfn.IFS(N329&gt;=20, "High",N329&gt;=10, "Medium", N329&lt;10, "Low")</f>
        <v>#NAME?</v>
      </c>
      <c r="X329" t="str">
        <f t="shared" si="19"/>
        <v>High Budget</v>
      </c>
      <c r="Y329" s="7">
        <f>VLOOKUP(G329, Lookup_table!B:C,2,0)</f>
        <v>0.2</v>
      </c>
      <c r="Z329" t="str">
        <f t="shared" si="20"/>
        <v>Inefficient Spend</v>
      </c>
      <c r="AA329" t="str">
        <f>VLOOKUP(H329, Lookup_table!E:F,2,0)</f>
        <v>High</v>
      </c>
    </row>
    <row r="330" spans="1:27" ht="17.5" customHeight="1" x14ac:dyDescent="0.35">
      <c r="A330" s="1" t="s">
        <v>518</v>
      </c>
      <c r="B330" s="2">
        <v>45373</v>
      </c>
      <c r="C330" s="1" t="s">
        <v>191</v>
      </c>
      <c r="D330" s="1">
        <v>24</v>
      </c>
      <c r="E330" s="1" t="s">
        <v>23</v>
      </c>
      <c r="F330" s="1" t="s">
        <v>45</v>
      </c>
      <c r="G330" s="1" t="s">
        <v>25</v>
      </c>
      <c r="H330" s="1" t="s">
        <v>36</v>
      </c>
      <c r="I330" s="1">
        <v>1136.05</v>
      </c>
      <c r="J330" s="1">
        <v>48928</v>
      </c>
      <c r="K330" s="1">
        <v>3395</v>
      </c>
      <c r="L330" s="1">
        <v>284</v>
      </c>
      <c r="M330" s="1">
        <v>4</v>
      </c>
      <c r="N330" s="1">
        <v>6.938767168</v>
      </c>
      <c r="O330" s="1">
        <v>8.3652430039999999</v>
      </c>
      <c r="P330" s="1">
        <f t="shared" si="14"/>
        <v>4</v>
      </c>
      <c r="V330" t="str">
        <f t="shared" si="18"/>
        <v>Top Performer</v>
      </c>
      <c r="W330" t="e" cm="1">
        <f t="array" aca="1" ref="W330" ca="1">_xlfn.IFS(N330&gt;=20, "High",N330&gt;=10, "Medium", N330&lt;10, "Low")</f>
        <v>#NAME?</v>
      </c>
      <c r="X330" t="str">
        <f t="shared" si="19"/>
        <v>High Budget</v>
      </c>
      <c r="Y330" s="7">
        <f>VLOOKUP(G330, Lookup_table!B:C,2,0)</f>
        <v>0.5</v>
      </c>
      <c r="Z330" t="str">
        <f t="shared" si="20"/>
        <v>Efficient Spend</v>
      </c>
      <c r="AA330" t="str">
        <f>VLOOKUP(H330, Lookup_table!E:F,2,0)</f>
        <v>High</v>
      </c>
    </row>
    <row r="331" spans="1:27" ht="17.5" customHeight="1" x14ac:dyDescent="0.35">
      <c r="A331" s="1" t="s">
        <v>519</v>
      </c>
      <c r="B331" s="2">
        <v>45395</v>
      </c>
      <c r="C331" s="1" t="s">
        <v>66</v>
      </c>
      <c r="D331" s="1">
        <v>38</v>
      </c>
      <c r="E331" s="1" t="s">
        <v>35</v>
      </c>
      <c r="F331" s="1" t="s">
        <v>30</v>
      </c>
      <c r="G331" s="1" t="s">
        <v>31</v>
      </c>
      <c r="H331" s="1" t="s">
        <v>62</v>
      </c>
      <c r="I331" s="1">
        <v>637.69000000000005</v>
      </c>
      <c r="J331" s="1">
        <v>37281</v>
      </c>
      <c r="K331" s="1">
        <v>12</v>
      </c>
      <c r="L331" s="1">
        <v>36</v>
      </c>
      <c r="M331" s="1">
        <v>2</v>
      </c>
      <c r="N331" s="1">
        <v>3.2187977999999999E-2</v>
      </c>
      <c r="O331" s="1">
        <v>300</v>
      </c>
      <c r="P331" s="1">
        <f t="shared" si="14"/>
        <v>2</v>
      </c>
      <c r="V331" t="str">
        <f t="shared" si="18"/>
        <v>Low Performer</v>
      </c>
      <c r="W331" t="e" cm="1">
        <f t="array" aca="1" ref="W331" ca="1">_xlfn.IFS(N331&gt;=20, "High",N331&gt;=10, "Medium", N331&lt;10, "Low")</f>
        <v>#NAME?</v>
      </c>
      <c r="X331" t="str">
        <f t="shared" si="19"/>
        <v>Medium Budget</v>
      </c>
      <c r="Y331" s="7">
        <f>VLOOKUP(G331, Lookup_table!B:C,2,0)</f>
        <v>1.2</v>
      </c>
      <c r="Z331" t="str">
        <f t="shared" si="20"/>
        <v>Inefficient Spend</v>
      </c>
      <c r="AA331" t="str">
        <f>VLOOKUP(H331, Lookup_table!E:F,2,0)</f>
        <v>Medium</v>
      </c>
    </row>
    <row r="332" spans="1:27" ht="17.5" customHeight="1" x14ac:dyDescent="0.35">
      <c r="A332" s="1" t="s">
        <v>520</v>
      </c>
      <c r="B332" s="2">
        <v>45364</v>
      </c>
      <c r="C332" s="1" t="s">
        <v>327</v>
      </c>
      <c r="D332" s="1">
        <v>40</v>
      </c>
      <c r="E332" s="1" t="s">
        <v>35</v>
      </c>
      <c r="F332" s="1" t="s">
        <v>50</v>
      </c>
      <c r="G332" s="1" t="s">
        <v>61</v>
      </c>
      <c r="H332" s="1" t="s">
        <v>32</v>
      </c>
      <c r="I332" s="1">
        <v>1389.83</v>
      </c>
      <c r="J332" s="1">
        <v>18352</v>
      </c>
      <c r="K332" s="1">
        <v>2262</v>
      </c>
      <c r="L332" s="1">
        <v>193</v>
      </c>
      <c r="M332" s="1">
        <v>3</v>
      </c>
      <c r="N332" s="1">
        <v>12.32563208</v>
      </c>
      <c r="O332" s="1">
        <v>8.5322723249999992</v>
      </c>
      <c r="P332" s="1">
        <f t="shared" si="14"/>
        <v>3</v>
      </c>
      <c r="V332" t="str">
        <f t="shared" si="18"/>
        <v>Average Performer</v>
      </c>
      <c r="W332" t="e" cm="1">
        <f t="array" aca="1" ref="W332" ca="1">_xlfn.IFS(N332&gt;=20, "High",N332&gt;=10, "Medium", N332&lt;10, "Low")</f>
        <v>#NAME?</v>
      </c>
      <c r="X332" t="str">
        <f t="shared" si="19"/>
        <v>High Budget</v>
      </c>
      <c r="Y332" s="7">
        <f>VLOOKUP(G332, Lookup_table!B:C,2,0)</f>
        <v>0.2</v>
      </c>
      <c r="Z332" t="str">
        <f t="shared" si="20"/>
        <v>Inefficient Spend</v>
      </c>
      <c r="AA332" t="str">
        <f>VLOOKUP(H332, Lookup_table!E:F,2,0)</f>
        <v>Medium</v>
      </c>
    </row>
    <row r="333" spans="1:27" ht="17.5" customHeight="1" x14ac:dyDescent="0.35">
      <c r="A333" s="1" t="s">
        <v>521</v>
      </c>
      <c r="B333" s="2">
        <v>45444</v>
      </c>
      <c r="C333" s="1" t="s">
        <v>270</v>
      </c>
      <c r="D333" s="1">
        <v>26</v>
      </c>
      <c r="E333" s="1" t="s">
        <v>29</v>
      </c>
      <c r="F333" s="1" t="s">
        <v>57</v>
      </c>
      <c r="G333" s="1" t="s">
        <v>61</v>
      </c>
      <c r="H333" s="1" t="s">
        <v>62</v>
      </c>
      <c r="I333" s="1">
        <v>127.84</v>
      </c>
      <c r="J333" s="1">
        <v>25106</v>
      </c>
      <c r="K333" s="1">
        <v>1866</v>
      </c>
      <c r="L333" s="1">
        <v>128</v>
      </c>
      <c r="M333" s="1">
        <v>5</v>
      </c>
      <c r="N333" s="1">
        <v>7.432486258</v>
      </c>
      <c r="O333" s="1">
        <v>6.8595927120000004</v>
      </c>
      <c r="P333" s="1">
        <f t="shared" si="14"/>
        <v>5</v>
      </c>
      <c r="V333" t="str">
        <f t="shared" si="18"/>
        <v>Average Performer</v>
      </c>
      <c r="W333" t="e" cm="1">
        <f t="array" aca="1" ref="W333" ca="1">_xlfn.IFS(N333&gt;=20, "High",N333&gt;=10, "Medium", N333&lt;10, "Low")</f>
        <v>#NAME?</v>
      </c>
      <c r="X333" t="str">
        <f t="shared" si="19"/>
        <v>Low Budget</v>
      </c>
      <c r="Y333" s="7">
        <f>VLOOKUP(G333, Lookup_table!B:C,2,0)</f>
        <v>0.2</v>
      </c>
      <c r="Z333" t="str">
        <f t="shared" si="20"/>
        <v>Efficient Spend</v>
      </c>
      <c r="AA333" t="str">
        <f>VLOOKUP(H333, Lookup_table!E:F,2,0)</f>
        <v>Medium</v>
      </c>
    </row>
    <row r="334" spans="1:27" ht="17.5" customHeight="1" x14ac:dyDescent="0.35">
      <c r="A334" s="1" t="s">
        <v>522</v>
      </c>
      <c r="B334" s="2">
        <v>45560</v>
      </c>
      <c r="C334" s="1" t="s">
        <v>503</v>
      </c>
      <c r="D334" s="1">
        <v>35</v>
      </c>
      <c r="E334" s="1" t="s">
        <v>29</v>
      </c>
      <c r="F334" s="1" t="s">
        <v>50</v>
      </c>
      <c r="G334" s="1" t="s">
        <v>31</v>
      </c>
      <c r="H334" s="1" t="s">
        <v>62</v>
      </c>
      <c r="I334" s="1">
        <v>218.24</v>
      </c>
      <c r="J334" s="1">
        <v>15144</v>
      </c>
      <c r="K334" s="1">
        <v>1155</v>
      </c>
      <c r="L334" s="1">
        <v>199</v>
      </c>
      <c r="M334" s="1">
        <v>1</v>
      </c>
      <c r="N334" s="1">
        <v>7.6267828839999998</v>
      </c>
      <c r="O334" s="1">
        <v>17.229437229999998</v>
      </c>
      <c r="P334" s="1">
        <f t="shared" si="14"/>
        <v>1</v>
      </c>
      <c r="V334" t="str">
        <f t="shared" si="18"/>
        <v>Average Performer</v>
      </c>
      <c r="W334" t="e" cm="1">
        <f t="array" aca="1" ref="W334" ca="1">_xlfn.IFS(N334&gt;=20, "High",N334&gt;=10, "Medium", N334&lt;10, "Low")</f>
        <v>#NAME?</v>
      </c>
      <c r="X334" t="str">
        <f t="shared" si="19"/>
        <v>Low Budget</v>
      </c>
      <c r="Y334" s="7">
        <f>VLOOKUP(G334, Lookup_table!B:C,2,0)</f>
        <v>1.2</v>
      </c>
      <c r="Z334" t="str">
        <f t="shared" si="20"/>
        <v>Efficient Spend</v>
      </c>
      <c r="AA334" t="str">
        <f>VLOOKUP(H334, Lookup_table!E:F,2,0)</f>
        <v>Medium</v>
      </c>
    </row>
    <row r="335" spans="1:27" ht="17.5" customHeight="1" x14ac:dyDescent="0.35">
      <c r="A335" s="1" t="s">
        <v>523</v>
      </c>
      <c r="B335" s="2">
        <v>45469</v>
      </c>
      <c r="C335" s="1" t="s">
        <v>524</v>
      </c>
      <c r="D335" s="1">
        <v>49</v>
      </c>
      <c r="E335" s="1" t="s">
        <v>23</v>
      </c>
      <c r="F335" s="1" t="s">
        <v>30</v>
      </c>
      <c r="G335" s="1" t="s">
        <v>25</v>
      </c>
      <c r="H335" s="1" t="s">
        <v>32</v>
      </c>
      <c r="I335" s="1">
        <v>956.32</v>
      </c>
      <c r="J335" s="1">
        <v>16230</v>
      </c>
      <c r="K335" s="1">
        <v>4973</v>
      </c>
      <c r="L335" s="1">
        <v>134</v>
      </c>
      <c r="M335" s="1">
        <v>1</v>
      </c>
      <c r="N335" s="1">
        <v>30.640788659999998</v>
      </c>
      <c r="O335" s="1">
        <v>2.6945505729999999</v>
      </c>
      <c r="P335" s="1">
        <f t="shared" si="14"/>
        <v>1</v>
      </c>
      <c r="V335" t="str">
        <f t="shared" si="18"/>
        <v>Average Performer</v>
      </c>
      <c r="W335" t="e" cm="1">
        <f t="array" aca="1" ref="W335" ca="1">_xlfn.IFS(N335&gt;=20, "High",N335&gt;=10, "Medium", N335&lt;10, "Low")</f>
        <v>#NAME?</v>
      </c>
      <c r="X335" t="str">
        <f t="shared" si="19"/>
        <v>Medium Budget</v>
      </c>
      <c r="Y335" s="7">
        <f>VLOOKUP(G335, Lookup_table!B:C,2,0)</f>
        <v>0.5</v>
      </c>
      <c r="Z335" t="str">
        <f t="shared" si="20"/>
        <v>Efficient Spend</v>
      </c>
      <c r="AA335" t="str">
        <f>VLOOKUP(H335, Lookup_table!E:F,2,0)</f>
        <v>Medium</v>
      </c>
    </row>
    <row r="336" spans="1:27" ht="17.5" customHeight="1" x14ac:dyDescent="0.35">
      <c r="A336" s="1" t="s">
        <v>525</v>
      </c>
      <c r="B336" s="2">
        <v>45518</v>
      </c>
      <c r="C336" s="1" t="s">
        <v>245</v>
      </c>
      <c r="D336" s="1">
        <v>25</v>
      </c>
      <c r="E336" s="1" t="s">
        <v>29</v>
      </c>
      <c r="F336" s="1" t="s">
        <v>30</v>
      </c>
      <c r="G336" s="1" t="s">
        <v>61</v>
      </c>
      <c r="H336" s="1" t="s">
        <v>36</v>
      </c>
      <c r="I336" s="1">
        <v>371.32</v>
      </c>
      <c r="J336" s="1">
        <v>41033</v>
      </c>
      <c r="K336" s="1">
        <v>2412</v>
      </c>
      <c r="L336" s="1">
        <v>208</v>
      </c>
      <c r="M336" s="1">
        <v>5</v>
      </c>
      <c r="N336" s="1">
        <v>5.8781955989999997</v>
      </c>
      <c r="O336" s="1">
        <v>8.6235489219999995</v>
      </c>
      <c r="P336" s="1">
        <f t="shared" si="14"/>
        <v>5</v>
      </c>
      <c r="V336" t="str">
        <f t="shared" si="18"/>
        <v>Average Performer</v>
      </c>
      <c r="W336" t="e" cm="1">
        <f t="array" aca="1" ref="W336" ca="1">_xlfn.IFS(N336&gt;=20, "High",N336&gt;=10, "Medium", N336&lt;10, "Low")</f>
        <v>#NAME?</v>
      </c>
      <c r="X336" t="str">
        <f t="shared" si="19"/>
        <v>Low Budget</v>
      </c>
      <c r="Y336" s="7">
        <f>VLOOKUP(G336, Lookup_table!B:C,2,0)</f>
        <v>0.2</v>
      </c>
      <c r="Z336" t="str">
        <f t="shared" si="20"/>
        <v>Efficient Spend</v>
      </c>
      <c r="AA336" t="str">
        <f>VLOOKUP(H336, Lookup_table!E:F,2,0)</f>
        <v>High</v>
      </c>
    </row>
    <row r="337" spans="1:27" ht="17.5" customHeight="1" x14ac:dyDescent="0.35">
      <c r="A337" s="1" t="s">
        <v>526</v>
      </c>
      <c r="B337" s="2">
        <v>45487</v>
      </c>
      <c r="C337" s="1" t="s">
        <v>527</v>
      </c>
      <c r="D337" s="1">
        <v>60</v>
      </c>
      <c r="E337" s="1" t="s">
        <v>23</v>
      </c>
      <c r="F337" s="1" t="s">
        <v>57</v>
      </c>
      <c r="G337" s="1" t="s">
        <v>25</v>
      </c>
      <c r="H337" s="1" t="s">
        <v>62</v>
      </c>
      <c r="I337" s="1">
        <v>64.86</v>
      </c>
      <c r="J337" s="1">
        <v>37695</v>
      </c>
      <c r="K337" s="1">
        <v>3584</v>
      </c>
      <c r="L337" s="1">
        <v>15</v>
      </c>
      <c r="N337" s="1">
        <v>9.5078922929999994</v>
      </c>
      <c r="O337" s="1">
        <v>0.41852678599999998</v>
      </c>
      <c r="P337" s="1">
        <f t="shared" si="14"/>
        <v>3</v>
      </c>
      <c r="V337" t="str">
        <f t="shared" si="18"/>
        <v>Low Performer</v>
      </c>
      <c r="W337" t="e" cm="1">
        <f t="array" aca="1" ref="W337" ca="1">_xlfn.IFS(N337&gt;=20, "High",N337&gt;=10, "Medium", N337&lt;10, "Low")</f>
        <v>#NAME?</v>
      </c>
      <c r="X337" t="str">
        <f t="shared" si="19"/>
        <v>Low Budget</v>
      </c>
      <c r="Y337" s="7">
        <f>VLOOKUP(G337, Lookup_table!B:C,2,0)</f>
        <v>0.5</v>
      </c>
      <c r="Z337" t="str">
        <f t="shared" si="20"/>
        <v>Efficient Spend</v>
      </c>
      <c r="AA337" t="str">
        <f>VLOOKUP(H337, Lookup_table!E:F,2,0)</f>
        <v>Medium</v>
      </c>
    </row>
    <row r="338" spans="1:27" ht="17.5" customHeight="1" x14ac:dyDescent="0.35">
      <c r="A338" s="1" t="s">
        <v>528</v>
      </c>
      <c r="B338" s="2">
        <v>45416</v>
      </c>
      <c r="C338" s="1" t="s">
        <v>217</v>
      </c>
      <c r="D338" s="1">
        <v>27</v>
      </c>
      <c r="E338" s="1" t="s">
        <v>35</v>
      </c>
      <c r="F338" s="1" t="s">
        <v>41</v>
      </c>
      <c r="G338" s="1" t="s">
        <v>31</v>
      </c>
      <c r="H338" s="1" t="s">
        <v>62</v>
      </c>
      <c r="I338" s="1">
        <v>663.09</v>
      </c>
      <c r="J338" s="1">
        <v>30158</v>
      </c>
      <c r="K338" s="1">
        <v>954</v>
      </c>
      <c r="L338" s="1">
        <v>95</v>
      </c>
      <c r="M338" s="1">
        <v>1</v>
      </c>
      <c r="N338" s="1">
        <v>3.163339744</v>
      </c>
      <c r="O338" s="1">
        <v>9.9580712790000003</v>
      </c>
      <c r="P338" s="1">
        <f t="shared" si="14"/>
        <v>1</v>
      </c>
      <c r="V338" t="str">
        <f t="shared" si="18"/>
        <v>Low Performer</v>
      </c>
      <c r="W338" t="e" cm="1">
        <f t="array" aca="1" ref="W338" ca="1">_xlfn.IFS(N338&gt;=20, "High",N338&gt;=10, "Medium", N338&lt;10, "Low")</f>
        <v>#NAME?</v>
      </c>
      <c r="X338" t="str">
        <f t="shared" si="19"/>
        <v>Medium Budget</v>
      </c>
      <c r="Y338" s="7">
        <f>VLOOKUP(G338, Lookup_table!B:C,2,0)</f>
        <v>1.2</v>
      </c>
      <c r="Z338" t="str">
        <f t="shared" si="20"/>
        <v>Efficient Spend</v>
      </c>
      <c r="AA338" t="str">
        <f>VLOOKUP(H338, Lookup_table!E:F,2,0)</f>
        <v>Medium</v>
      </c>
    </row>
    <row r="339" spans="1:27" ht="17.5" customHeight="1" x14ac:dyDescent="0.35">
      <c r="A339" s="1" t="s">
        <v>529</v>
      </c>
      <c r="B339" s="2">
        <v>45388</v>
      </c>
      <c r="C339" s="1" t="s">
        <v>88</v>
      </c>
      <c r="D339" s="1">
        <v>45</v>
      </c>
      <c r="E339" s="1" t="s">
        <v>23</v>
      </c>
      <c r="F339" s="1" t="s">
        <v>45</v>
      </c>
      <c r="G339" s="1" t="s">
        <v>25</v>
      </c>
      <c r="H339" s="1" t="s">
        <v>26</v>
      </c>
      <c r="I339" s="1">
        <v>544.66999999999996</v>
      </c>
      <c r="J339" s="1">
        <v>44378</v>
      </c>
      <c r="K339" s="1">
        <v>3838</v>
      </c>
      <c r="L339" s="1">
        <v>338</v>
      </c>
      <c r="M339" s="1">
        <v>5</v>
      </c>
      <c r="N339" s="1">
        <v>8.6484294019999997</v>
      </c>
      <c r="O339" s="1">
        <v>8.8066701409999997</v>
      </c>
      <c r="P339" s="1">
        <f t="shared" si="14"/>
        <v>5</v>
      </c>
      <c r="V339" t="str">
        <f t="shared" si="18"/>
        <v>Top Performer</v>
      </c>
      <c r="W339" t="e" cm="1">
        <f t="array" aca="1" ref="W339" ca="1">_xlfn.IFS(N339&gt;=20, "High",N339&gt;=10, "Medium", N339&lt;10, "Low")</f>
        <v>#NAME?</v>
      </c>
      <c r="X339" t="str">
        <f t="shared" si="19"/>
        <v>Medium Budget</v>
      </c>
      <c r="Y339" s="7">
        <f>VLOOKUP(G339, Lookup_table!B:C,2,0)</f>
        <v>0.5</v>
      </c>
      <c r="Z339" t="str">
        <f t="shared" si="20"/>
        <v>Efficient Spend</v>
      </c>
      <c r="AA339" t="str">
        <f>VLOOKUP(H339, Lookup_table!E:F,2,0)</f>
        <v>High</v>
      </c>
    </row>
    <row r="340" spans="1:27" ht="17.5" customHeight="1" x14ac:dyDescent="0.35">
      <c r="A340" s="1" t="s">
        <v>530</v>
      </c>
      <c r="B340" s="2">
        <v>45510</v>
      </c>
      <c r="C340" s="1" t="s">
        <v>107</v>
      </c>
      <c r="D340" s="1">
        <v>55</v>
      </c>
      <c r="E340" s="1" t="s">
        <v>35</v>
      </c>
      <c r="F340" s="1" t="s">
        <v>57</v>
      </c>
      <c r="G340" s="1" t="s">
        <v>31</v>
      </c>
      <c r="H340" s="1" t="s">
        <v>36</v>
      </c>
      <c r="I340" s="1">
        <v>85.51</v>
      </c>
      <c r="J340" s="1">
        <v>20486</v>
      </c>
      <c r="K340" s="1">
        <v>3094</v>
      </c>
      <c r="L340" s="1">
        <v>292</v>
      </c>
      <c r="M340" s="1">
        <v>4</v>
      </c>
      <c r="N340" s="1">
        <v>15.10299717</v>
      </c>
      <c r="O340" s="1">
        <v>9.4376212020000008</v>
      </c>
      <c r="P340" s="1">
        <f t="shared" si="14"/>
        <v>4</v>
      </c>
      <c r="V340" t="str">
        <f t="shared" si="18"/>
        <v>Top Performer</v>
      </c>
      <c r="W340" t="e" cm="1">
        <f t="array" aca="1" ref="W340" ca="1">_xlfn.IFS(N340&gt;=20, "High",N340&gt;=10, "Medium", N340&lt;10, "Low")</f>
        <v>#NAME?</v>
      </c>
      <c r="X340" t="str">
        <f t="shared" si="19"/>
        <v>Low Budget</v>
      </c>
      <c r="Y340" s="7">
        <f>VLOOKUP(G340, Lookup_table!B:C,2,0)</f>
        <v>1.2</v>
      </c>
      <c r="Z340" t="str">
        <f t="shared" si="20"/>
        <v>Efficient Spend</v>
      </c>
      <c r="AA340" t="str">
        <f>VLOOKUP(H340, Lookup_table!E:F,2,0)</f>
        <v>High</v>
      </c>
    </row>
    <row r="341" spans="1:27" ht="17.5" customHeight="1" x14ac:dyDescent="0.35">
      <c r="A341" s="1" t="s">
        <v>531</v>
      </c>
      <c r="B341" s="2">
        <v>45629</v>
      </c>
      <c r="C341" s="1" t="s">
        <v>312</v>
      </c>
      <c r="D341" s="1">
        <v>49</v>
      </c>
      <c r="E341" s="1" t="s">
        <v>23</v>
      </c>
      <c r="F341" s="1" t="s">
        <v>57</v>
      </c>
      <c r="G341" s="1" t="s">
        <v>31</v>
      </c>
      <c r="H341" s="1" t="s">
        <v>32</v>
      </c>
      <c r="I341" s="1">
        <v>1042.51</v>
      </c>
      <c r="J341" s="1">
        <v>24360</v>
      </c>
      <c r="K341" s="1">
        <v>3461</v>
      </c>
      <c r="L341" s="1">
        <v>369</v>
      </c>
      <c r="M341" s="1">
        <v>4</v>
      </c>
      <c r="N341" s="1">
        <v>14.20771757</v>
      </c>
      <c r="O341" s="1">
        <v>10.66165848</v>
      </c>
      <c r="P341" s="1">
        <f t="shared" si="14"/>
        <v>4</v>
      </c>
      <c r="V341" t="str">
        <f t="shared" si="18"/>
        <v>Top Performer</v>
      </c>
      <c r="W341" t="e" cm="1">
        <f t="array" aca="1" ref="W341" ca="1">_xlfn.IFS(N341&gt;=20, "High",N341&gt;=10, "Medium", N341&lt;10, "Low")</f>
        <v>#NAME?</v>
      </c>
      <c r="X341" t="str">
        <f t="shared" si="19"/>
        <v>High Budget</v>
      </c>
      <c r="Y341" s="7">
        <f>VLOOKUP(G341, Lookup_table!B:C,2,0)</f>
        <v>1.2</v>
      </c>
      <c r="Z341" t="str">
        <f t="shared" si="20"/>
        <v>Efficient Spend</v>
      </c>
      <c r="AA341" t="str">
        <f>VLOOKUP(H341, Lookup_table!E:F,2,0)</f>
        <v>Medium</v>
      </c>
    </row>
    <row r="342" spans="1:27" ht="17.5" customHeight="1" x14ac:dyDescent="0.35">
      <c r="A342" s="1" t="s">
        <v>532</v>
      </c>
      <c r="B342" s="2">
        <v>45495</v>
      </c>
      <c r="C342" s="1" t="s">
        <v>77</v>
      </c>
      <c r="D342" s="1">
        <v>26</v>
      </c>
      <c r="E342" s="1" t="s">
        <v>35</v>
      </c>
      <c r="F342" s="1" t="s">
        <v>45</v>
      </c>
      <c r="G342" s="1" t="s">
        <v>61</v>
      </c>
      <c r="H342" s="1" t="s">
        <v>62</v>
      </c>
      <c r="I342" s="1">
        <v>52.05</v>
      </c>
      <c r="J342" s="1">
        <v>31734</v>
      </c>
      <c r="K342" s="1">
        <v>2497</v>
      </c>
      <c r="L342" s="1">
        <v>160</v>
      </c>
      <c r="M342" s="1">
        <v>2</v>
      </c>
      <c r="N342" s="1">
        <v>7.8685321740000003</v>
      </c>
      <c r="O342" s="1">
        <v>6.4076892269999997</v>
      </c>
      <c r="P342" s="1">
        <f t="shared" si="14"/>
        <v>2</v>
      </c>
      <c r="V342" t="str">
        <f t="shared" si="18"/>
        <v>Average Performer</v>
      </c>
      <c r="W342" t="e" cm="1">
        <f t="array" aca="1" ref="W342" ca="1">_xlfn.IFS(N342&gt;=20, "High",N342&gt;=10, "Medium", N342&lt;10, "Low")</f>
        <v>#NAME?</v>
      </c>
      <c r="X342" t="str">
        <f t="shared" si="19"/>
        <v>Low Budget</v>
      </c>
      <c r="Y342" s="7">
        <f>VLOOKUP(G342, Lookup_table!B:C,2,0)</f>
        <v>0.2</v>
      </c>
      <c r="Z342" t="str">
        <f t="shared" si="20"/>
        <v>Efficient Spend</v>
      </c>
      <c r="AA342" t="str">
        <f>VLOOKUP(H342, Lookup_table!E:F,2,0)</f>
        <v>Medium</v>
      </c>
    </row>
    <row r="343" spans="1:27" ht="17.5" customHeight="1" x14ac:dyDescent="0.35">
      <c r="A343" s="1" t="s">
        <v>533</v>
      </c>
      <c r="B343" s="2">
        <v>45421</v>
      </c>
      <c r="C343" s="1" t="s">
        <v>71</v>
      </c>
      <c r="D343" s="1">
        <v>56</v>
      </c>
      <c r="E343" s="1" t="s">
        <v>29</v>
      </c>
      <c r="F343" s="1" t="s">
        <v>50</v>
      </c>
      <c r="G343" s="1" t="s">
        <v>25</v>
      </c>
      <c r="H343" s="1" t="s">
        <v>62</v>
      </c>
      <c r="I343" s="1">
        <v>1388.2</v>
      </c>
      <c r="J343" s="1">
        <v>1319</v>
      </c>
      <c r="K343" s="1">
        <v>4883</v>
      </c>
      <c r="L343" s="1">
        <v>191</v>
      </c>
      <c r="M343" s="1">
        <v>4</v>
      </c>
      <c r="N343" s="1">
        <v>370.2047005</v>
      </c>
      <c r="O343" s="1">
        <v>3.911529797</v>
      </c>
      <c r="P343" s="1">
        <f t="shared" si="14"/>
        <v>4</v>
      </c>
      <c r="U343" s="1">
        <f>COUNTIF(N339:N1000, N343&gt;100)</f>
        <v>0</v>
      </c>
      <c r="V343" t="str">
        <f t="shared" si="18"/>
        <v>Average Performer</v>
      </c>
      <c r="W343" t="e" cm="1">
        <f t="array" aca="1" ref="W343" ca="1">_xlfn.IFS(N343&gt;=20, "High",N343&gt;=10, "Medium", N343&lt;10, "Low")</f>
        <v>#NAME?</v>
      </c>
      <c r="X343" t="str">
        <f t="shared" si="19"/>
        <v>High Budget</v>
      </c>
      <c r="Y343" s="7">
        <f>VLOOKUP(G343, Lookup_table!B:C,2,0)</f>
        <v>0.5</v>
      </c>
      <c r="Z343" t="str">
        <f t="shared" si="20"/>
        <v>Efficient Spend</v>
      </c>
      <c r="AA343" t="str">
        <f>VLOOKUP(H343, Lookup_table!E:F,2,0)</f>
        <v>Medium</v>
      </c>
    </row>
    <row r="344" spans="1:27" ht="17.5" customHeight="1" x14ac:dyDescent="0.35">
      <c r="A344" s="1" t="s">
        <v>534</v>
      </c>
      <c r="B344" s="2">
        <v>45585</v>
      </c>
      <c r="C344" s="1" t="s">
        <v>245</v>
      </c>
      <c r="D344" s="1">
        <v>64</v>
      </c>
      <c r="E344" s="1" t="s">
        <v>35</v>
      </c>
      <c r="F344" s="1" t="s">
        <v>41</v>
      </c>
      <c r="G344" s="1" t="s">
        <v>31</v>
      </c>
      <c r="H344" s="1" t="s">
        <v>26</v>
      </c>
      <c r="I344" s="1">
        <v>1041.07</v>
      </c>
      <c r="J344" s="1">
        <v>3127</v>
      </c>
      <c r="K344" s="1">
        <v>3183</v>
      </c>
      <c r="L344" s="1">
        <v>109</v>
      </c>
      <c r="M344" s="1">
        <v>5</v>
      </c>
      <c r="N344" s="1">
        <v>101.7908539</v>
      </c>
      <c r="O344" s="1">
        <v>3.4244423500000001</v>
      </c>
      <c r="P344" s="1">
        <f t="shared" si="14"/>
        <v>5</v>
      </c>
      <c r="U344" s="1">
        <f>COUNTIF(N340:N1001, N344&gt;100)</f>
        <v>0</v>
      </c>
      <c r="V344" t="str">
        <f t="shared" si="18"/>
        <v>Average Performer</v>
      </c>
      <c r="W344" t="e" cm="1">
        <f t="array" aca="1" ref="W344" ca="1">_xlfn.IFS(N344&gt;=20, "High",N344&gt;=10, "Medium", N344&lt;10, "Low")</f>
        <v>#NAME?</v>
      </c>
      <c r="X344" t="str">
        <f t="shared" si="19"/>
        <v>High Budget</v>
      </c>
      <c r="Y344" s="7">
        <f>VLOOKUP(G344, Lookup_table!B:C,2,0)</f>
        <v>1.2</v>
      </c>
      <c r="Z344" t="str">
        <f t="shared" si="20"/>
        <v>Efficient Spend</v>
      </c>
      <c r="AA344" t="str">
        <f>VLOOKUP(H344, Lookup_table!E:F,2,0)</f>
        <v>High</v>
      </c>
    </row>
    <row r="345" spans="1:27" ht="17.5" customHeight="1" x14ac:dyDescent="0.35">
      <c r="A345" s="1" t="s">
        <v>535</v>
      </c>
      <c r="B345" s="2">
        <v>45585</v>
      </c>
      <c r="C345" s="1" t="s">
        <v>234</v>
      </c>
      <c r="D345" s="1">
        <v>18</v>
      </c>
      <c r="E345" s="1" t="s">
        <v>29</v>
      </c>
      <c r="F345" s="1" t="s">
        <v>41</v>
      </c>
      <c r="G345" s="1" t="s">
        <v>46</v>
      </c>
      <c r="H345" s="1" t="s">
        <v>26</v>
      </c>
      <c r="I345" s="1">
        <v>355.42</v>
      </c>
      <c r="J345" s="1">
        <v>45683</v>
      </c>
      <c r="K345" s="1">
        <v>3929</v>
      </c>
      <c r="L345" s="1">
        <v>152</v>
      </c>
      <c r="N345" s="1">
        <v>8.6005735179999991</v>
      </c>
      <c r="O345" s="1">
        <v>3.8686688720000002</v>
      </c>
      <c r="P345" s="1">
        <f t="shared" si="14"/>
        <v>3</v>
      </c>
      <c r="V345" t="str">
        <f t="shared" si="18"/>
        <v>Average Performer</v>
      </c>
      <c r="W345" t="e" cm="1">
        <f t="array" aca="1" ref="W345" ca="1">_xlfn.IFS(N345&gt;=20, "High",N345&gt;=10, "Medium", N345&lt;10, "Low")</f>
        <v>#NAME?</v>
      </c>
      <c r="X345" t="str">
        <f t="shared" si="19"/>
        <v>Low Budget</v>
      </c>
      <c r="Y345" s="7">
        <f>VLOOKUP(G345, Lookup_table!B:C,2,0)</f>
        <v>0.75</v>
      </c>
      <c r="Z345" t="str">
        <f t="shared" si="20"/>
        <v>Efficient Spend</v>
      </c>
      <c r="AA345" t="str">
        <f>VLOOKUP(H345, Lookup_table!E:F,2,0)</f>
        <v>High</v>
      </c>
    </row>
    <row r="346" spans="1:27" ht="17.5" customHeight="1" x14ac:dyDescent="0.35">
      <c r="A346" s="1" t="s">
        <v>536</v>
      </c>
      <c r="B346" s="2">
        <v>45639</v>
      </c>
      <c r="C346" s="1" t="s">
        <v>384</v>
      </c>
      <c r="D346" s="1">
        <v>49</v>
      </c>
      <c r="E346" s="1" t="s">
        <v>23</v>
      </c>
      <c r="F346" s="1" t="s">
        <v>50</v>
      </c>
      <c r="G346" s="1" t="s">
        <v>25</v>
      </c>
      <c r="H346" s="1" t="s">
        <v>26</v>
      </c>
      <c r="I346" s="1">
        <v>450.95</v>
      </c>
      <c r="J346" s="1">
        <v>18616</v>
      </c>
      <c r="K346" s="1">
        <v>2784</v>
      </c>
      <c r="L346" s="1">
        <v>66</v>
      </c>
      <c r="M346" s="1">
        <v>2</v>
      </c>
      <c r="N346" s="1">
        <v>14.95487752</v>
      </c>
      <c r="O346" s="1">
        <v>2.3706896550000001</v>
      </c>
      <c r="P346" s="1">
        <f t="shared" si="14"/>
        <v>2</v>
      </c>
      <c r="V346" t="str">
        <f t="shared" si="18"/>
        <v>Low Performer</v>
      </c>
      <c r="W346" t="e" cm="1">
        <f t="array" aca="1" ref="W346" ca="1">_xlfn.IFS(N346&gt;=20, "High",N346&gt;=10, "Medium", N346&lt;10, "Low")</f>
        <v>#NAME?</v>
      </c>
      <c r="X346" t="str">
        <f t="shared" si="19"/>
        <v>Low Budget</v>
      </c>
      <c r="Y346" s="7">
        <f>VLOOKUP(G346, Lookup_table!B:C,2,0)</f>
        <v>0.5</v>
      </c>
      <c r="Z346" t="str">
        <f t="shared" si="20"/>
        <v>Efficient Spend</v>
      </c>
      <c r="AA346" t="str">
        <f>VLOOKUP(H346, Lookup_table!E:F,2,0)</f>
        <v>High</v>
      </c>
    </row>
    <row r="347" spans="1:27" ht="17.5" customHeight="1" x14ac:dyDescent="0.35">
      <c r="A347" s="1" t="s">
        <v>537</v>
      </c>
      <c r="B347" s="2">
        <v>45503</v>
      </c>
      <c r="C347" s="1" t="s">
        <v>283</v>
      </c>
      <c r="D347" s="1">
        <v>41</v>
      </c>
      <c r="E347" s="1" t="s">
        <v>23</v>
      </c>
      <c r="F347" s="1" t="s">
        <v>30</v>
      </c>
      <c r="G347" s="1" t="s">
        <v>31</v>
      </c>
      <c r="H347" s="1" t="s">
        <v>36</v>
      </c>
      <c r="I347" s="1">
        <v>1191.8399999999999</v>
      </c>
      <c r="J347" s="1">
        <v>16440</v>
      </c>
      <c r="K347" s="1">
        <v>1568</v>
      </c>
      <c r="L347" s="1">
        <v>43</v>
      </c>
      <c r="M347" s="1">
        <v>2</v>
      </c>
      <c r="N347" s="1">
        <v>9.5377128950000003</v>
      </c>
      <c r="O347" s="1">
        <v>2.7423469389999999</v>
      </c>
      <c r="P347" s="1">
        <f t="shared" si="14"/>
        <v>2</v>
      </c>
      <c r="V347" t="str">
        <f t="shared" si="18"/>
        <v>Low Performer</v>
      </c>
      <c r="W347" t="e" cm="1">
        <f t="array" aca="1" ref="W347" ca="1">_xlfn.IFS(N347&gt;=20, "High",N347&gt;=10, "Medium", N347&lt;10, "Low")</f>
        <v>#NAME?</v>
      </c>
      <c r="X347" t="str">
        <f t="shared" si="19"/>
        <v>High Budget</v>
      </c>
      <c r="Y347" s="7">
        <f>VLOOKUP(G347, Lookup_table!B:C,2,0)</f>
        <v>1.2</v>
      </c>
      <c r="Z347" t="str">
        <f t="shared" si="20"/>
        <v>Efficient Spend</v>
      </c>
      <c r="AA347" t="str">
        <f>VLOOKUP(H347, Lookup_table!E:F,2,0)</f>
        <v>High</v>
      </c>
    </row>
    <row r="348" spans="1:27" ht="17.5" customHeight="1" x14ac:dyDescent="0.35">
      <c r="A348" s="1" t="s">
        <v>538</v>
      </c>
      <c r="B348" s="2">
        <v>45335</v>
      </c>
      <c r="C348" s="1" t="s">
        <v>79</v>
      </c>
      <c r="D348" s="1">
        <v>50</v>
      </c>
      <c r="E348" s="1" t="s">
        <v>23</v>
      </c>
      <c r="F348" s="1" t="s">
        <v>57</v>
      </c>
      <c r="G348" s="1" t="s">
        <v>46</v>
      </c>
      <c r="H348" s="1" t="s">
        <v>26</v>
      </c>
      <c r="I348" s="1">
        <v>1965.53</v>
      </c>
      <c r="J348" s="1">
        <v>29757</v>
      </c>
      <c r="K348" s="1">
        <v>2870</v>
      </c>
      <c r="L348" s="1">
        <v>100</v>
      </c>
      <c r="M348" s="1">
        <v>1</v>
      </c>
      <c r="N348" s="1">
        <v>9.6447894610000002</v>
      </c>
      <c r="O348" s="1">
        <v>3.4843205570000002</v>
      </c>
      <c r="P348" s="1">
        <f t="shared" si="14"/>
        <v>1</v>
      </c>
      <c r="V348" t="str">
        <f t="shared" si="18"/>
        <v>Average Performer</v>
      </c>
      <c r="W348" t="e" cm="1">
        <f t="array" aca="1" ref="W348" ca="1">_xlfn.IFS(N348&gt;=20, "High",N348&gt;=10, "Medium", N348&lt;10, "Low")</f>
        <v>#NAME?</v>
      </c>
      <c r="X348" t="str">
        <f t="shared" si="19"/>
        <v>High Budget</v>
      </c>
      <c r="Y348" s="7">
        <f>VLOOKUP(G348, Lookup_table!B:C,2,0)</f>
        <v>0.75</v>
      </c>
      <c r="Z348" t="str">
        <f t="shared" si="20"/>
        <v>Efficient Spend</v>
      </c>
      <c r="AA348" t="str">
        <f>VLOOKUP(H348, Lookup_table!E:F,2,0)</f>
        <v>High</v>
      </c>
    </row>
    <row r="349" spans="1:27" ht="17.5" customHeight="1" x14ac:dyDescent="0.35">
      <c r="A349" s="1" t="s">
        <v>539</v>
      </c>
      <c r="B349" s="2">
        <v>45470</v>
      </c>
      <c r="C349" s="1" t="s">
        <v>540</v>
      </c>
      <c r="D349" s="1">
        <v>25</v>
      </c>
      <c r="E349" s="1" t="s">
        <v>23</v>
      </c>
      <c r="F349" s="1" t="s">
        <v>50</v>
      </c>
      <c r="G349" s="1" t="s">
        <v>42</v>
      </c>
      <c r="H349" s="1" t="s">
        <v>32</v>
      </c>
      <c r="I349" s="1">
        <v>711.07</v>
      </c>
      <c r="J349" s="1">
        <v>35210</v>
      </c>
      <c r="K349" s="1">
        <v>1332</v>
      </c>
      <c r="L349" s="1">
        <v>99</v>
      </c>
      <c r="N349" s="1">
        <v>3.783016189</v>
      </c>
      <c r="O349" s="1">
        <v>7.4324324319999997</v>
      </c>
      <c r="P349" s="1">
        <f t="shared" si="14"/>
        <v>3</v>
      </c>
      <c r="V349" t="str">
        <f t="shared" si="18"/>
        <v>Low Performer</v>
      </c>
      <c r="W349" t="e" cm="1">
        <f t="array" aca="1" ref="W349" ca="1">_xlfn.IFS(N349&gt;=20, "High",N349&gt;=10, "Medium", N349&lt;10, "Low")</f>
        <v>#NAME?</v>
      </c>
      <c r="X349" t="str">
        <f t="shared" si="19"/>
        <v>Medium Budget</v>
      </c>
      <c r="Y349" s="7">
        <f>VLOOKUP(G349, Lookup_table!B:C,2,0)</f>
        <v>0.3</v>
      </c>
      <c r="Z349" t="str">
        <f t="shared" si="20"/>
        <v>Inefficient Spend</v>
      </c>
      <c r="AA349" t="str">
        <f>VLOOKUP(H349, Lookup_table!E:F,2,0)</f>
        <v>Medium</v>
      </c>
    </row>
    <row r="350" spans="1:27" ht="17.5" customHeight="1" x14ac:dyDescent="0.35">
      <c r="A350" s="1" t="s">
        <v>541</v>
      </c>
      <c r="B350" s="2">
        <v>45632</v>
      </c>
      <c r="C350" s="1" t="s">
        <v>456</v>
      </c>
      <c r="D350" s="1">
        <v>18</v>
      </c>
      <c r="E350" s="1" t="s">
        <v>35</v>
      </c>
      <c r="F350" s="1" t="s">
        <v>41</v>
      </c>
      <c r="G350" s="1" t="s">
        <v>31</v>
      </c>
      <c r="H350" s="1" t="s">
        <v>36</v>
      </c>
      <c r="I350" s="1">
        <v>1567.09</v>
      </c>
      <c r="J350" s="1">
        <v>45893</v>
      </c>
      <c r="K350" s="1">
        <v>2967</v>
      </c>
      <c r="L350" s="1">
        <v>360</v>
      </c>
      <c r="N350" s="1">
        <v>6.4650382410000002</v>
      </c>
      <c r="O350" s="1">
        <v>12.133468150000001</v>
      </c>
      <c r="P350" s="1">
        <f t="shared" si="14"/>
        <v>3</v>
      </c>
      <c r="V350" t="str">
        <f t="shared" si="18"/>
        <v>Average Performer</v>
      </c>
      <c r="W350" t="e" cm="1">
        <f t="array" aca="1" ref="W350" ca="1">_xlfn.IFS(N350&gt;=20, "High",N350&gt;=10, "Medium", N350&lt;10, "Low")</f>
        <v>#NAME?</v>
      </c>
      <c r="X350" t="str">
        <f t="shared" si="19"/>
        <v>High Budget</v>
      </c>
      <c r="Y350" s="7">
        <f>VLOOKUP(G350, Lookup_table!B:C,2,0)</f>
        <v>1.2</v>
      </c>
      <c r="Z350" t="str">
        <f t="shared" si="20"/>
        <v>Efficient Spend</v>
      </c>
      <c r="AA350" t="str">
        <f>VLOOKUP(H350, Lookup_table!E:F,2,0)</f>
        <v>High</v>
      </c>
    </row>
    <row r="351" spans="1:27" ht="17.5" customHeight="1" x14ac:dyDescent="0.35">
      <c r="A351" s="1" t="s">
        <v>542</v>
      </c>
      <c r="B351" s="2">
        <v>45486</v>
      </c>
      <c r="C351" s="1" t="s">
        <v>543</v>
      </c>
      <c r="D351" s="1">
        <v>48</v>
      </c>
      <c r="E351" s="1" t="s">
        <v>29</v>
      </c>
      <c r="F351" s="1" t="s">
        <v>45</v>
      </c>
      <c r="G351" s="1" t="s">
        <v>46</v>
      </c>
      <c r="H351" s="1" t="s">
        <v>26</v>
      </c>
      <c r="I351" s="1">
        <v>531.76</v>
      </c>
      <c r="J351" s="1">
        <v>48351</v>
      </c>
      <c r="K351" s="1">
        <v>304</v>
      </c>
      <c r="L351" s="1">
        <v>219</v>
      </c>
      <c r="N351" s="1">
        <v>0.62873570400000001</v>
      </c>
      <c r="O351" s="1">
        <v>72.03947368</v>
      </c>
      <c r="P351" s="1">
        <f t="shared" si="14"/>
        <v>3</v>
      </c>
      <c r="V351" t="str">
        <f t="shared" si="18"/>
        <v>Low Performer</v>
      </c>
      <c r="W351" t="e" cm="1">
        <f t="array" aca="1" ref="W351" ca="1">_xlfn.IFS(N351&gt;=20, "High",N351&gt;=10, "Medium", N351&lt;10, "Low")</f>
        <v>#NAME?</v>
      </c>
      <c r="X351" t="str">
        <f t="shared" si="19"/>
        <v>Medium Budget</v>
      </c>
      <c r="Y351" s="7">
        <f>VLOOKUP(G351, Lookup_table!B:C,2,0)</f>
        <v>0.75</v>
      </c>
      <c r="Z351" t="str">
        <f t="shared" si="20"/>
        <v>Inefficient Spend</v>
      </c>
      <c r="AA351" t="str">
        <f>VLOOKUP(H351, Lookup_table!E:F,2,0)</f>
        <v>High</v>
      </c>
    </row>
    <row r="352" spans="1:27" ht="17.5" customHeight="1" x14ac:dyDescent="0.35">
      <c r="A352" s="1" t="s">
        <v>544</v>
      </c>
      <c r="B352" s="2">
        <v>45403</v>
      </c>
      <c r="C352" s="1" t="s">
        <v>115</v>
      </c>
      <c r="D352" s="1">
        <v>45</v>
      </c>
      <c r="E352" s="1" t="s">
        <v>35</v>
      </c>
      <c r="F352" s="1" t="s">
        <v>50</v>
      </c>
      <c r="G352" s="1" t="s">
        <v>61</v>
      </c>
      <c r="H352" s="1" t="s">
        <v>26</v>
      </c>
      <c r="I352" s="1">
        <v>688.88</v>
      </c>
      <c r="J352" s="1">
        <v>6054</v>
      </c>
      <c r="K352" s="1">
        <v>4766</v>
      </c>
      <c r="L352" s="1">
        <v>40</v>
      </c>
      <c r="M352" s="1">
        <v>2</v>
      </c>
      <c r="N352" s="1">
        <v>78.724810039999994</v>
      </c>
      <c r="O352" s="1">
        <v>0.83927822100000005</v>
      </c>
      <c r="P352" s="1">
        <f t="shared" si="14"/>
        <v>2</v>
      </c>
      <c r="V352" t="str">
        <f t="shared" si="18"/>
        <v>Low Performer</v>
      </c>
      <c r="W352" t="e" cm="1">
        <f t="array" aca="1" ref="W352" ca="1">_xlfn.IFS(N352&gt;=20, "High",N352&gt;=10, "Medium", N352&lt;10, "Low")</f>
        <v>#NAME?</v>
      </c>
      <c r="X352" t="str">
        <f t="shared" si="19"/>
        <v>Medium Budget</v>
      </c>
      <c r="Y352" s="7">
        <f>VLOOKUP(G352, Lookup_table!B:C,2,0)</f>
        <v>0.2</v>
      </c>
      <c r="Z352" t="str">
        <f t="shared" si="20"/>
        <v>Efficient Spend</v>
      </c>
      <c r="AA352" t="str">
        <f>VLOOKUP(H352, Lookup_table!E:F,2,0)</f>
        <v>High</v>
      </c>
    </row>
    <row r="353" spans="1:27" ht="17.5" customHeight="1" x14ac:dyDescent="0.35">
      <c r="A353" s="1" t="s">
        <v>545</v>
      </c>
      <c r="B353" s="2">
        <v>45428</v>
      </c>
      <c r="C353" s="1" t="s">
        <v>546</v>
      </c>
      <c r="D353" s="1">
        <v>53</v>
      </c>
      <c r="E353" s="1" t="s">
        <v>35</v>
      </c>
      <c r="F353" s="1" t="s">
        <v>30</v>
      </c>
      <c r="G353" s="1" t="s">
        <v>25</v>
      </c>
      <c r="H353" s="1" t="s">
        <v>36</v>
      </c>
      <c r="I353" s="1">
        <v>1739.68</v>
      </c>
      <c r="J353" s="1">
        <v>48194</v>
      </c>
      <c r="K353" s="1">
        <v>1196</v>
      </c>
      <c r="L353" s="1">
        <v>193</v>
      </c>
      <c r="M353" s="1">
        <v>2</v>
      </c>
      <c r="N353" s="1">
        <v>2.4816367179999999</v>
      </c>
      <c r="O353" s="1">
        <v>16.137123750000001</v>
      </c>
      <c r="P353" s="1">
        <f t="shared" si="14"/>
        <v>2</v>
      </c>
      <c r="V353" t="str">
        <f t="shared" si="18"/>
        <v>Average Performer</v>
      </c>
      <c r="W353" t="e" cm="1">
        <f t="array" aca="1" ref="W353" ca="1">_xlfn.IFS(N353&gt;=20, "High",N353&gt;=10, "Medium", N353&lt;10, "Low")</f>
        <v>#NAME?</v>
      </c>
      <c r="X353" t="str">
        <f t="shared" si="19"/>
        <v>High Budget</v>
      </c>
      <c r="Y353" s="7">
        <f>VLOOKUP(G353, Lookup_table!B:C,2,0)</f>
        <v>0.5</v>
      </c>
      <c r="Z353" t="str">
        <f t="shared" si="20"/>
        <v>Inefficient Spend</v>
      </c>
      <c r="AA353" t="str">
        <f>VLOOKUP(H353, Lookup_table!E:F,2,0)</f>
        <v>High</v>
      </c>
    </row>
    <row r="354" spans="1:27" ht="17.5" customHeight="1" x14ac:dyDescent="0.35">
      <c r="A354" s="1" t="s">
        <v>547</v>
      </c>
      <c r="B354" s="2">
        <v>45542</v>
      </c>
      <c r="C354" s="1" t="s">
        <v>261</v>
      </c>
      <c r="D354" s="1">
        <v>38</v>
      </c>
      <c r="E354" s="1" t="s">
        <v>29</v>
      </c>
      <c r="F354" s="1" t="s">
        <v>50</v>
      </c>
      <c r="G354" s="1" t="s">
        <v>61</v>
      </c>
      <c r="H354" s="1" t="s">
        <v>26</v>
      </c>
      <c r="I354" s="1">
        <v>551.9</v>
      </c>
      <c r="J354" s="1">
        <v>13582</v>
      </c>
      <c r="K354" s="1">
        <v>2890</v>
      </c>
      <c r="L354" s="1">
        <v>210</v>
      </c>
      <c r="M354" s="1">
        <v>3</v>
      </c>
      <c r="N354" s="1">
        <v>21.278162269999999</v>
      </c>
      <c r="O354" s="1">
        <v>7.2664359860000003</v>
      </c>
      <c r="P354" s="1">
        <f t="shared" si="14"/>
        <v>3</v>
      </c>
      <c r="V354" t="str">
        <f t="shared" si="18"/>
        <v>Average Performer</v>
      </c>
      <c r="W354" t="e" cm="1">
        <f t="array" aca="1" ref="W354" ca="1">_xlfn.IFS(N354&gt;=20, "High",N354&gt;=10, "Medium", N354&lt;10, "Low")</f>
        <v>#NAME?</v>
      </c>
      <c r="X354" t="str">
        <f t="shared" si="19"/>
        <v>Medium Budget</v>
      </c>
      <c r="Y354" s="7">
        <f>VLOOKUP(G354, Lookup_table!B:C,2,0)</f>
        <v>0.2</v>
      </c>
      <c r="Z354" t="str">
        <f t="shared" si="20"/>
        <v>Efficient Spend</v>
      </c>
      <c r="AA354" t="str">
        <f>VLOOKUP(H354, Lookup_table!E:F,2,0)</f>
        <v>High</v>
      </c>
    </row>
    <row r="355" spans="1:27" ht="17.5" customHeight="1" x14ac:dyDescent="0.35">
      <c r="A355" s="1" t="s">
        <v>548</v>
      </c>
      <c r="B355" s="2">
        <v>45354</v>
      </c>
      <c r="C355" s="1" t="s">
        <v>524</v>
      </c>
      <c r="D355" s="1">
        <v>18</v>
      </c>
      <c r="E355" s="1" t="s">
        <v>23</v>
      </c>
      <c r="F355" s="1" t="s">
        <v>41</v>
      </c>
      <c r="G355" s="1" t="s">
        <v>42</v>
      </c>
      <c r="H355" s="1" t="s">
        <v>26</v>
      </c>
      <c r="I355" s="1">
        <v>1966.14</v>
      </c>
      <c r="J355" s="1">
        <v>6272</v>
      </c>
      <c r="K355" s="1">
        <v>799</v>
      </c>
      <c r="L355" s="1">
        <v>111</v>
      </c>
      <c r="M355" s="1">
        <v>2</v>
      </c>
      <c r="N355" s="1">
        <v>12.739158160000001</v>
      </c>
      <c r="O355" s="1">
        <v>13.892365460000001</v>
      </c>
      <c r="P355" s="1">
        <f t="shared" si="14"/>
        <v>2</v>
      </c>
      <c r="V355" t="str">
        <f t="shared" si="18"/>
        <v>Low Performer</v>
      </c>
      <c r="W355" t="e" cm="1">
        <f t="array" aca="1" ref="W355" ca="1">_xlfn.IFS(N355&gt;=20, "High",N355&gt;=10, "Medium", N355&lt;10, "Low")</f>
        <v>#NAME?</v>
      </c>
      <c r="X355" t="str">
        <f t="shared" si="19"/>
        <v>High Budget</v>
      </c>
      <c r="Y355" s="7">
        <f>VLOOKUP(G355, Lookup_table!B:C,2,0)</f>
        <v>0.3</v>
      </c>
      <c r="Z355" t="str">
        <f t="shared" si="20"/>
        <v>Inefficient Spend</v>
      </c>
      <c r="AA355" t="str">
        <f>VLOOKUP(H355, Lookup_table!E:F,2,0)</f>
        <v>High</v>
      </c>
    </row>
    <row r="356" spans="1:27" ht="17.5" customHeight="1" x14ac:dyDescent="0.35">
      <c r="A356" s="1" t="s">
        <v>549</v>
      </c>
      <c r="B356" s="2">
        <v>45376</v>
      </c>
      <c r="C356" s="1" t="s">
        <v>406</v>
      </c>
      <c r="D356" s="1">
        <v>58</v>
      </c>
      <c r="E356" s="1" t="s">
        <v>29</v>
      </c>
      <c r="F356" s="1" t="s">
        <v>50</v>
      </c>
      <c r="G356" s="1" t="s">
        <v>46</v>
      </c>
      <c r="H356" s="1" t="s">
        <v>32</v>
      </c>
      <c r="I356" s="1">
        <v>742.49</v>
      </c>
      <c r="J356" s="1">
        <v>10965</v>
      </c>
      <c r="K356" s="1">
        <v>1031</v>
      </c>
      <c r="L356" s="1">
        <v>386</v>
      </c>
      <c r="M356" s="1">
        <v>4</v>
      </c>
      <c r="N356" s="1">
        <v>9.4026447789999992</v>
      </c>
      <c r="O356" s="1">
        <v>37.439379240000001</v>
      </c>
      <c r="P356" s="1">
        <f t="shared" si="14"/>
        <v>4</v>
      </c>
      <c r="V356" t="str">
        <f t="shared" si="18"/>
        <v>Average Performer</v>
      </c>
      <c r="W356" t="e" cm="1">
        <f t="array" aca="1" ref="W356" ca="1">_xlfn.IFS(N356&gt;=20, "High",N356&gt;=10, "Medium", N356&lt;10, "Low")</f>
        <v>#NAME?</v>
      </c>
      <c r="X356" t="str">
        <f t="shared" si="19"/>
        <v>Medium Budget</v>
      </c>
      <c r="Y356" s="7">
        <f>VLOOKUP(G356, Lookup_table!B:C,2,0)</f>
        <v>0.75</v>
      </c>
      <c r="Z356" t="str">
        <f t="shared" si="20"/>
        <v>Efficient Spend</v>
      </c>
      <c r="AA356" t="str">
        <f>VLOOKUP(H356, Lookup_table!E:F,2,0)</f>
        <v>Medium</v>
      </c>
    </row>
    <row r="357" spans="1:27" ht="17.5" customHeight="1" x14ac:dyDescent="0.35">
      <c r="A357" s="1" t="s">
        <v>550</v>
      </c>
      <c r="B357" s="2">
        <v>45605</v>
      </c>
      <c r="C357" s="1" t="s">
        <v>270</v>
      </c>
      <c r="D357" s="1">
        <v>20</v>
      </c>
      <c r="E357" s="1" t="s">
        <v>29</v>
      </c>
      <c r="F357" s="1" t="s">
        <v>50</v>
      </c>
      <c r="G357" s="1" t="s">
        <v>42</v>
      </c>
      <c r="H357" s="1" t="s">
        <v>36</v>
      </c>
      <c r="I357" s="1">
        <v>1586.37</v>
      </c>
      <c r="J357" s="1">
        <v>26609</v>
      </c>
      <c r="K357" s="1">
        <v>761</v>
      </c>
      <c r="L357" s="1">
        <v>328</v>
      </c>
      <c r="M357" s="1">
        <v>2</v>
      </c>
      <c r="N357" s="1">
        <v>2.8599346090000002</v>
      </c>
      <c r="O357" s="1">
        <v>43.101182649999998</v>
      </c>
      <c r="P357" s="1">
        <f t="shared" si="14"/>
        <v>2</v>
      </c>
      <c r="V357" t="str">
        <f t="shared" si="18"/>
        <v>Low Performer</v>
      </c>
      <c r="W357" t="e" cm="1">
        <f t="array" aca="1" ref="W357" ca="1">_xlfn.IFS(N357&gt;=20, "High",N357&gt;=10, "Medium", N357&lt;10, "Low")</f>
        <v>#NAME?</v>
      </c>
      <c r="X357" t="str">
        <f t="shared" si="19"/>
        <v>High Budget</v>
      </c>
      <c r="Y357" s="7">
        <f>VLOOKUP(G357, Lookup_table!B:C,2,0)</f>
        <v>0.3</v>
      </c>
      <c r="Z357" t="str">
        <f t="shared" si="20"/>
        <v>Inefficient Spend</v>
      </c>
      <c r="AA357" t="str">
        <f>VLOOKUP(H357, Lookup_table!E:F,2,0)</f>
        <v>High</v>
      </c>
    </row>
    <row r="358" spans="1:27" ht="17.5" customHeight="1" x14ac:dyDescent="0.35">
      <c r="A358" s="1" t="s">
        <v>551</v>
      </c>
      <c r="B358" s="2">
        <v>45452</v>
      </c>
      <c r="C358" s="1" t="s">
        <v>552</v>
      </c>
      <c r="D358" s="1">
        <v>24</v>
      </c>
      <c r="E358" s="1" t="s">
        <v>23</v>
      </c>
      <c r="F358" s="1" t="s">
        <v>57</v>
      </c>
      <c r="G358" s="1" t="s">
        <v>61</v>
      </c>
      <c r="H358" s="1" t="s">
        <v>36</v>
      </c>
      <c r="I358" s="1">
        <v>1464.38</v>
      </c>
      <c r="J358" s="1">
        <v>21762</v>
      </c>
      <c r="K358" s="1">
        <v>1897</v>
      </c>
      <c r="L358" s="1">
        <v>48</v>
      </c>
      <c r="M358" s="1">
        <v>4</v>
      </c>
      <c r="N358" s="1">
        <v>8.717029685</v>
      </c>
      <c r="O358" s="1">
        <v>2.5303110169999998</v>
      </c>
      <c r="P358" s="1">
        <f t="shared" si="14"/>
        <v>4</v>
      </c>
      <c r="V358" t="str">
        <f t="shared" si="18"/>
        <v>Low Performer</v>
      </c>
      <c r="W358" t="e" cm="1">
        <f t="array" aca="1" ref="W358" ca="1">_xlfn.IFS(N358&gt;=20, "High",N358&gt;=10, "Medium", N358&lt;10, "Low")</f>
        <v>#NAME?</v>
      </c>
      <c r="X358" t="str">
        <f t="shared" si="19"/>
        <v>High Budget</v>
      </c>
      <c r="Y358" s="7">
        <f>VLOOKUP(G358, Lookup_table!B:C,2,0)</f>
        <v>0.2</v>
      </c>
      <c r="Z358" t="str">
        <f t="shared" si="20"/>
        <v>Inefficient Spend</v>
      </c>
      <c r="AA358" t="str">
        <f>VLOOKUP(H358, Lookup_table!E:F,2,0)</f>
        <v>High</v>
      </c>
    </row>
    <row r="359" spans="1:27" ht="17.5" customHeight="1" x14ac:dyDescent="0.35">
      <c r="A359" s="1" t="s">
        <v>553</v>
      </c>
      <c r="B359" s="2">
        <v>45546</v>
      </c>
      <c r="C359" s="1" t="s">
        <v>409</v>
      </c>
      <c r="D359" s="1">
        <v>52</v>
      </c>
      <c r="E359" s="1" t="s">
        <v>23</v>
      </c>
      <c r="F359" s="1" t="s">
        <v>30</v>
      </c>
      <c r="G359" s="1" t="s">
        <v>61</v>
      </c>
      <c r="H359" s="1" t="s">
        <v>26</v>
      </c>
      <c r="I359" s="1">
        <v>1804.18</v>
      </c>
      <c r="J359" s="1">
        <v>4098</v>
      </c>
      <c r="K359" s="1">
        <v>2939</v>
      </c>
      <c r="L359" s="1">
        <v>41</v>
      </c>
      <c r="N359" s="1">
        <v>71.717911180000002</v>
      </c>
      <c r="O359" s="1">
        <v>1.395032324</v>
      </c>
      <c r="P359" s="1">
        <f t="shared" si="14"/>
        <v>3</v>
      </c>
      <c r="V359" t="str">
        <f t="shared" si="18"/>
        <v>Low Performer</v>
      </c>
      <c r="W359" t="e" cm="1">
        <f t="array" aca="1" ref="W359" ca="1">_xlfn.IFS(N359&gt;=20, "High",N359&gt;=10, "Medium", N359&lt;10, "Low")</f>
        <v>#NAME?</v>
      </c>
      <c r="X359" t="str">
        <f t="shared" si="19"/>
        <v>High Budget</v>
      </c>
      <c r="Y359" s="7">
        <f>VLOOKUP(G359, Lookup_table!B:C,2,0)</f>
        <v>0.2</v>
      </c>
      <c r="Z359" t="str">
        <f t="shared" si="20"/>
        <v>Inefficient Spend</v>
      </c>
      <c r="AA359" t="str">
        <f>VLOOKUP(H359, Lookup_table!E:F,2,0)</f>
        <v>High</v>
      </c>
    </row>
    <row r="360" spans="1:27" ht="17.5" customHeight="1" x14ac:dyDescent="0.35">
      <c r="A360" s="1" t="s">
        <v>554</v>
      </c>
      <c r="B360" s="2">
        <v>45529</v>
      </c>
      <c r="C360" s="1" t="s">
        <v>251</v>
      </c>
      <c r="D360" s="1">
        <v>31</v>
      </c>
      <c r="E360" s="1" t="s">
        <v>23</v>
      </c>
      <c r="F360" s="1" t="s">
        <v>30</v>
      </c>
      <c r="G360" s="1" t="s">
        <v>61</v>
      </c>
      <c r="H360" s="1" t="s">
        <v>32</v>
      </c>
      <c r="I360" s="1">
        <v>1538.52</v>
      </c>
      <c r="J360" s="1">
        <v>5285</v>
      </c>
      <c r="K360" s="1">
        <v>3315</v>
      </c>
      <c r="L360" s="1">
        <v>2</v>
      </c>
      <c r="M360" s="1">
        <v>5</v>
      </c>
      <c r="N360" s="1">
        <v>62.724692529999999</v>
      </c>
      <c r="O360" s="1">
        <v>6.0331824999999999E-2</v>
      </c>
      <c r="P360" s="1">
        <f t="shared" si="14"/>
        <v>5</v>
      </c>
      <c r="V360" t="str">
        <f t="shared" si="18"/>
        <v>Low Performer</v>
      </c>
      <c r="W360" t="e" cm="1">
        <f t="array" aca="1" ref="W360" ca="1">_xlfn.IFS(N360&gt;=20, "High",N360&gt;=10, "Medium", N360&lt;10, "Low")</f>
        <v>#NAME?</v>
      </c>
      <c r="X360" t="str">
        <f t="shared" si="19"/>
        <v>High Budget</v>
      </c>
      <c r="Y360" s="7">
        <f>VLOOKUP(G360, Lookup_table!B:C,2,0)</f>
        <v>0.2</v>
      </c>
      <c r="Z360" t="str">
        <f t="shared" si="20"/>
        <v>Inefficient Spend</v>
      </c>
      <c r="AA360" t="str">
        <f>VLOOKUP(H360, Lookup_table!E:F,2,0)</f>
        <v>Medium</v>
      </c>
    </row>
    <row r="361" spans="1:27" ht="17.5" customHeight="1" x14ac:dyDescent="0.35">
      <c r="A361" s="1" t="s">
        <v>555</v>
      </c>
      <c r="B361" s="2">
        <v>45614</v>
      </c>
      <c r="C361" s="1" t="s">
        <v>109</v>
      </c>
      <c r="D361" s="1">
        <v>63</v>
      </c>
      <c r="E361" s="1" t="s">
        <v>23</v>
      </c>
      <c r="F361" s="1" t="s">
        <v>41</v>
      </c>
      <c r="G361" s="1" t="s">
        <v>31</v>
      </c>
      <c r="H361" s="1" t="s">
        <v>32</v>
      </c>
      <c r="I361" s="1">
        <v>585.47</v>
      </c>
      <c r="J361" s="1">
        <v>2479</v>
      </c>
      <c r="K361" s="1">
        <v>42</v>
      </c>
      <c r="L361" s="1">
        <v>244</v>
      </c>
      <c r="M361" s="1">
        <v>4</v>
      </c>
      <c r="N361" s="1">
        <v>1.6942315450000001</v>
      </c>
      <c r="O361" s="1">
        <v>580.95238099999995</v>
      </c>
      <c r="P361" s="1">
        <f t="shared" si="14"/>
        <v>4</v>
      </c>
      <c r="V361" t="str">
        <f t="shared" si="18"/>
        <v>Low Performer</v>
      </c>
      <c r="W361" t="e" cm="1">
        <f t="array" aca="1" ref="W361" ca="1">_xlfn.IFS(N361&gt;=20, "High",N361&gt;=10, "Medium", N361&lt;10, "Low")</f>
        <v>#NAME?</v>
      </c>
      <c r="X361" t="str">
        <f t="shared" si="19"/>
        <v>Medium Budget</v>
      </c>
      <c r="Y361" s="7">
        <f>VLOOKUP(G361, Lookup_table!B:C,2,0)</f>
        <v>1.2</v>
      </c>
      <c r="Z361" t="str">
        <f t="shared" si="20"/>
        <v>Inefficient Spend</v>
      </c>
      <c r="AA361" t="str">
        <f>VLOOKUP(H361, Lookup_table!E:F,2,0)</f>
        <v>Medium</v>
      </c>
    </row>
    <row r="362" spans="1:27" ht="17.5" customHeight="1" x14ac:dyDescent="0.35">
      <c r="A362" s="1" t="s">
        <v>556</v>
      </c>
      <c r="B362" s="2">
        <v>45487</v>
      </c>
      <c r="C362" s="1" t="s">
        <v>71</v>
      </c>
      <c r="D362" s="1">
        <v>46</v>
      </c>
      <c r="E362" s="1" t="s">
        <v>23</v>
      </c>
      <c r="F362" s="1" t="s">
        <v>45</v>
      </c>
      <c r="G362" s="1" t="s">
        <v>61</v>
      </c>
      <c r="H362" s="1" t="s">
        <v>32</v>
      </c>
      <c r="I362" s="1">
        <v>932.92</v>
      </c>
      <c r="J362" s="1">
        <v>14844</v>
      </c>
      <c r="K362" s="1">
        <v>1268</v>
      </c>
      <c r="L362" s="1">
        <v>307</v>
      </c>
      <c r="M362" s="1">
        <v>3</v>
      </c>
      <c r="N362" s="1">
        <v>8.5421719209999996</v>
      </c>
      <c r="O362" s="1">
        <v>24.211356469999998</v>
      </c>
      <c r="P362" s="1">
        <f t="shared" si="14"/>
        <v>3</v>
      </c>
      <c r="V362" t="str">
        <f t="shared" si="18"/>
        <v>Average Performer</v>
      </c>
      <c r="W362" t="e" cm="1">
        <f t="array" aca="1" ref="W362" ca="1">_xlfn.IFS(N362&gt;=20, "High",N362&gt;=10, "Medium", N362&lt;10, "Low")</f>
        <v>#NAME?</v>
      </c>
      <c r="X362" t="str">
        <f t="shared" si="19"/>
        <v>Medium Budget</v>
      </c>
      <c r="Y362" s="7">
        <f>VLOOKUP(G362, Lookup_table!B:C,2,0)</f>
        <v>0.2</v>
      </c>
      <c r="Z362" t="str">
        <f t="shared" si="20"/>
        <v>Inefficient Spend</v>
      </c>
      <c r="AA362" t="str">
        <f>VLOOKUP(H362, Lookup_table!E:F,2,0)</f>
        <v>Medium</v>
      </c>
    </row>
    <row r="363" spans="1:27" ht="17.5" customHeight="1" x14ac:dyDescent="0.35">
      <c r="A363" s="1" t="s">
        <v>557</v>
      </c>
      <c r="B363" s="2">
        <v>45320</v>
      </c>
      <c r="C363" s="1" t="s">
        <v>338</v>
      </c>
      <c r="D363" s="1">
        <v>22</v>
      </c>
      <c r="E363" s="1" t="s">
        <v>35</v>
      </c>
      <c r="F363" s="1" t="s">
        <v>57</v>
      </c>
      <c r="G363" s="1" t="s">
        <v>25</v>
      </c>
      <c r="H363" s="1" t="s">
        <v>62</v>
      </c>
      <c r="I363" s="1">
        <v>1480.9</v>
      </c>
      <c r="J363" s="1">
        <v>20810</v>
      </c>
      <c r="K363" s="1">
        <v>1230</v>
      </c>
      <c r="L363" s="1">
        <v>131</v>
      </c>
      <c r="N363" s="1">
        <v>5.9106198939999999</v>
      </c>
      <c r="O363" s="1">
        <v>10.650406500000001</v>
      </c>
      <c r="P363" s="1">
        <f t="shared" si="14"/>
        <v>3</v>
      </c>
      <c r="V363" t="str">
        <f t="shared" si="18"/>
        <v>Average Performer</v>
      </c>
      <c r="W363" t="e" cm="1">
        <f t="array" aca="1" ref="W363" ca="1">_xlfn.IFS(N363&gt;=20, "High",N363&gt;=10, "Medium", N363&lt;10, "Low")</f>
        <v>#NAME?</v>
      </c>
      <c r="X363" t="str">
        <f t="shared" si="19"/>
        <v>High Budget</v>
      </c>
      <c r="Y363" s="7">
        <f>VLOOKUP(G363, Lookup_table!B:C,2,0)</f>
        <v>0.5</v>
      </c>
      <c r="Z363" t="str">
        <f t="shared" si="20"/>
        <v>Inefficient Spend</v>
      </c>
      <c r="AA363" t="str">
        <f>VLOOKUP(H363, Lookup_table!E:F,2,0)</f>
        <v>Medium</v>
      </c>
    </row>
    <row r="364" spans="1:27" ht="17.5" customHeight="1" x14ac:dyDescent="0.35">
      <c r="A364" s="1" t="s">
        <v>558</v>
      </c>
      <c r="B364" s="2">
        <v>45473</v>
      </c>
      <c r="C364" s="1" t="s">
        <v>543</v>
      </c>
      <c r="D364" s="1">
        <v>38</v>
      </c>
      <c r="E364" s="1" t="s">
        <v>23</v>
      </c>
      <c r="F364" s="1" t="s">
        <v>45</v>
      </c>
      <c r="G364" s="1" t="s">
        <v>46</v>
      </c>
      <c r="H364" s="1" t="s">
        <v>36</v>
      </c>
      <c r="I364" s="1">
        <v>394.82</v>
      </c>
      <c r="J364" s="1">
        <v>11551</v>
      </c>
      <c r="K364" s="1">
        <v>608</v>
      </c>
      <c r="L364" s="1">
        <v>250</v>
      </c>
      <c r="M364" s="1">
        <v>1</v>
      </c>
      <c r="N364" s="1">
        <v>5.2636135399999997</v>
      </c>
      <c r="O364" s="1">
        <v>41.118421050000002</v>
      </c>
      <c r="P364" s="1">
        <f t="shared" si="14"/>
        <v>1</v>
      </c>
      <c r="V364" t="str">
        <f t="shared" si="18"/>
        <v>Low Performer</v>
      </c>
      <c r="W364" t="e" cm="1">
        <f t="array" aca="1" ref="W364" ca="1">_xlfn.IFS(N364&gt;=20, "High",N364&gt;=10, "Medium", N364&lt;10, "Low")</f>
        <v>#NAME?</v>
      </c>
      <c r="X364" t="str">
        <f t="shared" si="19"/>
        <v>Low Budget</v>
      </c>
      <c r="Y364" s="7">
        <f>VLOOKUP(G364, Lookup_table!B:C,2,0)</f>
        <v>0.75</v>
      </c>
      <c r="Z364" t="str">
        <f t="shared" si="20"/>
        <v>Efficient Spend</v>
      </c>
      <c r="AA364" t="str">
        <f>VLOOKUP(H364, Lookup_table!E:F,2,0)</f>
        <v>High</v>
      </c>
    </row>
    <row r="365" spans="1:27" ht="17.5" customHeight="1" x14ac:dyDescent="0.35">
      <c r="A365" s="1" t="s">
        <v>559</v>
      </c>
      <c r="B365" s="2">
        <v>45371</v>
      </c>
      <c r="C365" s="1" t="s">
        <v>155</v>
      </c>
      <c r="D365" s="1">
        <v>35</v>
      </c>
      <c r="E365" s="1" t="s">
        <v>29</v>
      </c>
      <c r="F365" s="1" t="s">
        <v>41</v>
      </c>
      <c r="G365" s="1" t="s">
        <v>42</v>
      </c>
      <c r="H365" s="1" t="s">
        <v>32</v>
      </c>
      <c r="I365" s="1">
        <v>1536.33</v>
      </c>
      <c r="J365" s="1">
        <v>1276</v>
      </c>
      <c r="K365" s="1">
        <v>1889</v>
      </c>
      <c r="L365" s="1">
        <v>323</v>
      </c>
      <c r="N365" s="1">
        <v>148.0407524</v>
      </c>
      <c r="O365" s="1">
        <v>17.098994179999998</v>
      </c>
      <c r="P365" s="1">
        <f t="shared" si="14"/>
        <v>3</v>
      </c>
      <c r="U365" s="1">
        <f>COUNTIF(N361:N1000, N365&gt;100)</f>
        <v>0</v>
      </c>
      <c r="V365" t="str">
        <f t="shared" si="18"/>
        <v>Average Performer</v>
      </c>
      <c r="W365" t="e" cm="1">
        <f t="array" aca="1" ref="W365" ca="1">_xlfn.IFS(N365&gt;=20, "High",N365&gt;=10, "Medium", N365&lt;10, "Low")</f>
        <v>#NAME?</v>
      </c>
      <c r="X365" t="str">
        <f t="shared" si="19"/>
        <v>High Budget</v>
      </c>
      <c r="Y365" s="7">
        <f>VLOOKUP(G365, Lookup_table!B:C,2,0)</f>
        <v>0.3</v>
      </c>
      <c r="Z365" t="str">
        <f t="shared" si="20"/>
        <v>Inefficient Spend</v>
      </c>
      <c r="AA365" t="str">
        <f>VLOOKUP(H365, Lookup_table!E:F,2,0)</f>
        <v>Medium</v>
      </c>
    </row>
    <row r="366" spans="1:27" ht="17.5" customHeight="1" x14ac:dyDescent="0.35">
      <c r="A366" s="1" t="s">
        <v>560</v>
      </c>
      <c r="B366" s="2">
        <v>45394</v>
      </c>
      <c r="C366" s="1" t="s">
        <v>128</v>
      </c>
      <c r="D366" s="1">
        <v>57</v>
      </c>
      <c r="E366" s="1" t="s">
        <v>35</v>
      </c>
      <c r="F366" s="1" t="s">
        <v>57</v>
      </c>
      <c r="G366" s="1" t="s">
        <v>25</v>
      </c>
      <c r="H366" s="1" t="s">
        <v>36</v>
      </c>
      <c r="I366" s="1">
        <v>1246.4100000000001</v>
      </c>
      <c r="J366" s="1">
        <v>27233</v>
      </c>
      <c r="K366" s="1">
        <v>1746</v>
      </c>
      <c r="L366" s="1">
        <v>374</v>
      </c>
      <c r="N366" s="1">
        <v>6.411339184</v>
      </c>
      <c r="O366" s="1">
        <v>21.420389459999999</v>
      </c>
      <c r="P366" s="1">
        <f t="shared" si="14"/>
        <v>3</v>
      </c>
      <c r="V366" t="str">
        <f t="shared" si="18"/>
        <v>Average Performer</v>
      </c>
      <c r="W366" t="e" cm="1">
        <f t="array" aca="1" ref="W366" ca="1">_xlfn.IFS(N366&gt;=20, "High",N366&gt;=10, "Medium", N366&lt;10, "Low")</f>
        <v>#NAME?</v>
      </c>
      <c r="X366" t="str">
        <f t="shared" si="19"/>
        <v>High Budget</v>
      </c>
      <c r="Y366" s="7">
        <f>VLOOKUP(G366, Lookup_table!B:C,2,0)</f>
        <v>0.5</v>
      </c>
      <c r="Z366" t="str">
        <f t="shared" si="20"/>
        <v>Inefficient Spend</v>
      </c>
      <c r="AA366" t="str">
        <f>VLOOKUP(H366, Lookup_table!E:F,2,0)</f>
        <v>High</v>
      </c>
    </row>
    <row r="367" spans="1:27" ht="17.5" customHeight="1" x14ac:dyDescent="0.35">
      <c r="A367" s="1" t="s">
        <v>561</v>
      </c>
      <c r="B367" s="2">
        <v>45621</v>
      </c>
      <c r="C367" s="1" t="s">
        <v>251</v>
      </c>
      <c r="D367" s="1">
        <v>40</v>
      </c>
      <c r="E367" s="1" t="s">
        <v>29</v>
      </c>
      <c r="F367" s="1" t="s">
        <v>50</v>
      </c>
      <c r="G367" s="1" t="s">
        <v>46</v>
      </c>
      <c r="H367" s="1" t="s">
        <v>62</v>
      </c>
      <c r="I367" s="1">
        <v>754.35</v>
      </c>
      <c r="J367" s="1">
        <v>11952</v>
      </c>
      <c r="K367" s="1">
        <v>1503</v>
      </c>
      <c r="L367" s="1">
        <v>31</v>
      </c>
      <c r="M367" s="1">
        <v>5</v>
      </c>
      <c r="N367" s="1">
        <v>12.5753012</v>
      </c>
      <c r="O367" s="1">
        <v>2.0625415829999998</v>
      </c>
      <c r="P367" s="1">
        <f t="shared" si="14"/>
        <v>5</v>
      </c>
      <c r="V367" t="str">
        <f t="shared" si="18"/>
        <v>Low Performer</v>
      </c>
      <c r="W367" t="e" cm="1">
        <f t="array" aca="1" ref="W367" ca="1">_xlfn.IFS(N367&gt;=20, "High",N367&gt;=10, "Medium", N367&lt;10, "Low")</f>
        <v>#NAME?</v>
      </c>
      <c r="X367" t="str">
        <f t="shared" si="19"/>
        <v>Medium Budget</v>
      </c>
      <c r="Y367" s="7">
        <f>VLOOKUP(G367, Lookup_table!B:C,2,0)</f>
        <v>0.75</v>
      </c>
      <c r="Z367" t="str">
        <f t="shared" si="20"/>
        <v>Efficient Spend</v>
      </c>
      <c r="AA367" t="str">
        <f>VLOOKUP(H367, Lookup_table!E:F,2,0)</f>
        <v>Medium</v>
      </c>
    </row>
    <row r="368" spans="1:27" ht="17.5" customHeight="1" x14ac:dyDescent="0.35">
      <c r="A368" s="1" t="s">
        <v>562</v>
      </c>
      <c r="B368" s="2">
        <v>45653</v>
      </c>
      <c r="C368" s="1" t="s">
        <v>102</v>
      </c>
      <c r="D368" s="1">
        <v>36</v>
      </c>
      <c r="E368" s="1" t="s">
        <v>35</v>
      </c>
      <c r="F368" s="1" t="s">
        <v>24</v>
      </c>
      <c r="G368" s="1" t="s">
        <v>42</v>
      </c>
      <c r="H368" s="1" t="s">
        <v>36</v>
      </c>
      <c r="I368" s="1">
        <v>814.8</v>
      </c>
      <c r="J368" s="1">
        <v>39742</v>
      </c>
      <c r="K368" s="1">
        <v>3594</v>
      </c>
      <c r="L368" s="1">
        <v>5</v>
      </c>
      <c r="M368" s="1">
        <v>1</v>
      </c>
      <c r="N368" s="1">
        <v>9.0433294750000002</v>
      </c>
      <c r="O368" s="1">
        <v>0.13912075700000001</v>
      </c>
      <c r="P368" s="1">
        <f t="shared" si="14"/>
        <v>1</v>
      </c>
      <c r="V368" t="str">
        <f t="shared" si="18"/>
        <v>Low Performer</v>
      </c>
      <c r="W368" t="e" cm="1">
        <f t="array" aca="1" ref="W368" ca="1">_xlfn.IFS(N368&gt;=20, "High",N368&gt;=10, "Medium", N368&lt;10, "Low")</f>
        <v>#NAME?</v>
      </c>
      <c r="X368" t="str">
        <f t="shared" si="19"/>
        <v>Medium Budget</v>
      </c>
      <c r="Y368" s="7">
        <f>VLOOKUP(G368, Lookup_table!B:C,2,0)</f>
        <v>0.3</v>
      </c>
      <c r="Z368" t="str">
        <f t="shared" si="20"/>
        <v>Efficient Spend</v>
      </c>
      <c r="AA368" t="str">
        <f>VLOOKUP(H368, Lookup_table!E:F,2,0)</f>
        <v>High</v>
      </c>
    </row>
    <row r="369" spans="1:27" ht="17.5" customHeight="1" x14ac:dyDescent="0.35">
      <c r="A369" s="1" t="s">
        <v>563</v>
      </c>
      <c r="B369" s="2">
        <v>45333</v>
      </c>
      <c r="C369" s="1" t="s">
        <v>359</v>
      </c>
      <c r="D369" s="1">
        <v>49</v>
      </c>
      <c r="E369" s="1" t="s">
        <v>23</v>
      </c>
      <c r="F369" s="1" t="s">
        <v>30</v>
      </c>
      <c r="G369" s="1" t="s">
        <v>31</v>
      </c>
      <c r="H369" s="1" t="s">
        <v>26</v>
      </c>
      <c r="I369" s="1">
        <v>1912.73</v>
      </c>
      <c r="J369" s="1">
        <v>45733</v>
      </c>
      <c r="K369" s="1">
        <v>4890</v>
      </c>
      <c r="L369" s="1">
        <v>55</v>
      </c>
      <c r="N369" s="1">
        <v>10.69249776</v>
      </c>
      <c r="O369" s="1">
        <v>1.124744376</v>
      </c>
      <c r="P369" s="1">
        <f t="shared" si="14"/>
        <v>3</v>
      </c>
      <c r="V369" t="str">
        <f t="shared" si="18"/>
        <v>Low Performer</v>
      </c>
      <c r="W369" t="e" cm="1">
        <f t="array" aca="1" ref="W369" ca="1">_xlfn.IFS(N369&gt;=20, "High",N369&gt;=10, "Medium", N369&lt;10, "Low")</f>
        <v>#NAME?</v>
      </c>
      <c r="X369" t="str">
        <f t="shared" si="19"/>
        <v>High Budget</v>
      </c>
      <c r="Y369" s="7">
        <f>VLOOKUP(G369, Lookup_table!B:C,2,0)</f>
        <v>1.2</v>
      </c>
      <c r="Z369" t="str">
        <f t="shared" si="20"/>
        <v>Efficient Spend</v>
      </c>
      <c r="AA369" t="str">
        <f>VLOOKUP(H369, Lookup_table!E:F,2,0)</f>
        <v>High</v>
      </c>
    </row>
    <row r="370" spans="1:27" ht="17.5" customHeight="1" x14ac:dyDescent="0.35">
      <c r="A370" s="1" t="s">
        <v>564</v>
      </c>
      <c r="B370" s="2">
        <v>45584</v>
      </c>
      <c r="C370" s="1" t="s">
        <v>157</v>
      </c>
      <c r="D370" s="1">
        <v>41</v>
      </c>
      <c r="E370" s="1" t="s">
        <v>35</v>
      </c>
      <c r="F370" s="1" t="s">
        <v>24</v>
      </c>
      <c r="G370" s="1" t="s">
        <v>25</v>
      </c>
      <c r="H370" s="1" t="s">
        <v>32</v>
      </c>
      <c r="I370" s="1">
        <v>732.57</v>
      </c>
      <c r="J370" s="1">
        <v>30352</v>
      </c>
      <c r="K370" s="1">
        <v>3064</v>
      </c>
      <c r="L370" s="1">
        <v>35</v>
      </c>
      <c r="M370" s="1">
        <v>1</v>
      </c>
      <c r="N370" s="1">
        <v>10.09488666</v>
      </c>
      <c r="O370" s="1">
        <v>1.1422976499999999</v>
      </c>
      <c r="P370" s="1">
        <f t="shared" si="14"/>
        <v>1</v>
      </c>
      <c r="V370" t="str">
        <f t="shared" si="18"/>
        <v>Low Performer</v>
      </c>
      <c r="W370" t="e" cm="1">
        <f t="array" aca="1" ref="W370" ca="1">_xlfn.IFS(N370&gt;=20, "High",N370&gt;=10, "Medium", N370&lt;10, "Low")</f>
        <v>#NAME?</v>
      </c>
      <c r="X370" t="str">
        <f t="shared" si="19"/>
        <v>Medium Budget</v>
      </c>
      <c r="Y370" s="7">
        <f>VLOOKUP(G370, Lookup_table!B:C,2,0)</f>
        <v>0.5</v>
      </c>
      <c r="Z370" t="str">
        <f t="shared" si="20"/>
        <v>Efficient Spend</v>
      </c>
      <c r="AA370" t="str">
        <f>VLOOKUP(H370, Lookup_table!E:F,2,0)</f>
        <v>Medium</v>
      </c>
    </row>
    <row r="371" spans="1:27" ht="17.5" customHeight="1" x14ac:dyDescent="0.35">
      <c r="A371" s="1" t="s">
        <v>565</v>
      </c>
      <c r="B371" s="2">
        <v>45560</v>
      </c>
      <c r="C371" s="1" t="s">
        <v>85</v>
      </c>
      <c r="D371" s="1">
        <v>32</v>
      </c>
      <c r="E371" s="1" t="s">
        <v>23</v>
      </c>
      <c r="F371" s="1" t="s">
        <v>24</v>
      </c>
      <c r="G371" s="1" t="s">
        <v>25</v>
      </c>
      <c r="H371" s="1" t="s">
        <v>26</v>
      </c>
      <c r="I371" s="1">
        <v>1624.44</v>
      </c>
      <c r="J371" s="1">
        <v>37407</v>
      </c>
      <c r="K371" s="1">
        <v>2459</v>
      </c>
      <c r="L371" s="1">
        <v>171</v>
      </c>
      <c r="M371" s="1">
        <v>3</v>
      </c>
      <c r="N371" s="1">
        <v>6.5736359499999999</v>
      </c>
      <c r="O371" s="1">
        <v>6.9540463600000004</v>
      </c>
      <c r="P371" s="1">
        <f t="shared" si="14"/>
        <v>3</v>
      </c>
      <c r="V371" t="str">
        <f t="shared" si="18"/>
        <v>Average Performer</v>
      </c>
      <c r="W371" t="e" cm="1">
        <f t="array" aca="1" ref="W371" ca="1">_xlfn.IFS(N371&gt;=20, "High",N371&gt;=10, "Medium", N371&lt;10, "Low")</f>
        <v>#NAME?</v>
      </c>
      <c r="X371" t="str">
        <f t="shared" si="19"/>
        <v>High Budget</v>
      </c>
      <c r="Y371" s="7">
        <f>VLOOKUP(G371, Lookup_table!B:C,2,0)</f>
        <v>0.5</v>
      </c>
      <c r="Z371" t="str">
        <f t="shared" si="20"/>
        <v>Inefficient Spend</v>
      </c>
      <c r="AA371" t="str">
        <f>VLOOKUP(H371, Lookup_table!E:F,2,0)</f>
        <v>High</v>
      </c>
    </row>
    <row r="372" spans="1:27" ht="17.5" customHeight="1" x14ac:dyDescent="0.35">
      <c r="A372" s="1" t="s">
        <v>566</v>
      </c>
      <c r="B372" s="2">
        <v>45646</v>
      </c>
      <c r="C372" s="1" t="s">
        <v>567</v>
      </c>
      <c r="D372" s="1">
        <v>34</v>
      </c>
      <c r="E372" s="1" t="s">
        <v>29</v>
      </c>
      <c r="F372" s="1" t="s">
        <v>50</v>
      </c>
      <c r="G372" s="1" t="s">
        <v>61</v>
      </c>
      <c r="H372" s="1" t="s">
        <v>32</v>
      </c>
      <c r="I372" s="1">
        <v>1540.78</v>
      </c>
      <c r="J372" s="1">
        <v>12433</v>
      </c>
      <c r="K372" s="1">
        <v>4181</v>
      </c>
      <c r="L372" s="1">
        <v>40</v>
      </c>
      <c r="M372" s="1">
        <v>1</v>
      </c>
      <c r="N372" s="1">
        <v>33.62824741</v>
      </c>
      <c r="O372" s="1">
        <v>0.95670892100000005</v>
      </c>
      <c r="P372" s="1">
        <f t="shared" si="14"/>
        <v>1</v>
      </c>
      <c r="V372" t="str">
        <f t="shared" si="18"/>
        <v>Low Performer</v>
      </c>
      <c r="W372" t="e" cm="1">
        <f t="array" aca="1" ref="W372" ca="1">_xlfn.IFS(N372&gt;=20, "High",N372&gt;=10, "Medium", N372&lt;10, "Low")</f>
        <v>#NAME?</v>
      </c>
      <c r="X372" t="str">
        <f t="shared" si="19"/>
        <v>High Budget</v>
      </c>
      <c r="Y372" s="7">
        <f>VLOOKUP(G372, Lookup_table!B:C,2,0)</f>
        <v>0.2</v>
      </c>
      <c r="Z372" t="str">
        <f t="shared" si="20"/>
        <v>Inefficient Spend</v>
      </c>
      <c r="AA372" t="str">
        <f>VLOOKUP(H372, Lookup_table!E:F,2,0)</f>
        <v>Medium</v>
      </c>
    </row>
    <row r="373" spans="1:27" ht="17.5" customHeight="1" x14ac:dyDescent="0.35">
      <c r="A373" s="1" t="s">
        <v>568</v>
      </c>
      <c r="B373" s="2">
        <v>45456</v>
      </c>
      <c r="C373" s="1" t="s">
        <v>134</v>
      </c>
      <c r="D373" s="1">
        <v>35</v>
      </c>
      <c r="E373" s="1" t="s">
        <v>23</v>
      </c>
      <c r="F373" s="1" t="s">
        <v>41</v>
      </c>
      <c r="G373" s="1" t="s">
        <v>61</v>
      </c>
      <c r="H373" s="1" t="s">
        <v>32</v>
      </c>
      <c r="I373" s="1">
        <v>1252.26</v>
      </c>
      <c r="J373" s="1">
        <v>31563</v>
      </c>
      <c r="K373" s="1">
        <v>1150</v>
      </c>
      <c r="L373" s="1">
        <v>54</v>
      </c>
      <c r="M373" s="1">
        <v>2</v>
      </c>
      <c r="N373" s="1">
        <v>3.6435066379999999</v>
      </c>
      <c r="O373" s="1">
        <v>4.6956521740000001</v>
      </c>
      <c r="P373" s="1">
        <f t="shared" si="14"/>
        <v>2</v>
      </c>
      <c r="V373" t="str">
        <f t="shared" si="18"/>
        <v>Low Performer</v>
      </c>
      <c r="W373" t="e" cm="1">
        <f t="array" aca="1" ref="W373" ca="1">_xlfn.IFS(N373&gt;=20, "High",N373&gt;=10, "Medium", N373&lt;10, "Low")</f>
        <v>#NAME?</v>
      </c>
      <c r="X373" t="str">
        <f t="shared" si="19"/>
        <v>High Budget</v>
      </c>
      <c r="Y373" s="7">
        <f>VLOOKUP(G373, Lookup_table!B:C,2,0)</f>
        <v>0.2</v>
      </c>
      <c r="Z373" t="str">
        <f t="shared" si="20"/>
        <v>Inefficient Spend</v>
      </c>
      <c r="AA373" t="str">
        <f>VLOOKUP(H373, Lookup_table!E:F,2,0)</f>
        <v>Medium</v>
      </c>
    </row>
    <row r="374" spans="1:27" ht="17.5" customHeight="1" x14ac:dyDescent="0.35">
      <c r="A374" s="1" t="s">
        <v>569</v>
      </c>
      <c r="B374" s="2">
        <v>45634</v>
      </c>
      <c r="C374" s="1" t="s">
        <v>570</v>
      </c>
      <c r="D374" s="1">
        <v>25</v>
      </c>
      <c r="E374" s="1" t="s">
        <v>29</v>
      </c>
      <c r="F374" s="1" t="s">
        <v>50</v>
      </c>
      <c r="G374" s="1" t="s">
        <v>42</v>
      </c>
      <c r="H374" s="1" t="s">
        <v>32</v>
      </c>
      <c r="I374" s="1">
        <v>1555.52</v>
      </c>
      <c r="J374" s="1">
        <v>10498</v>
      </c>
      <c r="K374" s="1">
        <v>229</v>
      </c>
      <c r="L374" s="1">
        <v>370</v>
      </c>
      <c r="M374" s="1">
        <v>4</v>
      </c>
      <c r="N374" s="1">
        <v>2.1813678799999998</v>
      </c>
      <c r="O374" s="1">
        <v>161.57205239999999</v>
      </c>
      <c r="P374" s="1">
        <f t="shared" si="14"/>
        <v>4</v>
      </c>
      <c r="V374" t="str">
        <f t="shared" si="18"/>
        <v>Low Performer</v>
      </c>
      <c r="W374" t="e" cm="1">
        <f t="array" aca="1" ref="W374" ca="1">_xlfn.IFS(N374&gt;=20, "High",N374&gt;=10, "Medium", N374&lt;10, "Low")</f>
        <v>#NAME?</v>
      </c>
      <c r="X374" t="str">
        <f t="shared" si="19"/>
        <v>High Budget</v>
      </c>
      <c r="Y374" s="7">
        <f>VLOOKUP(G374, Lookup_table!B:C,2,0)</f>
        <v>0.3</v>
      </c>
      <c r="Z374" t="str">
        <f t="shared" si="20"/>
        <v>Inefficient Spend</v>
      </c>
      <c r="AA374" t="str">
        <f>VLOOKUP(H374, Lookup_table!E:F,2,0)</f>
        <v>Medium</v>
      </c>
    </row>
    <row r="375" spans="1:27" ht="17.5" customHeight="1" x14ac:dyDescent="0.35">
      <c r="A375" s="1" t="s">
        <v>571</v>
      </c>
      <c r="B375" s="2">
        <v>45489</v>
      </c>
      <c r="C375" s="1" t="s">
        <v>546</v>
      </c>
      <c r="D375" s="1">
        <v>25</v>
      </c>
      <c r="E375" s="1" t="s">
        <v>35</v>
      </c>
      <c r="F375" s="1" t="s">
        <v>45</v>
      </c>
      <c r="G375" s="1" t="s">
        <v>42</v>
      </c>
      <c r="H375" s="1" t="s">
        <v>26</v>
      </c>
      <c r="I375" s="1">
        <v>1428.72</v>
      </c>
      <c r="J375" s="1">
        <v>19102</v>
      </c>
      <c r="K375" s="1">
        <v>4341</v>
      </c>
      <c r="L375" s="1">
        <v>271</v>
      </c>
      <c r="M375" s="1">
        <v>2</v>
      </c>
      <c r="N375" s="1">
        <v>22.725369069999999</v>
      </c>
      <c r="O375" s="1">
        <v>6.2428011980000004</v>
      </c>
      <c r="P375" s="1">
        <f t="shared" si="14"/>
        <v>2</v>
      </c>
      <c r="V375" t="str">
        <f t="shared" si="18"/>
        <v>Top Performer</v>
      </c>
      <c r="W375" t="e" cm="1">
        <f t="array" aca="1" ref="W375" ca="1">_xlfn.IFS(N375&gt;=20, "High",N375&gt;=10, "Medium", N375&lt;10, "Low")</f>
        <v>#NAME?</v>
      </c>
      <c r="X375" t="str">
        <f t="shared" si="19"/>
        <v>High Budget</v>
      </c>
      <c r="Y375" s="7">
        <f>VLOOKUP(G375, Lookup_table!B:C,2,0)</f>
        <v>0.3</v>
      </c>
      <c r="Z375" t="str">
        <f t="shared" si="20"/>
        <v>Inefficient Spend</v>
      </c>
      <c r="AA375" t="str">
        <f>VLOOKUP(H375, Lookup_table!E:F,2,0)</f>
        <v>High</v>
      </c>
    </row>
    <row r="376" spans="1:27" ht="17.5" customHeight="1" x14ac:dyDescent="0.35">
      <c r="A376" s="1" t="s">
        <v>572</v>
      </c>
      <c r="B376" s="2">
        <v>45351</v>
      </c>
      <c r="C376" s="1" t="s">
        <v>384</v>
      </c>
      <c r="D376" s="1">
        <v>53</v>
      </c>
      <c r="E376" s="1" t="s">
        <v>23</v>
      </c>
      <c r="F376" s="1" t="s">
        <v>57</v>
      </c>
      <c r="G376" s="1" t="s">
        <v>42</v>
      </c>
      <c r="H376" s="1" t="s">
        <v>62</v>
      </c>
      <c r="I376" s="1">
        <v>388.97</v>
      </c>
      <c r="J376" s="1">
        <v>29954</v>
      </c>
      <c r="K376" s="1">
        <v>1919</v>
      </c>
      <c r="L376" s="1">
        <v>204</v>
      </c>
      <c r="M376" s="1">
        <v>4</v>
      </c>
      <c r="N376" s="1">
        <v>6.4064899510000002</v>
      </c>
      <c r="O376" s="1">
        <v>10.63053674</v>
      </c>
      <c r="P376" s="1">
        <f t="shared" si="14"/>
        <v>4</v>
      </c>
      <c r="V376" t="str">
        <f t="shared" si="18"/>
        <v>Average Performer</v>
      </c>
      <c r="W376" t="e" cm="1">
        <f t="array" aca="1" ref="W376" ca="1">_xlfn.IFS(N376&gt;=20, "High",N376&gt;=10, "Medium", N376&lt;10, "Low")</f>
        <v>#NAME?</v>
      </c>
      <c r="X376" t="str">
        <f t="shared" si="19"/>
        <v>Low Budget</v>
      </c>
      <c r="Y376" s="7">
        <f>VLOOKUP(G376, Lookup_table!B:C,2,0)</f>
        <v>0.3</v>
      </c>
      <c r="Z376" t="str">
        <f t="shared" si="20"/>
        <v>Efficient Spend</v>
      </c>
      <c r="AA376" t="str">
        <f>VLOOKUP(H376, Lookup_table!E:F,2,0)</f>
        <v>Medium</v>
      </c>
    </row>
    <row r="377" spans="1:27" ht="17.5" customHeight="1" x14ac:dyDescent="0.35">
      <c r="A377" s="1" t="s">
        <v>573</v>
      </c>
      <c r="B377" s="2">
        <v>45627</v>
      </c>
      <c r="C377" s="1" t="s">
        <v>230</v>
      </c>
      <c r="D377" s="1">
        <v>18</v>
      </c>
      <c r="E377" s="1" t="s">
        <v>35</v>
      </c>
      <c r="F377" s="1" t="s">
        <v>57</v>
      </c>
      <c r="G377" s="1" t="s">
        <v>42</v>
      </c>
      <c r="H377" s="1" t="s">
        <v>26</v>
      </c>
      <c r="I377" s="1">
        <v>269.47000000000003</v>
      </c>
      <c r="J377" s="1">
        <v>22870</v>
      </c>
      <c r="K377" s="1">
        <v>2272</v>
      </c>
      <c r="L377" s="1">
        <v>97</v>
      </c>
      <c r="M377" s="1">
        <v>2</v>
      </c>
      <c r="N377" s="1">
        <v>9.934411893</v>
      </c>
      <c r="O377" s="1">
        <v>4.2693661970000001</v>
      </c>
      <c r="P377" s="1">
        <f t="shared" si="14"/>
        <v>2</v>
      </c>
      <c r="V377" t="str">
        <f t="shared" si="18"/>
        <v>Low Performer</v>
      </c>
      <c r="W377" t="e" cm="1">
        <f t="array" aca="1" ref="W377" ca="1">_xlfn.IFS(N377&gt;=20, "High",N377&gt;=10, "Medium", N377&lt;10, "Low")</f>
        <v>#NAME?</v>
      </c>
      <c r="X377" t="str">
        <f t="shared" si="19"/>
        <v>Low Budget</v>
      </c>
      <c r="Y377" s="7">
        <f>VLOOKUP(G377, Lookup_table!B:C,2,0)</f>
        <v>0.3</v>
      </c>
      <c r="Z377" t="str">
        <f t="shared" si="20"/>
        <v>Efficient Spend</v>
      </c>
      <c r="AA377" t="str">
        <f>VLOOKUP(H377, Lookup_table!E:F,2,0)</f>
        <v>High</v>
      </c>
    </row>
    <row r="378" spans="1:27" ht="17.5" customHeight="1" x14ac:dyDescent="0.35">
      <c r="A378" s="1" t="s">
        <v>574</v>
      </c>
      <c r="B378" s="2">
        <v>45423</v>
      </c>
      <c r="C378" s="1" t="s">
        <v>199</v>
      </c>
      <c r="D378" s="1">
        <v>39</v>
      </c>
      <c r="E378" s="1" t="s">
        <v>29</v>
      </c>
      <c r="F378" s="1" t="s">
        <v>24</v>
      </c>
      <c r="G378" s="1" t="s">
        <v>46</v>
      </c>
      <c r="H378" s="1" t="s">
        <v>36</v>
      </c>
      <c r="I378" s="1">
        <v>1892.57</v>
      </c>
      <c r="J378" s="1">
        <v>26130</v>
      </c>
      <c r="K378" s="1">
        <v>2618</v>
      </c>
      <c r="L378" s="1">
        <v>146</v>
      </c>
      <c r="M378" s="1">
        <v>5</v>
      </c>
      <c r="N378" s="1">
        <v>10.019135090000001</v>
      </c>
      <c r="O378" s="1">
        <v>5.5767761650000001</v>
      </c>
      <c r="P378" s="1">
        <f t="shared" si="14"/>
        <v>5</v>
      </c>
      <c r="V378" t="str">
        <f t="shared" si="18"/>
        <v>Average Performer</v>
      </c>
      <c r="W378" t="e" cm="1">
        <f t="array" aca="1" ref="W378" ca="1">_xlfn.IFS(N378&gt;=20, "High",N378&gt;=10, "Medium", N378&lt;10, "Low")</f>
        <v>#NAME?</v>
      </c>
      <c r="X378" t="str">
        <f t="shared" si="19"/>
        <v>High Budget</v>
      </c>
      <c r="Y378" s="7">
        <f>VLOOKUP(G378, Lookup_table!B:C,2,0)</f>
        <v>0.75</v>
      </c>
      <c r="Z378" t="str">
        <f t="shared" si="20"/>
        <v>Efficient Spend</v>
      </c>
      <c r="AA378" t="str">
        <f>VLOOKUP(H378, Lookup_table!E:F,2,0)</f>
        <v>High</v>
      </c>
    </row>
    <row r="379" spans="1:27" ht="17.5" customHeight="1" x14ac:dyDescent="0.35">
      <c r="A379" s="1" t="s">
        <v>575</v>
      </c>
      <c r="B379" s="2">
        <v>45457</v>
      </c>
      <c r="C379" s="1" t="s">
        <v>315</v>
      </c>
      <c r="D379" s="1">
        <v>47</v>
      </c>
      <c r="E379" s="1" t="s">
        <v>35</v>
      </c>
      <c r="F379" s="1" t="s">
        <v>41</v>
      </c>
      <c r="G379" s="1" t="s">
        <v>31</v>
      </c>
      <c r="H379" s="1" t="s">
        <v>36</v>
      </c>
      <c r="I379" s="1">
        <v>693.11</v>
      </c>
      <c r="J379" s="1">
        <v>30965</v>
      </c>
      <c r="K379" s="1">
        <v>2702</v>
      </c>
      <c r="L379" s="1">
        <v>95</v>
      </c>
      <c r="N379" s="1">
        <v>8.725980946</v>
      </c>
      <c r="O379" s="1">
        <v>3.5159141379999999</v>
      </c>
      <c r="P379" s="1">
        <f t="shared" si="14"/>
        <v>3</v>
      </c>
      <c r="V379" t="str">
        <f t="shared" si="18"/>
        <v>Low Performer</v>
      </c>
      <c r="W379" t="e" cm="1">
        <f t="array" aca="1" ref="W379" ca="1">_xlfn.IFS(N379&gt;=20, "High",N379&gt;=10, "Medium", N379&lt;10, "Low")</f>
        <v>#NAME?</v>
      </c>
      <c r="X379" t="str">
        <f t="shared" si="19"/>
        <v>Medium Budget</v>
      </c>
      <c r="Y379" s="7">
        <f>VLOOKUP(G379, Lookup_table!B:C,2,0)</f>
        <v>1.2</v>
      </c>
      <c r="Z379" t="str">
        <f t="shared" si="20"/>
        <v>Efficient Spend</v>
      </c>
      <c r="AA379" t="str">
        <f>VLOOKUP(H379, Lookup_table!E:F,2,0)</f>
        <v>High</v>
      </c>
    </row>
    <row r="380" spans="1:27" ht="17.5" customHeight="1" x14ac:dyDescent="0.35">
      <c r="A380" s="1" t="s">
        <v>576</v>
      </c>
      <c r="B380" s="2">
        <v>45378</v>
      </c>
      <c r="C380" s="1" t="s">
        <v>128</v>
      </c>
      <c r="D380" s="1">
        <v>48</v>
      </c>
      <c r="E380" s="1" t="s">
        <v>35</v>
      </c>
      <c r="F380" s="1" t="s">
        <v>30</v>
      </c>
      <c r="G380" s="1" t="s">
        <v>61</v>
      </c>
      <c r="H380" s="1" t="s">
        <v>62</v>
      </c>
      <c r="I380" s="1">
        <v>210.02</v>
      </c>
      <c r="J380" s="1">
        <v>48139</v>
      </c>
      <c r="K380" s="1">
        <v>678</v>
      </c>
      <c r="L380" s="1">
        <v>285</v>
      </c>
      <c r="M380" s="1">
        <v>5</v>
      </c>
      <c r="N380" s="1">
        <v>1.408421446</v>
      </c>
      <c r="O380" s="1">
        <v>42.035398229999998</v>
      </c>
      <c r="P380" s="1">
        <f t="shared" si="14"/>
        <v>5</v>
      </c>
      <c r="V380" t="str">
        <f t="shared" si="18"/>
        <v>Low Performer</v>
      </c>
      <c r="W380" t="e" cm="1">
        <f t="array" aca="1" ref="W380" ca="1">_xlfn.IFS(N380&gt;=20, "High",N380&gt;=10, "Medium", N380&lt;10, "Low")</f>
        <v>#NAME?</v>
      </c>
      <c r="X380" t="str">
        <f t="shared" si="19"/>
        <v>Low Budget</v>
      </c>
      <c r="Y380" s="7">
        <f>VLOOKUP(G380, Lookup_table!B:C,2,0)</f>
        <v>0.2</v>
      </c>
      <c r="Z380" t="str">
        <f t="shared" si="20"/>
        <v>Inefficient Spend</v>
      </c>
      <c r="AA380" t="str">
        <f>VLOOKUP(H380, Lookup_table!E:F,2,0)</f>
        <v>Medium</v>
      </c>
    </row>
    <row r="381" spans="1:27" ht="17.5" customHeight="1" x14ac:dyDescent="0.35">
      <c r="A381" s="1" t="s">
        <v>577</v>
      </c>
      <c r="B381" s="2">
        <v>45466</v>
      </c>
      <c r="C381" s="1" t="s">
        <v>361</v>
      </c>
      <c r="D381" s="1">
        <v>27</v>
      </c>
      <c r="E381" s="1" t="s">
        <v>35</v>
      </c>
      <c r="F381" s="1" t="s">
        <v>57</v>
      </c>
      <c r="G381" s="1" t="s">
        <v>42</v>
      </c>
      <c r="H381" s="1" t="s">
        <v>62</v>
      </c>
      <c r="I381" s="1">
        <v>1630.5</v>
      </c>
      <c r="J381" s="1">
        <v>14819</v>
      </c>
      <c r="K381" s="1">
        <v>296</v>
      </c>
      <c r="L381" s="1">
        <v>248</v>
      </c>
      <c r="N381" s="1">
        <v>1.997435724</v>
      </c>
      <c r="O381" s="1">
        <v>83.783783779999993</v>
      </c>
      <c r="P381" s="1">
        <f t="shared" si="14"/>
        <v>3</v>
      </c>
      <c r="V381" t="str">
        <f t="shared" si="18"/>
        <v>Low Performer</v>
      </c>
      <c r="W381" t="e" cm="1">
        <f t="array" aca="1" ref="W381" ca="1">_xlfn.IFS(N381&gt;=20, "High",N381&gt;=10, "Medium", N381&lt;10, "Low")</f>
        <v>#NAME?</v>
      </c>
      <c r="X381" t="str">
        <f t="shared" si="19"/>
        <v>High Budget</v>
      </c>
      <c r="Y381" s="7">
        <f>VLOOKUP(G381, Lookup_table!B:C,2,0)</f>
        <v>0.3</v>
      </c>
      <c r="Z381" t="str">
        <f t="shared" si="20"/>
        <v>Inefficient Spend</v>
      </c>
      <c r="AA381" t="str">
        <f>VLOOKUP(H381, Lookup_table!E:F,2,0)</f>
        <v>Medium</v>
      </c>
    </row>
    <row r="382" spans="1:27" ht="17.5" customHeight="1" x14ac:dyDescent="0.35">
      <c r="A382" s="1" t="s">
        <v>578</v>
      </c>
      <c r="B382" s="2">
        <v>45306</v>
      </c>
      <c r="C382" s="1" t="s">
        <v>579</v>
      </c>
      <c r="D382" s="1">
        <v>63</v>
      </c>
      <c r="E382" s="1" t="s">
        <v>23</v>
      </c>
      <c r="F382" s="1" t="s">
        <v>57</v>
      </c>
      <c r="G382" s="1" t="s">
        <v>25</v>
      </c>
      <c r="H382" s="1" t="s">
        <v>36</v>
      </c>
      <c r="I382" s="1">
        <v>1859.06</v>
      </c>
      <c r="J382" s="1">
        <v>25889</v>
      </c>
      <c r="K382" s="1">
        <v>4113</v>
      </c>
      <c r="L382" s="1">
        <v>49</v>
      </c>
      <c r="N382" s="1">
        <v>15.887056279999999</v>
      </c>
      <c r="O382" s="1">
        <v>1.1913445170000001</v>
      </c>
      <c r="P382" s="1">
        <f t="shared" si="14"/>
        <v>3</v>
      </c>
      <c r="V382" t="str">
        <f t="shared" si="18"/>
        <v>Low Performer</v>
      </c>
      <c r="W382" t="e" cm="1">
        <f t="array" aca="1" ref="W382" ca="1">_xlfn.IFS(N382&gt;=20, "High",N382&gt;=10, "Medium", N382&lt;10, "Low")</f>
        <v>#NAME?</v>
      </c>
      <c r="X382" t="str">
        <f t="shared" si="19"/>
        <v>High Budget</v>
      </c>
      <c r="Y382" s="7">
        <f>VLOOKUP(G382, Lookup_table!B:C,2,0)</f>
        <v>0.5</v>
      </c>
      <c r="Z382" t="str">
        <f t="shared" si="20"/>
        <v>Efficient Spend</v>
      </c>
      <c r="AA382" t="str">
        <f>VLOOKUP(H382, Lookup_table!E:F,2,0)</f>
        <v>High</v>
      </c>
    </row>
    <row r="383" spans="1:27" ht="17.5" customHeight="1" x14ac:dyDescent="0.35">
      <c r="A383" s="1" t="s">
        <v>580</v>
      </c>
      <c r="B383" s="2">
        <v>45439</v>
      </c>
      <c r="C383" s="1" t="s">
        <v>483</v>
      </c>
      <c r="D383" s="1">
        <v>27</v>
      </c>
      <c r="E383" s="1" t="s">
        <v>29</v>
      </c>
      <c r="F383" s="1" t="s">
        <v>24</v>
      </c>
      <c r="G383" s="1" t="s">
        <v>42</v>
      </c>
      <c r="H383" s="1" t="s">
        <v>26</v>
      </c>
      <c r="I383" s="1">
        <v>593.76</v>
      </c>
      <c r="J383" s="1">
        <v>26916</v>
      </c>
      <c r="K383" s="1">
        <v>43</v>
      </c>
      <c r="L383" s="1">
        <v>261</v>
      </c>
      <c r="M383" s="1">
        <v>3</v>
      </c>
      <c r="N383" s="1">
        <v>0.159756279</v>
      </c>
      <c r="O383" s="1">
        <v>606.97674419999998</v>
      </c>
      <c r="P383" s="1">
        <f t="shared" si="14"/>
        <v>3</v>
      </c>
      <c r="V383" t="str">
        <f t="shared" si="18"/>
        <v>Low Performer</v>
      </c>
      <c r="W383" t="e" cm="1">
        <f t="array" aca="1" ref="W383" ca="1">_xlfn.IFS(N383&gt;=20, "High",N383&gt;=10, "Medium", N383&lt;10, "Low")</f>
        <v>#NAME?</v>
      </c>
      <c r="X383" t="str">
        <f t="shared" si="19"/>
        <v>Medium Budget</v>
      </c>
      <c r="Y383" s="7">
        <f>VLOOKUP(G383, Lookup_table!B:C,2,0)</f>
        <v>0.3</v>
      </c>
      <c r="Z383" t="str">
        <f t="shared" si="20"/>
        <v>Inefficient Spend</v>
      </c>
      <c r="AA383" t="str">
        <f>VLOOKUP(H383, Lookup_table!E:F,2,0)</f>
        <v>High</v>
      </c>
    </row>
    <row r="384" spans="1:27" ht="17.5" customHeight="1" x14ac:dyDescent="0.35">
      <c r="A384" s="1" t="s">
        <v>581</v>
      </c>
      <c r="B384" s="2">
        <v>45470</v>
      </c>
      <c r="C384" s="1" t="s">
        <v>582</v>
      </c>
      <c r="D384" s="1">
        <v>19</v>
      </c>
      <c r="E384" s="1" t="s">
        <v>29</v>
      </c>
      <c r="F384" s="1" t="s">
        <v>45</v>
      </c>
      <c r="G384" s="1" t="s">
        <v>42</v>
      </c>
      <c r="H384" s="1" t="s">
        <v>36</v>
      </c>
      <c r="I384" s="1">
        <v>1190.57</v>
      </c>
      <c r="J384" s="1">
        <v>34115</v>
      </c>
      <c r="K384" s="1">
        <v>893</v>
      </c>
      <c r="L384" s="1">
        <v>370</v>
      </c>
      <c r="M384" s="1">
        <v>1</v>
      </c>
      <c r="N384" s="1">
        <v>2.6176168839999998</v>
      </c>
      <c r="O384" s="1">
        <v>41.433370660000001</v>
      </c>
      <c r="P384" s="1">
        <f t="shared" si="14"/>
        <v>1</v>
      </c>
      <c r="V384" t="str">
        <f t="shared" si="18"/>
        <v>Low Performer</v>
      </c>
      <c r="W384" t="e" cm="1">
        <f t="array" aca="1" ref="W384" ca="1">_xlfn.IFS(N384&gt;=20, "High",N384&gt;=10, "Medium", N384&lt;10, "Low")</f>
        <v>#NAME?</v>
      </c>
      <c r="X384" t="str">
        <f t="shared" si="19"/>
        <v>High Budget</v>
      </c>
      <c r="Y384" s="7">
        <f>VLOOKUP(G384, Lookup_table!B:C,2,0)</f>
        <v>0.3</v>
      </c>
      <c r="Z384" t="str">
        <f t="shared" si="20"/>
        <v>Inefficient Spend</v>
      </c>
      <c r="AA384" t="str">
        <f>VLOOKUP(H384, Lookup_table!E:F,2,0)</f>
        <v>High</v>
      </c>
    </row>
    <row r="385" spans="1:27" ht="17.5" customHeight="1" x14ac:dyDescent="0.35">
      <c r="A385" s="1" t="s">
        <v>583</v>
      </c>
      <c r="B385" s="2">
        <v>45656</v>
      </c>
      <c r="C385" s="1" t="s">
        <v>584</v>
      </c>
      <c r="D385" s="1">
        <v>38</v>
      </c>
      <c r="E385" s="1" t="s">
        <v>35</v>
      </c>
      <c r="F385" s="1" t="s">
        <v>45</v>
      </c>
      <c r="G385" s="1" t="s">
        <v>31</v>
      </c>
      <c r="H385" s="1" t="s">
        <v>32</v>
      </c>
      <c r="I385" s="1">
        <v>1584.85</v>
      </c>
      <c r="J385" s="1">
        <v>31360</v>
      </c>
      <c r="K385" s="1">
        <v>1662</v>
      </c>
      <c r="L385" s="1">
        <v>272</v>
      </c>
      <c r="M385" s="1">
        <v>3</v>
      </c>
      <c r="N385" s="1">
        <v>5.2997448980000001</v>
      </c>
      <c r="O385" s="1">
        <v>16.365824310000001</v>
      </c>
      <c r="P385" s="1">
        <f t="shared" si="14"/>
        <v>3</v>
      </c>
      <c r="V385" t="str">
        <f t="shared" si="18"/>
        <v>Average Performer</v>
      </c>
      <c r="W385" t="e" cm="1">
        <f t="array" aca="1" ref="W385" ca="1">_xlfn.IFS(N385&gt;=20, "High",N385&gt;=10, "Medium", N385&lt;10, "Low")</f>
        <v>#NAME?</v>
      </c>
      <c r="X385" t="str">
        <f t="shared" si="19"/>
        <v>High Budget</v>
      </c>
      <c r="Y385" s="7">
        <f>VLOOKUP(G385, Lookup_table!B:C,2,0)</f>
        <v>1.2</v>
      </c>
      <c r="Z385" t="str">
        <f t="shared" si="20"/>
        <v>Efficient Spend</v>
      </c>
      <c r="AA385" t="str">
        <f>VLOOKUP(H385, Lookup_table!E:F,2,0)</f>
        <v>Medium</v>
      </c>
    </row>
    <row r="386" spans="1:27" ht="17.5" customHeight="1" x14ac:dyDescent="0.35">
      <c r="A386" s="1" t="s">
        <v>585</v>
      </c>
      <c r="B386" s="2">
        <v>45585</v>
      </c>
      <c r="C386" s="1" t="s">
        <v>281</v>
      </c>
      <c r="D386" s="1">
        <v>34</v>
      </c>
      <c r="E386" s="1" t="s">
        <v>23</v>
      </c>
      <c r="F386" s="1" t="s">
        <v>50</v>
      </c>
      <c r="G386" s="1" t="s">
        <v>31</v>
      </c>
      <c r="H386" s="1" t="s">
        <v>36</v>
      </c>
      <c r="I386" s="1">
        <v>404.54</v>
      </c>
      <c r="J386" s="1">
        <v>34807</v>
      </c>
      <c r="K386" s="1">
        <v>2330</v>
      </c>
      <c r="L386" s="1">
        <v>173</v>
      </c>
      <c r="M386" s="1">
        <v>5</v>
      </c>
      <c r="N386" s="1">
        <v>6.6940557930000004</v>
      </c>
      <c r="O386" s="1">
        <v>7.4248927040000003</v>
      </c>
      <c r="P386" s="1">
        <f t="shared" si="14"/>
        <v>5</v>
      </c>
      <c r="V386" t="str">
        <f t="shared" ref="V386:V449" si="21">IF(AND(L386&gt;200,K386&gt;3000),"Top Performer", IF(AND(L386&gt;=100,K386&gt;=1000),"Average Performer","Low Performer"))</f>
        <v>Average Performer</v>
      </c>
      <c r="W386" t="e" cm="1">
        <f t="array" aca="1" ref="W386" ca="1">_xlfn.IFS(N386&gt;=20, "High",N386&gt;=10, "Medium", N386&lt;10, "Low")</f>
        <v>#NAME?</v>
      </c>
      <c r="X386" t="str">
        <f t="shared" ref="X386:X449" si="22">IF(I386&gt;1000, "High Budget",IF(I386&gt;=500, "Medium Budget", "Low Budget"))</f>
        <v>Low Budget</v>
      </c>
      <c r="Y386" s="7">
        <f>VLOOKUP(G386, Lookup_table!B:C,2,0)</f>
        <v>1.2</v>
      </c>
      <c r="Z386" t="str">
        <f t="shared" ref="Z386:Z449" si="23">IF(I386/K386&lt;Y386, "Efficient Spend", "Inefficient Spend")</f>
        <v>Efficient Spend</v>
      </c>
      <c r="AA386" t="str">
        <f>VLOOKUP(H386, Lookup_table!E:F,2,0)</f>
        <v>High</v>
      </c>
    </row>
    <row r="387" spans="1:27" ht="17.5" customHeight="1" x14ac:dyDescent="0.35">
      <c r="A387" s="1" t="s">
        <v>586</v>
      </c>
      <c r="B387" s="2">
        <v>45605</v>
      </c>
      <c r="C387" s="1" t="s">
        <v>552</v>
      </c>
      <c r="D387" s="1">
        <v>33</v>
      </c>
      <c r="E387" s="1" t="s">
        <v>29</v>
      </c>
      <c r="F387" s="1" t="s">
        <v>57</v>
      </c>
      <c r="G387" s="1" t="s">
        <v>25</v>
      </c>
      <c r="H387" s="1" t="s">
        <v>32</v>
      </c>
      <c r="I387" s="1">
        <v>380.07</v>
      </c>
      <c r="J387" s="1">
        <v>46434</v>
      </c>
      <c r="K387" s="1">
        <v>2145</v>
      </c>
      <c r="L387" s="1">
        <v>174</v>
      </c>
      <c r="M387" s="1">
        <v>4</v>
      </c>
      <c r="N387" s="1">
        <v>4.6194598789999999</v>
      </c>
      <c r="O387" s="1">
        <v>8.1118881120000008</v>
      </c>
      <c r="P387" s="1">
        <f t="shared" si="14"/>
        <v>4</v>
      </c>
      <c r="V387" t="str">
        <f t="shared" si="21"/>
        <v>Average Performer</v>
      </c>
      <c r="W387" t="e" cm="1">
        <f t="array" aca="1" ref="W387" ca="1">_xlfn.IFS(N387&gt;=20, "High",N387&gt;=10, "Medium", N387&lt;10, "Low")</f>
        <v>#NAME?</v>
      </c>
      <c r="X387" t="str">
        <f t="shared" si="22"/>
        <v>Low Budget</v>
      </c>
      <c r="Y387" s="7">
        <f>VLOOKUP(G387, Lookup_table!B:C,2,0)</f>
        <v>0.5</v>
      </c>
      <c r="Z387" t="str">
        <f t="shared" si="23"/>
        <v>Efficient Spend</v>
      </c>
      <c r="AA387" t="str">
        <f>VLOOKUP(H387, Lookup_table!E:F,2,0)</f>
        <v>Medium</v>
      </c>
    </row>
    <row r="388" spans="1:27" ht="17.5" customHeight="1" x14ac:dyDescent="0.35">
      <c r="A388" s="1" t="s">
        <v>587</v>
      </c>
      <c r="B388" s="2">
        <v>45635</v>
      </c>
      <c r="C388" s="1" t="s">
        <v>203</v>
      </c>
      <c r="D388" s="1">
        <v>64</v>
      </c>
      <c r="E388" s="1" t="s">
        <v>29</v>
      </c>
      <c r="F388" s="1" t="s">
        <v>24</v>
      </c>
      <c r="G388" s="1" t="s">
        <v>25</v>
      </c>
      <c r="H388" s="1" t="s">
        <v>32</v>
      </c>
      <c r="I388" s="1">
        <v>488.34</v>
      </c>
      <c r="J388" s="1">
        <v>39424</v>
      </c>
      <c r="K388" s="1">
        <v>19</v>
      </c>
      <c r="L388" s="1">
        <v>116</v>
      </c>
      <c r="M388" s="1">
        <v>2</v>
      </c>
      <c r="N388" s="1">
        <v>4.8193993999999997E-2</v>
      </c>
      <c r="O388" s="1">
        <v>610.52631580000002</v>
      </c>
      <c r="P388" s="1">
        <f t="shared" si="14"/>
        <v>2</v>
      </c>
      <c r="V388" t="str">
        <f t="shared" si="21"/>
        <v>Low Performer</v>
      </c>
      <c r="W388" t="e" cm="1">
        <f t="array" aca="1" ref="W388" ca="1">_xlfn.IFS(N388&gt;=20, "High",N388&gt;=10, "Medium", N388&lt;10, "Low")</f>
        <v>#NAME?</v>
      </c>
      <c r="X388" t="str">
        <f t="shared" si="22"/>
        <v>Low Budget</v>
      </c>
      <c r="Y388" s="7">
        <f>VLOOKUP(G388, Lookup_table!B:C,2,0)</f>
        <v>0.5</v>
      </c>
      <c r="Z388" t="str">
        <f t="shared" si="23"/>
        <v>Inefficient Spend</v>
      </c>
      <c r="AA388" t="str">
        <f>VLOOKUP(H388, Lookup_table!E:F,2,0)</f>
        <v>Medium</v>
      </c>
    </row>
    <row r="389" spans="1:27" ht="17.5" customHeight="1" x14ac:dyDescent="0.35">
      <c r="A389" s="1" t="s">
        <v>588</v>
      </c>
      <c r="B389" s="2">
        <v>45361</v>
      </c>
      <c r="C389" s="1" t="s">
        <v>589</v>
      </c>
      <c r="D389" s="1">
        <v>60</v>
      </c>
      <c r="E389" s="1" t="s">
        <v>29</v>
      </c>
      <c r="F389" s="1" t="s">
        <v>45</v>
      </c>
      <c r="G389" s="1" t="s">
        <v>46</v>
      </c>
      <c r="H389" s="1" t="s">
        <v>62</v>
      </c>
      <c r="I389" s="1">
        <v>1886.92</v>
      </c>
      <c r="J389" s="1">
        <v>12831</v>
      </c>
      <c r="K389" s="1">
        <v>4655</v>
      </c>
      <c r="L389" s="1">
        <v>178</v>
      </c>
      <c r="M389" s="1">
        <v>4</v>
      </c>
      <c r="N389" s="1">
        <v>36.279323509999998</v>
      </c>
      <c r="O389" s="1">
        <v>3.823845328</v>
      </c>
      <c r="P389" s="1">
        <f t="shared" si="14"/>
        <v>4</v>
      </c>
      <c r="V389" t="str">
        <f t="shared" si="21"/>
        <v>Average Performer</v>
      </c>
      <c r="W389" t="e" cm="1">
        <f t="array" aca="1" ref="W389" ca="1">_xlfn.IFS(N389&gt;=20, "High",N389&gt;=10, "Medium", N389&lt;10, "Low")</f>
        <v>#NAME?</v>
      </c>
      <c r="X389" t="str">
        <f t="shared" si="22"/>
        <v>High Budget</v>
      </c>
      <c r="Y389" s="7">
        <f>VLOOKUP(G389, Lookup_table!B:C,2,0)</f>
        <v>0.75</v>
      </c>
      <c r="Z389" t="str">
        <f t="shared" si="23"/>
        <v>Efficient Spend</v>
      </c>
      <c r="AA389" t="str">
        <f>VLOOKUP(H389, Lookup_table!E:F,2,0)</f>
        <v>Medium</v>
      </c>
    </row>
    <row r="390" spans="1:27" ht="17.5" customHeight="1" x14ac:dyDescent="0.35">
      <c r="A390" s="1" t="s">
        <v>590</v>
      </c>
      <c r="B390" s="2">
        <v>45508</v>
      </c>
      <c r="C390" s="1" t="s">
        <v>66</v>
      </c>
      <c r="D390" s="1">
        <v>44</v>
      </c>
      <c r="E390" s="1" t="s">
        <v>23</v>
      </c>
      <c r="F390" s="1" t="s">
        <v>24</v>
      </c>
      <c r="G390" s="1" t="s">
        <v>61</v>
      </c>
      <c r="H390" s="1" t="s">
        <v>26</v>
      </c>
      <c r="I390" s="1">
        <v>1721.71</v>
      </c>
      <c r="J390" s="1">
        <v>9266</v>
      </c>
      <c r="K390" s="1">
        <v>1032</v>
      </c>
      <c r="L390" s="1">
        <v>5</v>
      </c>
      <c r="M390" s="1">
        <v>1</v>
      </c>
      <c r="N390" s="1">
        <v>11.13749191</v>
      </c>
      <c r="O390" s="1">
        <v>0.48449612399999997</v>
      </c>
      <c r="P390" s="1">
        <f t="shared" si="14"/>
        <v>1</v>
      </c>
      <c r="V390" t="str">
        <f t="shared" si="21"/>
        <v>Low Performer</v>
      </c>
      <c r="W390" t="e" cm="1">
        <f t="array" aca="1" ref="W390" ca="1">_xlfn.IFS(N390&gt;=20, "High",N390&gt;=10, "Medium", N390&lt;10, "Low")</f>
        <v>#NAME?</v>
      </c>
      <c r="X390" t="str">
        <f t="shared" si="22"/>
        <v>High Budget</v>
      </c>
      <c r="Y390" s="7">
        <f>VLOOKUP(G390, Lookup_table!B:C,2,0)</f>
        <v>0.2</v>
      </c>
      <c r="Z390" t="str">
        <f t="shared" si="23"/>
        <v>Inefficient Spend</v>
      </c>
      <c r="AA390" t="str">
        <f>VLOOKUP(H390, Lookup_table!E:F,2,0)</f>
        <v>High</v>
      </c>
    </row>
    <row r="391" spans="1:27" ht="17.5" customHeight="1" x14ac:dyDescent="0.35">
      <c r="A391" s="1" t="s">
        <v>591</v>
      </c>
      <c r="B391" s="2">
        <v>45559</v>
      </c>
      <c r="C391" s="1" t="s">
        <v>297</v>
      </c>
      <c r="D391" s="1">
        <v>53</v>
      </c>
      <c r="E391" s="1" t="s">
        <v>35</v>
      </c>
      <c r="F391" s="1" t="s">
        <v>41</v>
      </c>
      <c r="G391" s="1" t="s">
        <v>46</v>
      </c>
      <c r="H391" s="1" t="s">
        <v>62</v>
      </c>
      <c r="I391" s="1">
        <v>1963.04</v>
      </c>
      <c r="J391" s="1">
        <v>25292</v>
      </c>
      <c r="K391" s="1">
        <v>679</v>
      </c>
      <c r="L391" s="1">
        <v>99</v>
      </c>
      <c r="M391" s="1">
        <v>4</v>
      </c>
      <c r="N391" s="1">
        <v>2.6846433649999999</v>
      </c>
      <c r="O391" s="1">
        <v>14.5802651</v>
      </c>
      <c r="P391" s="1">
        <f t="shared" si="14"/>
        <v>4</v>
      </c>
      <c r="V391" t="str">
        <f t="shared" si="21"/>
        <v>Low Performer</v>
      </c>
      <c r="W391" t="e" cm="1">
        <f t="array" aca="1" ref="W391" ca="1">_xlfn.IFS(N391&gt;=20, "High",N391&gt;=10, "Medium", N391&lt;10, "Low")</f>
        <v>#NAME?</v>
      </c>
      <c r="X391" t="str">
        <f t="shared" si="22"/>
        <v>High Budget</v>
      </c>
      <c r="Y391" s="7">
        <f>VLOOKUP(G391, Lookup_table!B:C,2,0)</f>
        <v>0.75</v>
      </c>
      <c r="Z391" t="str">
        <f t="shared" si="23"/>
        <v>Inefficient Spend</v>
      </c>
      <c r="AA391" t="str">
        <f>VLOOKUP(H391, Lookup_table!E:F,2,0)</f>
        <v>Medium</v>
      </c>
    </row>
    <row r="392" spans="1:27" ht="17.5" customHeight="1" x14ac:dyDescent="0.35">
      <c r="A392" s="1" t="s">
        <v>592</v>
      </c>
      <c r="B392" s="2">
        <v>45318</v>
      </c>
      <c r="C392" s="1" t="s">
        <v>100</v>
      </c>
      <c r="D392" s="1">
        <v>20</v>
      </c>
      <c r="E392" s="1" t="s">
        <v>35</v>
      </c>
      <c r="F392" s="1" t="s">
        <v>30</v>
      </c>
      <c r="G392" s="1" t="s">
        <v>46</v>
      </c>
      <c r="H392" s="1" t="s">
        <v>26</v>
      </c>
      <c r="I392" s="1">
        <v>1672.82</v>
      </c>
      <c r="J392" s="1">
        <v>6780</v>
      </c>
      <c r="K392" s="1">
        <v>2550</v>
      </c>
      <c r="L392" s="1">
        <v>290</v>
      </c>
      <c r="M392" s="1">
        <v>3</v>
      </c>
      <c r="N392" s="1">
        <v>37.610619470000003</v>
      </c>
      <c r="O392" s="1">
        <v>11.372549019999999</v>
      </c>
      <c r="P392" s="1">
        <f t="shared" si="14"/>
        <v>3</v>
      </c>
      <c r="V392" t="str">
        <f t="shared" si="21"/>
        <v>Average Performer</v>
      </c>
      <c r="W392" t="e" cm="1">
        <f t="array" aca="1" ref="W392" ca="1">_xlfn.IFS(N392&gt;=20, "High",N392&gt;=10, "Medium", N392&lt;10, "Low")</f>
        <v>#NAME?</v>
      </c>
      <c r="X392" t="str">
        <f t="shared" si="22"/>
        <v>High Budget</v>
      </c>
      <c r="Y392" s="7">
        <f>VLOOKUP(G392, Lookup_table!B:C,2,0)</f>
        <v>0.75</v>
      </c>
      <c r="Z392" t="str">
        <f t="shared" si="23"/>
        <v>Efficient Spend</v>
      </c>
      <c r="AA392" t="str">
        <f>VLOOKUP(H392, Lookup_table!E:F,2,0)</f>
        <v>High</v>
      </c>
    </row>
    <row r="393" spans="1:27" ht="17.5" customHeight="1" x14ac:dyDescent="0.35">
      <c r="A393" s="1" t="s">
        <v>593</v>
      </c>
      <c r="B393" s="2">
        <v>45582</v>
      </c>
      <c r="C393" s="1" t="s">
        <v>155</v>
      </c>
      <c r="D393" s="1">
        <v>37</v>
      </c>
      <c r="E393" s="1" t="s">
        <v>29</v>
      </c>
      <c r="F393" s="1" t="s">
        <v>45</v>
      </c>
      <c r="G393" s="1" t="s">
        <v>61</v>
      </c>
      <c r="H393" s="1" t="s">
        <v>32</v>
      </c>
      <c r="I393" s="1">
        <v>1215.46</v>
      </c>
      <c r="J393" s="1">
        <v>43063</v>
      </c>
      <c r="K393" s="1">
        <v>2587</v>
      </c>
      <c r="L393" s="1">
        <v>126</v>
      </c>
      <c r="M393" s="1">
        <v>4</v>
      </c>
      <c r="N393" s="1">
        <v>6.0074774169999996</v>
      </c>
      <c r="O393" s="1">
        <v>4.870506378</v>
      </c>
      <c r="P393" s="1">
        <f t="shared" si="14"/>
        <v>4</v>
      </c>
      <c r="V393" t="str">
        <f t="shared" si="21"/>
        <v>Average Performer</v>
      </c>
      <c r="W393" t="e" cm="1">
        <f t="array" aca="1" ref="W393" ca="1">_xlfn.IFS(N393&gt;=20, "High",N393&gt;=10, "Medium", N393&lt;10, "Low")</f>
        <v>#NAME?</v>
      </c>
      <c r="X393" t="str">
        <f t="shared" si="22"/>
        <v>High Budget</v>
      </c>
      <c r="Y393" s="7">
        <f>VLOOKUP(G393, Lookup_table!B:C,2,0)</f>
        <v>0.2</v>
      </c>
      <c r="Z393" t="str">
        <f t="shared" si="23"/>
        <v>Inefficient Spend</v>
      </c>
      <c r="AA393" t="str">
        <f>VLOOKUP(H393, Lookup_table!E:F,2,0)</f>
        <v>Medium</v>
      </c>
    </row>
    <row r="394" spans="1:27" ht="17.5" customHeight="1" x14ac:dyDescent="0.35">
      <c r="A394" s="1" t="s">
        <v>594</v>
      </c>
      <c r="B394" s="2">
        <v>45372</v>
      </c>
      <c r="C394" s="1" t="s">
        <v>595</v>
      </c>
      <c r="D394" s="1">
        <v>23</v>
      </c>
      <c r="E394" s="1" t="s">
        <v>29</v>
      </c>
      <c r="F394" s="1" t="s">
        <v>45</v>
      </c>
      <c r="G394" s="1" t="s">
        <v>46</v>
      </c>
      <c r="H394" s="1" t="s">
        <v>32</v>
      </c>
      <c r="I394" s="1">
        <v>1326.52</v>
      </c>
      <c r="J394" s="1">
        <v>37884</v>
      </c>
      <c r="K394" s="1">
        <v>4681</v>
      </c>
      <c r="L394" s="1">
        <v>376</v>
      </c>
      <c r="M394" s="1">
        <v>4</v>
      </c>
      <c r="N394" s="1">
        <v>12.356139799999999</v>
      </c>
      <c r="O394" s="1">
        <v>8.0324716939999998</v>
      </c>
      <c r="P394" s="1">
        <f t="shared" si="14"/>
        <v>4</v>
      </c>
      <c r="V394" t="str">
        <f t="shared" si="21"/>
        <v>Top Performer</v>
      </c>
      <c r="W394" t="e" cm="1">
        <f t="array" aca="1" ref="W394" ca="1">_xlfn.IFS(N394&gt;=20, "High",N394&gt;=10, "Medium", N394&lt;10, "Low")</f>
        <v>#NAME?</v>
      </c>
      <c r="X394" t="str">
        <f t="shared" si="22"/>
        <v>High Budget</v>
      </c>
      <c r="Y394" s="7">
        <f>VLOOKUP(G394, Lookup_table!B:C,2,0)</f>
        <v>0.75</v>
      </c>
      <c r="Z394" t="str">
        <f t="shared" si="23"/>
        <v>Efficient Spend</v>
      </c>
      <c r="AA394" t="str">
        <f>VLOOKUP(H394, Lookup_table!E:F,2,0)</f>
        <v>Medium</v>
      </c>
    </row>
    <row r="395" spans="1:27" ht="17.5" customHeight="1" x14ac:dyDescent="0.35">
      <c r="A395" s="1" t="s">
        <v>596</v>
      </c>
      <c r="B395" s="2">
        <v>45589</v>
      </c>
      <c r="C395" s="1" t="s">
        <v>409</v>
      </c>
      <c r="D395" s="1">
        <v>31</v>
      </c>
      <c r="E395" s="1" t="s">
        <v>35</v>
      </c>
      <c r="F395" s="1" t="s">
        <v>30</v>
      </c>
      <c r="G395" s="1" t="s">
        <v>42</v>
      </c>
      <c r="H395" s="1" t="s">
        <v>36</v>
      </c>
      <c r="I395" s="1">
        <v>965.16</v>
      </c>
      <c r="J395" s="1">
        <v>19188</v>
      </c>
      <c r="K395" s="1">
        <v>4587</v>
      </c>
      <c r="L395" s="1">
        <v>166</v>
      </c>
      <c r="M395" s="1">
        <v>1</v>
      </c>
      <c r="N395" s="1">
        <v>23.905565979999999</v>
      </c>
      <c r="O395" s="1">
        <v>3.6189230430000001</v>
      </c>
      <c r="P395" s="1">
        <f t="shared" si="14"/>
        <v>1</v>
      </c>
      <c r="V395" t="str">
        <f t="shared" si="21"/>
        <v>Average Performer</v>
      </c>
      <c r="W395" t="e" cm="1">
        <f t="array" aca="1" ref="W395" ca="1">_xlfn.IFS(N395&gt;=20, "High",N395&gt;=10, "Medium", N395&lt;10, "Low")</f>
        <v>#NAME?</v>
      </c>
      <c r="X395" t="str">
        <f t="shared" si="22"/>
        <v>Medium Budget</v>
      </c>
      <c r="Y395" s="7">
        <f>VLOOKUP(G395, Lookup_table!B:C,2,0)</f>
        <v>0.3</v>
      </c>
      <c r="Z395" t="str">
        <f t="shared" si="23"/>
        <v>Efficient Spend</v>
      </c>
      <c r="AA395" t="str">
        <f>VLOOKUP(H395, Lookup_table!E:F,2,0)</f>
        <v>High</v>
      </c>
    </row>
    <row r="396" spans="1:27" ht="17.5" customHeight="1" x14ac:dyDescent="0.35">
      <c r="A396" s="1" t="s">
        <v>597</v>
      </c>
      <c r="B396" s="2">
        <v>45631</v>
      </c>
      <c r="C396" s="1" t="s">
        <v>598</v>
      </c>
      <c r="D396" s="1">
        <v>20</v>
      </c>
      <c r="E396" s="1" t="s">
        <v>29</v>
      </c>
      <c r="F396" s="1" t="s">
        <v>24</v>
      </c>
      <c r="G396" s="1" t="s">
        <v>46</v>
      </c>
      <c r="H396" s="1" t="s">
        <v>62</v>
      </c>
      <c r="I396" s="1">
        <v>1343.22</v>
      </c>
      <c r="J396" s="1">
        <v>23900</v>
      </c>
      <c r="K396" s="1">
        <v>3461</v>
      </c>
      <c r="L396" s="1">
        <v>48</v>
      </c>
      <c r="M396" s="1">
        <v>2</v>
      </c>
      <c r="N396" s="1">
        <v>14.481171549999999</v>
      </c>
      <c r="O396" s="1">
        <v>1.3868824040000001</v>
      </c>
      <c r="P396" s="1">
        <f t="shared" si="14"/>
        <v>2</v>
      </c>
      <c r="V396" t="str">
        <f t="shared" si="21"/>
        <v>Low Performer</v>
      </c>
      <c r="W396" t="e" cm="1">
        <f t="array" aca="1" ref="W396" ca="1">_xlfn.IFS(N396&gt;=20, "High",N396&gt;=10, "Medium", N396&lt;10, "Low")</f>
        <v>#NAME?</v>
      </c>
      <c r="X396" t="str">
        <f t="shared" si="22"/>
        <v>High Budget</v>
      </c>
      <c r="Y396" s="7">
        <f>VLOOKUP(G396, Lookup_table!B:C,2,0)</f>
        <v>0.75</v>
      </c>
      <c r="Z396" t="str">
        <f t="shared" si="23"/>
        <v>Efficient Spend</v>
      </c>
      <c r="AA396" t="str">
        <f>VLOOKUP(H396, Lookup_table!E:F,2,0)</f>
        <v>Medium</v>
      </c>
    </row>
    <row r="397" spans="1:27" ht="17.5" customHeight="1" x14ac:dyDescent="0.35">
      <c r="A397" s="1" t="s">
        <v>599</v>
      </c>
      <c r="B397" s="2">
        <v>45582</v>
      </c>
      <c r="C397" s="1" t="s">
        <v>324</v>
      </c>
      <c r="D397" s="1">
        <v>50</v>
      </c>
      <c r="E397" s="1" t="s">
        <v>35</v>
      </c>
      <c r="F397" s="1" t="s">
        <v>24</v>
      </c>
      <c r="G397" s="1" t="s">
        <v>42</v>
      </c>
      <c r="H397" s="1" t="s">
        <v>62</v>
      </c>
      <c r="I397" s="1">
        <v>1474.27</v>
      </c>
      <c r="J397" s="1">
        <v>25943</v>
      </c>
      <c r="K397" s="1">
        <v>166</v>
      </c>
      <c r="L397" s="1">
        <v>69</v>
      </c>
      <c r="N397" s="1">
        <v>0.63986431799999999</v>
      </c>
      <c r="O397" s="1">
        <v>41.566265059999999</v>
      </c>
      <c r="P397" s="1">
        <f t="shared" si="14"/>
        <v>3</v>
      </c>
      <c r="V397" t="str">
        <f t="shared" si="21"/>
        <v>Low Performer</v>
      </c>
      <c r="W397" t="e" cm="1">
        <f t="array" aca="1" ref="W397" ca="1">_xlfn.IFS(N397&gt;=20, "High",N397&gt;=10, "Medium", N397&lt;10, "Low")</f>
        <v>#NAME?</v>
      </c>
      <c r="X397" t="str">
        <f t="shared" si="22"/>
        <v>High Budget</v>
      </c>
      <c r="Y397" s="7">
        <f>VLOOKUP(G397, Lookup_table!B:C,2,0)</f>
        <v>0.3</v>
      </c>
      <c r="Z397" t="str">
        <f t="shared" si="23"/>
        <v>Inefficient Spend</v>
      </c>
      <c r="AA397" t="str">
        <f>VLOOKUP(H397, Lookup_table!E:F,2,0)</f>
        <v>Medium</v>
      </c>
    </row>
    <row r="398" spans="1:27" ht="17.5" customHeight="1" x14ac:dyDescent="0.35">
      <c r="A398" s="1" t="s">
        <v>600</v>
      </c>
      <c r="B398" s="2">
        <v>45622</v>
      </c>
      <c r="C398" s="1" t="s">
        <v>178</v>
      </c>
      <c r="D398" s="1">
        <v>58</v>
      </c>
      <c r="E398" s="1" t="s">
        <v>29</v>
      </c>
      <c r="F398" s="1" t="s">
        <v>45</v>
      </c>
      <c r="G398" s="1" t="s">
        <v>46</v>
      </c>
      <c r="H398" s="1" t="s">
        <v>26</v>
      </c>
      <c r="I398" s="1">
        <v>1337.69</v>
      </c>
      <c r="J398" s="1">
        <v>46340</v>
      </c>
      <c r="K398" s="1">
        <v>2518</v>
      </c>
      <c r="L398" s="1">
        <v>74</v>
      </c>
      <c r="M398" s="1">
        <v>1</v>
      </c>
      <c r="N398" s="1">
        <v>5.433750539</v>
      </c>
      <c r="O398" s="1">
        <v>2.9388403489999999</v>
      </c>
      <c r="P398" s="1">
        <f t="shared" si="14"/>
        <v>1</v>
      </c>
      <c r="V398" t="str">
        <f t="shared" si="21"/>
        <v>Low Performer</v>
      </c>
      <c r="W398" t="e" cm="1">
        <f t="array" aca="1" ref="W398" ca="1">_xlfn.IFS(N398&gt;=20, "High",N398&gt;=10, "Medium", N398&lt;10, "Low")</f>
        <v>#NAME?</v>
      </c>
      <c r="X398" t="str">
        <f t="shared" si="22"/>
        <v>High Budget</v>
      </c>
      <c r="Y398" s="7">
        <f>VLOOKUP(G398, Lookup_table!B:C,2,0)</f>
        <v>0.75</v>
      </c>
      <c r="Z398" t="str">
        <f t="shared" si="23"/>
        <v>Efficient Spend</v>
      </c>
      <c r="AA398" t="str">
        <f>VLOOKUP(H398, Lookup_table!E:F,2,0)</f>
        <v>High</v>
      </c>
    </row>
    <row r="399" spans="1:27" ht="17.5" customHeight="1" x14ac:dyDescent="0.35">
      <c r="A399" s="1" t="s">
        <v>601</v>
      </c>
      <c r="B399" s="2">
        <v>45616</v>
      </c>
      <c r="C399" s="1" t="s">
        <v>245</v>
      </c>
      <c r="D399" s="1">
        <v>56</v>
      </c>
      <c r="E399" s="1" t="s">
        <v>35</v>
      </c>
      <c r="F399" s="1" t="s">
        <v>45</v>
      </c>
      <c r="G399" s="1" t="s">
        <v>25</v>
      </c>
      <c r="H399" s="1" t="s">
        <v>32</v>
      </c>
      <c r="I399" s="1">
        <v>527.01</v>
      </c>
      <c r="J399" s="1">
        <v>13457</v>
      </c>
      <c r="K399" s="1">
        <v>954</v>
      </c>
      <c r="L399" s="1">
        <v>158</v>
      </c>
      <c r="M399" s="1">
        <v>3</v>
      </c>
      <c r="N399" s="1">
        <v>7.089247232</v>
      </c>
      <c r="O399" s="1">
        <v>16.561844860000001</v>
      </c>
      <c r="P399" s="1">
        <f t="shared" si="14"/>
        <v>3</v>
      </c>
      <c r="V399" t="str">
        <f t="shared" si="21"/>
        <v>Low Performer</v>
      </c>
      <c r="W399" t="e" cm="1">
        <f t="array" aca="1" ref="W399" ca="1">_xlfn.IFS(N399&gt;=20, "High",N399&gt;=10, "Medium", N399&lt;10, "Low")</f>
        <v>#NAME?</v>
      </c>
      <c r="X399" t="str">
        <f t="shared" si="22"/>
        <v>Medium Budget</v>
      </c>
      <c r="Y399" s="7">
        <f>VLOOKUP(G399, Lookup_table!B:C,2,0)</f>
        <v>0.5</v>
      </c>
      <c r="Z399" t="str">
        <f t="shared" si="23"/>
        <v>Inefficient Spend</v>
      </c>
      <c r="AA399" t="str">
        <f>VLOOKUP(H399, Lookup_table!E:F,2,0)</f>
        <v>Medium</v>
      </c>
    </row>
    <row r="400" spans="1:27" ht="17.5" customHeight="1" x14ac:dyDescent="0.35">
      <c r="A400" s="1" t="s">
        <v>602</v>
      </c>
      <c r="B400" s="2">
        <v>45487</v>
      </c>
      <c r="C400" s="1" t="s">
        <v>471</v>
      </c>
      <c r="D400" s="1">
        <v>49</v>
      </c>
      <c r="E400" s="1" t="s">
        <v>23</v>
      </c>
      <c r="F400" s="1" t="s">
        <v>24</v>
      </c>
      <c r="G400" s="1" t="s">
        <v>25</v>
      </c>
      <c r="H400" s="1" t="s">
        <v>32</v>
      </c>
      <c r="I400" s="1">
        <v>1529.78</v>
      </c>
      <c r="J400" s="1">
        <v>10748</v>
      </c>
      <c r="K400" s="1">
        <v>1939</v>
      </c>
      <c r="L400" s="1">
        <v>202</v>
      </c>
      <c r="M400" s="1">
        <v>5</v>
      </c>
      <c r="N400" s="1">
        <v>18.040565690000001</v>
      </c>
      <c r="O400" s="1">
        <v>10.417741100000001</v>
      </c>
      <c r="P400" s="1">
        <f t="shared" si="14"/>
        <v>5</v>
      </c>
      <c r="V400" t="str">
        <f t="shared" si="21"/>
        <v>Average Performer</v>
      </c>
      <c r="W400" t="e" cm="1">
        <f t="array" aca="1" ref="W400" ca="1">_xlfn.IFS(N400&gt;=20, "High",N400&gt;=10, "Medium", N400&lt;10, "Low")</f>
        <v>#NAME?</v>
      </c>
      <c r="X400" t="str">
        <f t="shared" si="22"/>
        <v>High Budget</v>
      </c>
      <c r="Y400" s="7">
        <f>VLOOKUP(G400, Lookup_table!B:C,2,0)</f>
        <v>0.5</v>
      </c>
      <c r="Z400" t="str">
        <f t="shared" si="23"/>
        <v>Inefficient Spend</v>
      </c>
      <c r="AA400" t="str">
        <f>VLOOKUP(H400, Lookup_table!E:F,2,0)</f>
        <v>Medium</v>
      </c>
    </row>
    <row r="401" spans="1:27" ht="17.5" customHeight="1" x14ac:dyDescent="0.35">
      <c r="A401" s="1" t="s">
        <v>603</v>
      </c>
      <c r="B401" s="2">
        <v>45296</v>
      </c>
      <c r="C401" s="1" t="s">
        <v>71</v>
      </c>
      <c r="D401" s="1">
        <v>29</v>
      </c>
      <c r="E401" s="1" t="s">
        <v>23</v>
      </c>
      <c r="F401" s="1" t="s">
        <v>57</v>
      </c>
      <c r="G401" s="1" t="s">
        <v>25</v>
      </c>
      <c r="H401" s="1" t="s">
        <v>26</v>
      </c>
      <c r="I401" s="1">
        <v>569.30999999999995</v>
      </c>
      <c r="J401" s="1">
        <v>21418</v>
      </c>
      <c r="K401" s="1">
        <v>2309</v>
      </c>
      <c r="L401" s="1">
        <v>188</v>
      </c>
      <c r="M401" s="1">
        <v>2</v>
      </c>
      <c r="N401" s="1">
        <v>10.78065179</v>
      </c>
      <c r="O401" s="1">
        <v>8.1420528369999996</v>
      </c>
      <c r="P401" s="1">
        <f t="shared" si="14"/>
        <v>2</v>
      </c>
      <c r="V401" t="str">
        <f t="shared" si="21"/>
        <v>Average Performer</v>
      </c>
      <c r="W401" t="e" cm="1">
        <f t="array" aca="1" ref="W401" ca="1">_xlfn.IFS(N401&gt;=20, "High",N401&gt;=10, "Medium", N401&lt;10, "Low")</f>
        <v>#NAME?</v>
      </c>
      <c r="X401" t="str">
        <f t="shared" si="22"/>
        <v>Medium Budget</v>
      </c>
      <c r="Y401" s="7">
        <f>VLOOKUP(G401, Lookup_table!B:C,2,0)</f>
        <v>0.5</v>
      </c>
      <c r="Z401" t="str">
        <f t="shared" si="23"/>
        <v>Efficient Spend</v>
      </c>
      <c r="AA401" t="str">
        <f>VLOOKUP(H401, Lookup_table!E:F,2,0)</f>
        <v>High</v>
      </c>
    </row>
    <row r="402" spans="1:27" ht="17.5" customHeight="1" x14ac:dyDescent="0.35">
      <c r="A402" s="1" t="s">
        <v>604</v>
      </c>
      <c r="B402" s="2">
        <v>45396</v>
      </c>
      <c r="C402" s="1" t="s">
        <v>391</v>
      </c>
      <c r="D402" s="1">
        <v>40</v>
      </c>
      <c r="E402" s="1" t="s">
        <v>23</v>
      </c>
      <c r="F402" s="1" t="s">
        <v>45</v>
      </c>
      <c r="G402" s="1" t="s">
        <v>31</v>
      </c>
      <c r="H402" s="1" t="s">
        <v>36</v>
      </c>
      <c r="I402" s="1">
        <v>1267.24</v>
      </c>
      <c r="J402" s="1">
        <v>12945</v>
      </c>
      <c r="K402" s="1">
        <v>3132</v>
      </c>
      <c r="L402" s="1">
        <v>382</v>
      </c>
      <c r="M402" s="1">
        <v>2</v>
      </c>
      <c r="N402" s="1">
        <v>24.19466976</v>
      </c>
      <c r="O402" s="1">
        <v>12.19667944</v>
      </c>
      <c r="P402" s="1">
        <f t="shared" si="14"/>
        <v>2</v>
      </c>
      <c r="V402" t="str">
        <f t="shared" si="21"/>
        <v>Top Performer</v>
      </c>
      <c r="W402" t="e" cm="1">
        <f t="array" aca="1" ref="W402" ca="1">_xlfn.IFS(N402&gt;=20, "High",N402&gt;=10, "Medium", N402&lt;10, "Low")</f>
        <v>#NAME?</v>
      </c>
      <c r="X402" t="str">
        <f t="shared" si="22"/>
        <v>High Budget</v>
      </c>
      <c r="Y402" s="7">
        <f>VLOOKUP(G402, Lookup_table!B:C,2,0)</f>
        <v>1.2</v>
      </c>
      <c r="Z402" t="str">
        <f t="shared" si="23"/>
        <v>Efficient Spend</v>
      </c>
      <c r="AA402" t="str">
        <f>VLOOKUP(H402, Lookup_table!E:F,2,0)</f>
        <v>High</v>
      </c>
    </row>
    <row r="403" spans="1:27" ht="17.5" customHeight="1" x14ac:dyDescent="0.35">
      <c r="A403" s="1" t="s">
        <v>605</v>
      </c>
      <c r="B403" s="2">
        <v>45427</v>
      </c>
      <c r="C403" s="1" t="s">
        <v>503</v>
      </c>
      <c r="D403" s="1">
        <v>18</v>
      </c>
      <c r="E403" s="1" t="s">
        <v>29</v>
      </c>
      <c r="F403" s="1" t="s">
        <v>24</v>
      </c>
      <c r="G403" s="1" t="s">
        <v>46</v>
      </c>
      <c r="H403" s="1" t="s">
        <v>36</v>
      </c>
      <c r="I403" s="1">
        <v>1328.31</v>
      </c>
      <c r="J403" s="1">
        <v>30349</v>
      </c>
      <c r="K403" s="1">
        <v>497</v>
      </c>
      <c r="L403" s="1">
        <v>170</v>
      </c>
      <c r="M403" s="1">
        <v>3</v>
      </c>
      <c r="N403" s="1">
        <v>1.637615737</v>
      </c>
      <c r="O403" s="1">
        <v>34.205231390000002</v>
      </c>
      <c r="P403" s="1">
        <f t="shared" si="14"/>
        <v>3</v>
      </c>
      <c r="V403" t="str">
        <f t="shared" si="21"/>
        <v>Low Performer</v>
      </c>
      <c r="W403" t="e" cm="1">
        <f t="array" aca="1" ref="W403" ca="1">_xlfn.IFS(N403&gt;=20, "High",N403&gt;=10, "Medium", N403&lt;10, "Low")</f>
        <v>#NAME?</v>
      </c>
      <c r="X403" t="str">
        <f t="shared" si="22"/>
        <v>High Budget</v>
      </c>
      <c r="Y403" s="7">
        <f>VLOOKUP(G403, Lookup_table!B:C,2,0)</f>
        <v>0.75</v>
      </c>
      <c r="Z403" t="str">
        <f t="shared" si="23"/>
        <v>Inefficient Spend</v>
      </c>
      <c r="AA403" t="str">
        <f>VLOOKUP(H403, Lookup_table!E:F,2,0)</f>
        <v>High</v>
      </c>
    </row>
    <row r="404" spans="1:27" ht="17.5" customHeight="1" x14ac:dyDescent="0.35">
      <c r="A404" s="1" t="s">
        <v>606</v>
      </c>
      <c r="B404" s="2">
        <v>45526</v>
      </c>
      <c r="C404" s="1" t="s">
        <v>418</v>
      </c>
      <c r="D404" s="1">
        <v>39</v>
      </c>
      <c r="E404" s="1" t="s">
        <v>35</v>
      </c>
      <c r="F404" s="1" t="s">
        <v>57</v>
      </c>
      <c r="G404" s="1" t="s">
        <v>61</v>
      </c>
      <c r="H404" s="1" t="s">
        <v>62</v>
      </c>
      <c r="I404" s="1">
        <v>672.84</v>
      </c>
      <c r="J404" s="1">
        <v>24935</v>
      </c>
      <c r="K404" s="1">
        <v>3298</v>
      </c>
      <c r="L404" s="1">
        <v>351</v>
      </c>
      <c r="M404" s="1">
        <v>3</v>
      </c>
      <c r="N404" s="1">
        <v>13.226388610000001</v>
      </c>
      <c r="O404" s="1">
        <v>10.64281383</v>
      </c>
      <c r="P404" s="1">
        <f t="shared" si="14"/>
        <v>3</v>
      </c>
      <c r="V404" t="str">
        <f t="shared" si="21"/>
        <v>Top Performer</v>
      </c>
      <c r="W404" t="e" cm="1">
        <f t="array" aca="1" ref="W404" ca="1">_xlfn.IFS(N404&gt;=20, "High",N404&gt;=10, "Medium", N404&lt;10, "Low")</f>
        <v>#NAME?</v>
      </c>
      <c r="X404" t="str">
        <f t="shared" si="22"/>
        <v>Medium Budget</v>
      </c>
      <c r="Y404" s="7">
        <f>VLOOKUP(G404, Lookup_table!B:C,2,0)</f>
        <v>0.2</v>
      </c>
      <c r="Z404" t="str">
        <f t="shared" si="23"/>
        <v>Inefficient Spend</v>
      </c>
      <c r="AA404" t="str">
        <f>VLOOKUP(H404, Lookup_table!E:F,2,0)</f>
        <v>Medium</v>
      </c>
    </row>
    <row r="405" spans="1:27" ht="17.5" customHeight="1" x14ac:dyDescent="0.35">
      <c r="A405" s="1" t="s">
        <v>607</v>
      </c>
      <c r="B405" s="2">
        <v>45606</v>
      </c>
      <c r="C405" s="1" t="s">
        <v>283</v>
      </c>
      <c r="D405" s="1">
        <v>61</v>
      </c>
      <c r="E405" s="1" t="s">
        <v>23</v>
      </c>
      <c r="F405" s="1" t="s">
        <v>30</v>
      </c>
      <c r="G405" s="1" t="s">
        <v>46</v>
      </c>
      <c r="H405" s="1" t="s">
        <v>32</v>
      </c>
      <c r="I405" s="1">
        <v>1703.51</v>
      </c>
      <c r="J405" s="1">
        <v>4577</v>
      </c>
      <c r="K405" s="1">
        <v>1433</v>
      </c>
      <c r="L405" s="1">
        <v>266</v>
      </c>
      <c r="M405" s="1">
        <v>3</v>
      </c>
      <c r="N405" s="1">
        <v>31.3087175</v>
      </c>
      <c r="O405" s="1">
        <v>18.562456390000001</v>
      </c>
      <c r="P405" s="1">
        <f t="shared" si="14"/>
        <v>3</v>
      </c>
      <c r="V405" t="str">
        <f t="shared" si="21"/>
        <v>Average Performer</v>
      </c>
      <c r="W405" t="e" cm="1">
        <f t="array" aca="1" ref="W405" ca="1">_xlfn.IFS(N405&gt;=20, "High",N405&gt;=10, "Medium", N405&lt;10, "Low")</f>
        <v>#NAME?</v>
      </c>
      <c r="X405" t="str">
        <f t="shared" si="22"/>
        <v>High Budget</v>
      </c>
      <c r="Y405" s="7">
        <f>VLOOKUP(G405, Lookup_table!B:C,2,0)</f>
        <v>0.75</v>
      </c>
      <c r="Z405" t="str">
        <f t="shared" si="23"/>
        <v>Inefficient Spend</v>
      </c>
      <c r="AA405" t="str">
        <f>VLOOKUP(H405, Lookup_table!E:F,2,0)</f>
        <v>Medium</v>
      </c>
    </row>
    <row r="406" spans="1:27" ht="17.5" customHeight="1" x14ac:dyDescent="0.35">
      <c r="A406" s="1" t="s">
        <v>608</v>
      </c>
      <c r="B406" s="2">
        <v>45404</v>
      </c>
      <c r="C406" s="1" t="s">
        <v>319</v>
      </c>
      <c r="D406" s="1">
        <v>19</v>
      </c>
      <c r="E406" s="1" t="s">
        <v>29</v>
      </c>
      <c r="F406" s="1" t="s">
        <v>57</v>
      </c>
      <c r="G406" s="1" t="s">
        <v>46</v>
      </c>
      <c r="H406" s="1" t="s">
        <v>32</v>
      </c>
      <c r="I406" s="1">
        <v>1595.88</v>
      </c>
      <c r="J406" s="1">
        <v>17971</v>
      </c>
      <c r="K406" s="1">
        <v>4601</v>
      </c>
      <c r="L406" s="1">
        <v>368</v>
      </c>
      <c r="M406" s="1">
        <v>4</v>
      </c>
      <c r="N406" s="1">
        <v>25.602359360000001</v>
      </c>
      <c r="O406" s="1">
        <v>7.9982612480000004</v>
      </c>
      <c r="P406" s="1">
        <f t="shared" si="14"/>
        <v>4</v>
      </c>
      <c r="V406" t="str">
        <f t="shared" si="21"/>
        <v>Top Performer</v>
      </c>
      <c r="W406" t="e" cm="1">
        <f t="array" aca="1" ref="W406" ca="1">_xlfn.IFS(N406&gt;=20, "High",N406&gt;=10, "Medium", N406&lt;10, "Low")</f>
        <v>#NAME?</v>
      </c>
      <c r="X406" t="str">
        <f t="shared" si="22"/>
        <v>High Budget</v>
      </c>
      <c r="Y406" s="7">
        <f>VLOOKUP(G406, Lookup_table!B:C,2,0)</f>
        <v>0.75</v>
      </c>
      <c r="Z406" t="str">
        <f t="shared" si="23"/>
        <v>Efficient Spend</v>
      </c>
      <c r="AA406" t="str">
        <f>VLOOKUP(H406, Lookup_table!E:F,2,0)</f>
        <v>Medium</v>
      </c>
    </row>
    <row r="407" spans="1:27" ht="17.5" customHeight="1" x14ac:dyDescent="0.35">
      <c r="A407" s="1" t="s">
        <v>609</v>
      </c>
      <c r="B407" s="2">
        <v>45550</v>
      </c>
      <c r="C407" s="1" t="s">
        <v>166</v>
      </c>
      <c r="D407" s="1">
        <v>32</v>
      </c>
      <c r="E407" s="1" t="s">
        <v>23</v>
      </c>
      <c r="F407" s="1" t="s">
        <v>24</v>
      </c>
      <c r="G407" s="1" t="s">
        <v>46</v>
      </c>
      <c r="H407" s="1" t="s">
        <v>62</v>
      </c>
      <c r="I407" s="1">
        <v>1850.68</v>
      </c>
      <c r="J407" s="1">
        <v>2645</v>
      </c>
      <c r="K407" s="1">
        <v>3383</v>
      </c>
      <c r="L407" s="1">
        <v>152</v>
      </c>
      <c r="M407" s="1">
        <v>3</v>
      </c>
      <c r="N407" s="1">
        <v>127.9017013</v>
      </c>
      <c r="O407" s="1">
        <v>4.4930535029999996</v>
      </c>
      <c r="P407" s="1">
        <f t="shared" si="14"/>
        <v>3</v>
      </c>
      <c r="U407" s="1">
        <f>COUNTIF(N403:N1000, N407&gt;100)</f>
        <v>0</v>
      </c>
      <c r="V407" t="str">
        <f t="shared" si="21"/>
        <v>Average Performer</v>
      </c>
      <c r="W407" t="e" cm="1">
        <f t="array" aca="1" ref="W407" ca="1">_xlfn.IFS(N407&gt;=20, "High",N407&gt;=10, "Medium", N407&lt;10, "Low")</f>
        <v>#NAME?</v>
      </c>
      <c r="X407" t="str">
        <f t="shared" si="22"/>
        <v>High Budget</v>
      </c>
      <c r="Y407" s="7">
        <f>VLOOKUP(G407, Lookup_table!B:C,2,0)</f>
        <v>0.75</v>
      </c>
      <c r="Z407" t="str">
        <f t="shared" si="23"/>
        <v>Efficient Spend</v>
      </c>
      <c r="AA407" t="str">
        <f>VLOOKUP(H407, Lookup_table!E:F,2,0)</f>
        <v>Medium</v>
      </c>
    </row>
    <row r="408" spans="1:27" ht="17.5" customHeight="1" x14ac:dyDescent="0.35">
      <c r="A408" s="1" t="s">
        <v>610</v>
      </c>
      <c r="B408" s="2">
        <v>45587</v>
      </c>
      <c r="C408" s="1" t="s">
        <v>483</v>
      </c>
      <c r="D408" s="1">
        <v>36</v>
      </c>
      <c r="E408" s="1" t="s">
        <v>35</v>
      </c>
      <c r="F408" s="1" t="s">
        <v>50</v>
      </c>
      <c r="G408" s="1" t="s">
        <v>25</v>
      </c>
      <c r="H408" s="1" t="s">
        <v>62</v>
      </c>
      <c r="I408" s="1">
        <v>476.13</v>
      </c>
      <c r="J408" s="1">
        <v>10856</v>
      </c>
      <c r="K408" s="1">
        <v>424</v>
      </c>
      <c r="L408" s="1">
        <v>243</v>
      </c>
      <c r="M408" s="1">
        <v>2</v>
      </c>
      <c r="N408" s="1">
        <v>3.9056742820000001</v>
      </c>
      <c r="O408" s="1">
        <v>57.31132075</v>
      </c>
      <c r="P408" s="1">
        <f t="shared" si="14"/>
        <v>2</v>
      </c>
      <c r="V408" t="str">
        <f t="shared" si="21"/>
        <v>Low Performer</v>
      </c>
      <c r="W408" t="e" cm="1">
        <f t="array" aca="1" ref="W408" ca="1">_xlfn.IFS(N408&gt;=20, "High",N408&gt;=10, "Medium", N408&lt;10, "Low")</f>
        <v>#NAME?</v>
      </c>
      <c r="X408" t="str">
        <f t="shared" si="22"/>
        <v>Low Budget</v>
      </c>
      <c r="Y408" s="7">
        <f>VLOOKUP(G408, Lookup_table!B:C,2,0)</f>
        <v>0.5</v>
      </c>
      <c r="Z408" t="str">
        <f t="shared" si="23"/>
        <v>Inefficient Spend</v>
      </c>
      <c r="AA408" t="str">
        <f>VLOOKUP(H408, Lookup_table!E:F,2,0)</f>
        <v>Medium</v>
      </c>
    </row>
    <row r="409" spans="1:27" ht="17.5" customHeight="1" x14ac:dyDescent="0.35">
      <c r="A409" s="1" t="s">
        <v>611</v>
      </c>
      <c r="B409" s="2">
        <v>45622</v>
      </c>
      <c r="C409" s="1" t="s">
        <v>92</v>
      </c>
      <c r="D409" s="1">
        <v>53</v>
      </c>
      <c r="E409" s="1" t="s">
        <v>29</v>
      </c>
      <c r="F409" s="1" t="s">
        <v>45</v>
      </c>
      <c r="G409" s="1" t="s">
        <v>25</v>
      </c>
      <c r="H409" s="1" t="s">
        <v>32</v>
      </c>
      <c r="I409" s="1">
        <v>941.22</v>
      </c>
      <c r="J409" s="1">
        <v>25031</v>
      </c>
      <c r="K409" s="1">
        <v>4245</v>
      </c>
      <c r="L409" s="1">
        <v>25</v>
      </c>
      <c r="M409" s="1">
        <v>1</v>
      </c>
      <c r="N409" s="1">
        <v>16.958970879999999</v>
      </c>
      <c r="O409" s="1">
        <v>0.58892815099999996</v>
      </c>
      <c r="P409" s="1">
        <f t="shared" si="14"/>
        <v>1</v>
      </c>
      <c r="V409" t="str">
        <f t="shared" si="21"/>
        <v>Low Performer</v>
      </c>
      <c r="W409" t="e" cm="1">
        <f t="array" aca="1" ref="W409" ca="1">_xlfn.IFS(N409&gt;=20, "High",N409&gt;=10, "Medium", N409&lt;10, "Low")</f>
        <v>#NAME?</v>
      </c>
      <c r="X409" t="str">
        <f t="shared" si="22"/>
        <v>Medium Budget</v>
      </c>
      <c r="Y409" s="7">
        <f>VLOOKUP(G409, Lookup_table!B:C,2,0)</f>
        <v>0.5</v>
      </c>
      <c r="Z409" t="str">
        <f t="shared" si="23"/>
        <v>Efficient Spend</v>
      </c>
      <c r="AA409" t="str">
        <f>VLOOKUP(H409, Lookup_table!E:F,2,0)</f>
        <v>Medium</v>
      </c>
    </row>
    <row r="410" spans="1:27" ht="17.5" customHeight="1" x14ac:dyDescent="0.35">
      <c r="A410" s="1" t="s">
        <v>612</v>
      </c>
      <c r="B410" s="2">
        <v>45364</v>
      </c>
      <c r="C410" s="1" t="s">
        <v>28</v>
      </c>
      <c r="D410" s="1">
        <v>28</v>
      </c>
      <c r="E410" s="1" t="s">
        <v>35</v>
      </c>
      <c r="F410" s="1" t="s">
        <v>45</v>
      </c>
      <c r="G410" s="1" t="s">
        <v>61</v>
      </c>
      <c r="H410" s="1" t="s">
        <v>62</v>
      </c>
      <c r="I410" s="1">
        <v>148.41</v>
      </c>
      <c r="J410" s="1">
        <v>5305</v>
      </c>
      <c r="K410" s="1">
        <v>4529</v>
      </c>
      <c r="L410" s="1">
        <v>82</v>
      </c>
      <c r="M410" s="1">
        <v>5</v>
      </c>
      <c r="N410" s="1">
        <v>85.372290289999995</v>
      </c>
      <c r="O410" s="1">
        <v>1.8105542059999999</v>
      </c>
      <c r="P410" s="1">
        <f t="shared" si="14"/>
        <v>5</v>
      </c>
      <c r="V410" t="str">
        <f t="shared" si="21"/>
        <v>Low Performer</v>
      </c>
      <c r="W410" t="e" cm="1">
        <f t="array" aca="1" ref="W410" ca="1">_xlfn.IFS(N410&gt;=20, "High",N410&gt;=10, "Medium", N410&lt;10, "Low")</f>
        <v>#NAME?</v>
      </c>
      <c r="X410" t="str">
        <f t="shared" si="22"/>
        <v>Low Budget</v>
      </c>
      <c r="Y410" s="7">
        <f>VLOOKUP(G410, Lookup_table!B:C,2,0)</f>
        <v>0.2</v>
      </c>
      <c r="Z410" t="str">
        <f t="shared" si="23"/>
        <v>Efficient Spend</v>
      </c>
      <c r="AA410" t="str">
        <f>VLOOKUP(H410, Lookup_table!E:F,2,0)</f>
        <v>Medium</v>
      </c>
    </row>
    <row r="411" spans="1:27" ht="17.5" customHeight="1" x14ac:dyDescent="0.35">
      <c r="A411" s="1" t="s">
        <v>613</v>
      </c>
      <c r="B411" s="2">
        <v>45641</v>
      </c>
      <c r="C411" s="1" t="s">
        <v>123</v>
      </c>
      <c r="D411" s="1">
        <v>52</v>
      </c>
      <c r="E411" s="1" t="s">
        <v>23</v>
      </c>
      <c r="F411" s="1" t="s">
        <v>24</v>
      </c>
      <c r="G411" s="1" t="s">
        <v>46</v>
      </c>
      <c r="H411" s="1" t="s">
        <v>32</v>
      </c>
      <c r="I411" s="1">
        <v>1066.8800000000001</v>
      </c>
      <c r="J411" s="1">
        <v>1825</v>
      </c>
      <c r="K411" s="1">
        <v>3250</v>
      </c>
      <c r="L411" s="1">
        <v>309</v>
      </c>
      <c r="M411" s="1">
        <v>2</v>
      </c>
      <c r="N411" s="1">
        <v>178.0821918</v>
      </c>
      <c r="O411" s="1">
        <v>9.5076923079999993</v>
      </c>
      <c r="P411" s="1">
        <f t="shared" si="14"/>
        <v>2</v>
      </c>
      <c r="U411" s="1">
        <f>COUNTIF(N407:N1000, N411&gt;100)</f>
        <v>0</v>
      </c>
      <c r="V411" t="str">
        <f t="shared" si="21"/>
        <v>Top Performer</v>
      </c>
      <c r="W411" t="e" cm="1">
        <f t="array" aca="1" ref="W411" ca="1">_xlfn.IFS(N411&gt;=20, "High",N411&gt;=10, "Medium", N411&lt;10, "Low")</f>
        <v>#NAME?</v>
      </c>
      <c r="X411" t="str">
        <f t="shared" si="22"/>
        <v>High Budget</v>
      </c>
      <c r="Y411" s="7">
        <f>VLOOKUP(G411, Lookup_table!B:C,2,0)</f>
        <v>0.75</v>
      </c>
      <c r="Z411" t="str">
        <f t="shared" si="23"/>
        <v>Efficient Spend</v>
      </c>
      <c r="AA411" t="str">
        <f>VLOOKUP(H411, Lookup_table!E:F,2,0)</f>
        <v>Medium</v>
      </c>
    </row>
    <row r="412" spans="1:27" ht="17.5" customHeight="1" x14ac:dyDescent="0.35">
      <c r="A412" s="1" t="s">
        <v>614</v>
      </c>
      <c r="B412" s="2">
        <v>45296</v>
      </c>
      <c r="C412" s="1" t="s">
        <v>295</v>
      </c>
      <c r="D412" s="1">
        <v>24</v>
      </c>
      <c r="E412" s="1" t="s">
        <v>35</v>
      </c>
      <c r="F412" s="1" t="s">
        <v>41</v>
      </c>
      <c r="G412" s="1" t="s">
        <v>46</v>
      </c>
      <c r="H412" s="1" t="s">
        <v>32</v>
      </c>
      <c r="I412" s="1">
        <v>760.25</v>
      </c>
      <c r="J412" s="1">
        <v>9474</v>
      </c>
      <c r="K412" s="1">
        <v>3158</v>
      </c>
      <c r="L412" s="1">
        <v>369</v>
      </c>
      <c r="M412" s="1">
        <v>1</v>
      </c>
      <c r="N412" s="1">
        <v>33.333333330000002</v>
      </c>
      <c r="O412" s="1">
        <v>11.684610510000001</v>
      </c>
      <c r="P412" s="1">
        <f t="shared" si="14"/>
        <v>1</v>
      </c>
      <c r="V412" t="str">
        <f t="shared" si="21"/>
        <v>Top Performer</v>
      </c>
      <c r="W412" t="e" cm="1">
        <f t="array" aca="1" ref="W412" ca="1">_xlfn.IFS(N412&gt;=20, "High",N412&gt;=10, "Medium", N412&lt;10, "Low")</f>
        <v>#NAME?</v>
      </c>
      <c r="X412" t="str">
        <f t="shared" si="22"/>
        <v>Medium Budget</v>
      </c>
      <c r="Y412" s="7">
        <f>VLOOKUP(G412, Lookup_table!B:C,2,0)</f>
        <v>0.75</v>
      </c>
      <c r="Z412" t="str">
        <f t="shared" si="23"/>
        <v>Efficient Spend</v>
      </c>
      <c r="AA412" t="str">
        <f>VLOOKUP(H412, Lookup_table!E:F,2,0)</f>
        <v>Medium</v>
      </c>
    </row>
    <row r="413" spans="1:27" ht="17.5" customHeight="1" x14ac:dyDescent="0.35">
      <c r="A413" s="1" t="s">
        <v>615</v>
      </c>
      <c r="B413" s="2">
        <v>45292</v>
      </c>
      <c r="C413" s="1" t="s">
        <v>123</v>
      </c>
      <c r="D413" s="1">
        <v>28</v>
      </c>
      <c r="E413" s="1" t="s">
        <v>29</v>
      </c>
      <c r="F413" s="1" t="s">
        <v>57</v>
      </c>
      <c r="G413" s="1" t="s">
        <v>25</v>
      </c>
      <c r="H413" s="1" t="s">
        <v>36</v>
      </c>
      <c r="I413" s="1">
        <v>1768.66</v>
      </c>
      <c r="J413" s="1">
        <v>29556</v>
      </c>
      <c r="K413" s="1">
        <v>1515</v>
      </c>
      <c r="L413" s="1">
        <v>72</v>
      </c>
      <c r="M413" s="1">
        <v>1</v>
      </c>
      <c r="N413" s="1">
        <v>5.1258627690000003</v>
      </c>
      <c r="O413" s="1">
        <v>4.7524752479999997</v>
      </c>
      <c r="P413" s="1">
        <f t="shared" si="14"/>
        <v>1</v>
      </c>
      <c r="V413" t="str">
        <f t="shared" si="21"/>
        <v>Low Performer</v>
      </c>
      <c r="W413" t="e" cm="1">
        <f t="array" aca="1" ref="W413" ca="1">_xlfn.IFS(N413&gt;=20, "High",N413&gt;=10, "Medium", N413&lt;10, "Low")</f>
        <v>#NAME?</v>
      </c>
      <c r="X413" t="str">
        <f t="shared" si="22"/>
        <v>High Budget</v>
      </c>
      <c r="Y413" s="7">
        <f>VLOOKUP(G413, Lookup_table!B:C,2,0)</f>
        <v>0.5</v>
      </c>
      <c r="Z413" t="str">
        <f t="shared" si="23"/>
        <v>Inefficient Spend</v>
      </c>
      <c r="AA413" t="str">
        <f>VLOOKUP(H413, Lookup_table!E:F,2,0)</f>
        <v>High</v>
      </c>
    </row>
    <row r="414" spans="1:27" ht="17.5" customHeight="1" x14ac:dyDescent="0.35">
      <c r="A414" s="1" t="s">
        <v>616</v>
      </c>
      <c r="B414" s="2">
        <v>45472</v>
      </c>
      <c r="C414" s="1" t="s">
        <v>279</v>
      </c>
      <c r="D414" s="1">
        <v>64</v>
      </c>
      <c r="E414" s="1" t="s">
        <v>23</v>
      </c>
      <c r="F414" s="1" t="s">
        <v>45</v>
      </c>
      <c r="G414" s="1" t="s">
        <v>42</v>
      </c>
      <c r="H414" s="1" t="s">
        <v>62</v>
      </c>
      <c r="I414" s="1">
        <v>1906.47</v>
      </c>
      <c r="J414" s="1">
        <v>11072</v>
      </c>
      <c r="K414" s="1">
        <v>506</v>
      </c>
      <c r="L414" s="1">
        <v>313</v>
      </c>
      <c r="M414" s="1">
        <v>3</v>
      </c>
      <c r="N414" s="1">
        <v>4.5700867049999996</v>
      </c>
      <c r="O414" s="1">
        <v>61.857707509999997</v>
      </c>
      <c r="P414" s="1">
        <f t="shared" si="14"/>
        <v>3</v>
      </c>
      <c r="V414" t="str">
        <f t="shared" si="21"/>
        <v>Low Performer</v>
      </c>
      <c r="W414" t="e" cm="1">
        <f t="array" aca="1" ref="W414" ca="1">_xlfn.IFS(N414&gt;=20, "High",N414&gt;=10, "Medium", N414&lt;10, "Low")</f>
        <v>#NAME?</v>
      </c>
      <c r="X414" t="str">
        <f t="shared" si="22"/>
        <v>High Budget</v>
      </c>
      <c r="Y414" s="7">
        <f>VLOOKUP(G414, Lookup_table!B:C,2,0)</f>
        <v>0.3</v>
      </c>
      <c r="Z414" t="str">
        <f t="shared" si="23"/>
        <v>Inefficient Spend</v>
      </c>
      <c r="AA414" t="str">
        <f>VLOOKUP(H414, Lookup_table!E:F,2,0)</f>
        <v>Medium</v>
      </c>
    </row>
    <row r="415" spans="1:27" ht="17.5" customHeight="1" x14ac:dyDescent="0.35">
      <c r="A415" s="1" t="s">
        <v>617</v>
      </c>
      <c r="B415" s="2">
        <v>45405</v>
      </c>
      <c r="C415" s="1" t="s">
        <v>117</v>
      </c>
      <c r="D415" s="1">
        <v>44</v>
      </c>
      <c r="E415" s="1" t="s">
        <v>23</v>
      </c>
      <c r="F415" s="1" t="s">
        <v>30</v>
      </c>
      <c r="G415" s="1" t="s">
        <v>46</v>
      </c>
      <c r="H415" s="1" t="s">
        <v>62</v>
      </c>
      <c r="I415" s="1">
        <v>1707.42</v>
      </c>
      <c r="J415" s="1">
        <v>23793</v>
      </c>
      <c r="K415" s="1">
        <v>4726</v>
      </c>
      <c r="L415" s="1">
        <v>16</v>
      </c>
      <c r="M415" s="1">
        <v>5</v>
      </c>
      <c r="N415" s="1">
        <v>19.862984910000002</v>
      </c>
      <c r="O415" s="1">
        <v>0.33855268700000002</v>
      </c>
      <c r="P415" s="1">
        <f t="shared" si="14"/>
        <v>5</v>
      </c>
      <c r="V415" t="str">
        <f t="shared" si="21"/>
        <v>Low Performer</v>
      </c>
      <c r="W415" t="e" cm="1">
        <f t="array" aca="1" ref="W415" ca="1">_xlfn.IFS(N415&gt;=20, "High",N415&gt;=10, "Medium", N415&lt;10, "Low")</f>
        <v>#NAME?</v>
      </c>
      <c r="X415" t="str">
        <f t="shared" si="22"/>
        <v>High Budget</v>
      </c>
      <c r="Y415" s="7">
        <f>VLOOKUP(G415, Lookup_table!B:C,2,0)</f>
        <v>0.75</v>
      </c>
      <c r="Z415" t="str">
        <f t="shared" si="23"/>
        <v>Efficient Spend</v>
      </c>
      <c r="AA415" t="str">
        <f>VLOOKUP(H415, Lookup_table!E:F,2,0)</f>
        <v>Medium</v>
      </c>
    </row>
    <row r="416" spans="1:27" ht="17.5" customHeight="1" x14ac:dyDescent="0.35">
      <c r="A416" s="1" t="s">
        <v>618</v>
      </c>
      <c r="B416" s="2">
        <v>45312</v>
      </c>
      <c r="C416" s="1" t="s">
        <v>619</v>
      </c>
      <c r="D416" s="1">
        <v>64</v>
      </c>
      <c r="E416" s="1" t="s">
        <v>29</v>
      </c>
      <c r="F416" s="1" t="s">
        <v>57</v>
      </c>
      <c r="G416" s="1" t="s">
        <v>25</v>
      </c>
      <c r="H416" s="1" t="s">
        <v>62</v>
      </c>
      <c r="I416" s="1">
        <v>1671.11</v>
      </c>
      <c r="J416" s="1">
        <v>29809</v>
      </c>
      <c r="K416" s="1">
        <v>1530</v>
      </c>
      <c r="L416" s="1">
        <v>286</v>
      </c>
      <c r="M416" s="1">
        <v>1</v>
      </c>
      <c r="N416" s="1">
        <v>5.13267805</v>
      </c>
      <c r="O416" s="1">
        <v>18.69281046</v>
      </c>
      <c r="P416" s="1">
        <f t="shared" si="14"/>
        <v>1</v>
      </c>
      <c r="V416" t="str">
        <f t="shared" si="21"/>
        <v>Average Performer</v>
      </c>
      <c r="W416" t="e" cm="1">
        <f t="array" aca="1" ref="W416" ca="1">_xlfn.IFS(N416&gt;=20, "High",N416&gt;=10, "Medium", N416&lt;10, "Low")</f>
        <v>#NAME?</v>
      </c>
      <c r="X416" t="str">
        <f t="shared" si="22"/>
        <v>High Budget</v>
      </c>
      <c r="Y416" s="7">
        <f>VLOOKUP(G416, Lookup_table!B:C,2,0)</f>
        <v>0.5</v>
      </c>
      <c r="Z416" t="str">
        <f t="shared" si="23"/>
        <v>Inefficient Spend</v>
      </c>
      <c r="AA416" t="str">
        <f>VLOOKUP(H416, Lookup_table!E:F,2,0)</f>
        <v>Medium</v>
      </c>
    </row>
    <row r="417" spans="1:27" ht="17.5" customHeight="1" x14ac:dyDescent="0.35">
      <c r="A417" s="1" t="s">
        <v>620</v>
      </c>
      <c r="B417" s="2">
        <v>45416</v>
      </c>
      <c r="C417" s="1" t="s">
        <v>467</v>
      </c>
      <c r="D417" s="1">
        <v>32</v>
      </c>
      <c r="E417" s="1" t="s">
        <v>35</v>
      </c>
      <c r="F417" s="1" t="s">
        <v>45</v>
      </c>
      <c r="G417" s="1" t="s">
        <v>46</v>
      </c>
      <c r="H417" s="1" t="s">
        <v>26</v>
      </c>
      <c r="I417" s="1">
        <v>1260.79</v>
      </c>
      <c r="J417" s="1">
        <v>20759</v>
      </c>
      <c r="K417" s="1">
        <v>3130</v>
      </c>
      <c r="L417" s="1">
        <v>278</v>
      </c>
      <c r="M417" s="1">
        <v>3</v>
      </c>
      <c r="N417" s="1">
        <v>15.07779758</v>
      </c>
      <c r="O417" s="1">
        <v>8.8817891370000002</v>
      </c>
      <c r="P417" s="1">
        <f t="shared" si="14"/>
        <v>3</v>
      </c>
      <c r="V417" t="str">
        <f t="shared" si="21"/>
        <v>Top Performer</v>
      </c>
      <c r="W417" t="e" cm="1">
        <f t="array" aca="1" ref="W417" ca="1">_xlfn.IFS(N417&gt;=20, "High",N417&gt;=10, "Medium", N417&lt;10, "Low")</f>
        <v>#NAME?</v>
      </c>
      <c r="X417" t="str">
        <f t="shared" si="22"/>
        <v>High Budget</v>
      </c>
      <c r="Y417" s="7">
        <f>VLOOKUP(G417, Lookup_table!B:C,2,0)</f>
        <v>0.75</v>
      </c>
      <c r="Z417" t="str">
        <f t="shared" si="23"/>
        <v>Efficient Spend</v>
      </c>
      <c r="AA417" t="str">
        <f>VLOOKUP(H417, Lookup_table!E:F,2,0)</f>
        <v>High</v>
      </c>
    </row>
    <row r="418" spans="1:27" ht="17.5" customHeight="1" x14ac:dyDescent="0.35">
      <c r="A418" s="1" t="s">
        <v>621</v>
      </c>
      <c r="B418" s="2">
        <v>45323</v>
      </c>
      <c r="C418" s="1" t="s">
        <v>160</v>
      </c>
      <c r="D418" s="1">
        <v>25</v>
      </c>
      <c r="E418" s="1" t="s">
        <v>29</v>
      </c>
      <c r="F418" s="1" t="s">
        <v>24</v>
      </c>
      <c r="G418" s="1" t="s">
        <v>42</v>
      </c>
      <c r="H418" s="1" t="s">
        <v>26</v>
      </c>
      <c r="I418" s="1">
        <v>1477.47</v>
      </c>
      <c r="J418" s="1">
        <v>20498</v>
      </c>
      <c r="K418" s="1">
        <v>4773</v>
      </c>
      <c r="L418" s="1">
        <v>22</v>
      </c>
      <c r="M418" s="1">
        <v>3</v>
      </c>
      <c r="N418" s="1">
        <v>23.285198560000001</v>
      </c>
      <c r="O418" s="1">
        <v>0.46092604199999998</v>
      </c>
      <c r="P418" s="1">
        <f t="shared" si="14"/>
        <v>3</v>
      </c>
      <c r="V418" t="str">
        <f t="shared" si="21"/>
        <v>Low Performer</v>
      </c>
      <c r="W418" t="e" cm="1">
        <f t="array" aca="1" ref="W418" ca="1">_xlfn.IFS(N418&gt;=20, "High",N418&gt;=10, "Medium", N418&lt;10, "Low")</f>
        <v>#NAME?</v>
      </c>
      <c r="X418" t="str">
        <f t="shared" si="22"/>
        <v>High Budget</v>
      </c>
      <c r="Y418" s="7">
        <f>VLOOKUP(G418, Lookup_table!B:C,2,0)</f>
        <v>0.3</v>
      </c>
      <c r="Z418" t="str">
        <f t="shared" si="23"/>
        <v>Inefficient Spend</v>
      </c>
      <c r="AA418" t="str">
        <f>VLOOKUP(H418, Lookup_table!E:F,2,0)</f>
        <v>High</v>
      </c>
    </row>
    <row r="419" spans="1:27" ht="17.5" customHeight="1" x14ac:dyDescent="0.35">
      <c r="A419" s="1" t="s">
        <v>622</v>
      </c>
      <c r="B419" s="2">
        <v>45341</v>
      </c>
      <c r="C419" s="1" t="s">
        <v>623</v>
      </c>
      <c r="D419" s="1">
        <v>47</v>
      </c>
      <c r="E419" s="1" t="s">
        <v>29</v>
      </c>
      <c r="F419" s="1" t="s">
        <v>30</v>
      </c>
      <c r="G419" s="1" t="s">
        <v>46</v>
      </c>
      <c r="H419" s="1" t="s">
        <v>62</v>
      </c>
      <c r="I419" s="1">
        <v>542.73</v>
      </c>
      <c r="J419" s="1">
        <v>13676</v>
      </c>
      <c r="K419" s="1">
        <v>4567</v>
      </c>
      <c r="L419" s="1">
        <v>155</v>
      </c>
      <c r="M419" s="1">
        <v>3</v>
      </c>
      <c r="N419" s="1">
        <v>33.394267329999998</v>
      </c>
      <c r="O419" s="1">
        <v>3.3939128529999998</v>
      </c>
      <c r="P419" s="1">
        <f t="shared" si="14"/>
        <v>3</v>
      </c>
      <c r="V419" t="str">
        <f t="shared" si="21"/>
        <v>Average Performer</v>
      </c>
      <c r="W419" t="e" cm="1">
        <f t="array" aca="1" ref="W419" ca="1">_xlfn.IFS(N419&gt;=20, "High",N419&gt;=10, "Medium", N419&lt;10, "Low")</f>
        <v>#NAME?</v>
      </c>
      <c r="X419" t="str">
        <f t="shared" si="22"/>
        <v>Medium Budget</v>
      </c>
      <c r="Y419" s="7">
        <f>VLOOKUP(G419, Lookup_table!B:C,2,0)</f>
        <v>0.75</v>
      </c>
      <c r="Z419" t="str">
        <f t="shared" si="23"/>
        <v>Efficient Spend</v>
      </c>
      <c r="AA419" t="str">
        <f>VLOOKUP(H419, Lookup_table!E:F,2,0)</f>
        <v>Medium</v>
      </c>
    </row>
    <row r="420" spans="1:27" ht="17.5" customHeight="1" x14ac:dyDescent="0.35">
      <c r="A420" s="1" t="s">
        <v>624</v>
      </c>
      <c r="B420" s="2">
        <v>45526</v>
      </c>
      <c r="C420" s="1" t="s">
        <v>625</v>
      </c>
      <c r="D420" s="1">
        <v>48</v>
      </c>
      <c r="E420" s="1" t="s">
        <v>35</v>
      </c>
      <c r="F420" s="1" t="s">
        <v>30</v>
      </c>
      <c r="G420" s="1" t="s">
        <v>25</v>
      </c>
      <c r="H420" s="1" t="s">
        <v>36</v>
      </c>
      <c r="I420" s="1">
        <v>1534.08</v>
      </c>
      <c r="J420" s="1">
        <v>5411</v>
      </c>
      <c r="K420" s="1">
        <v>2920</v>
      </c>
      <c r="L420" s="1">
        <v>278</v>
      </c>
      <c r="M420" s="1">
        <v>4</v>
      </c>
      <c r="N420" s="1">
        <v>53.964147109999999</v>
      </c>
      <c r="O420" s="1">
        <v>9.5205479450000006</v>
      </c>
      <c r="P420" s="1">
        <f t="shared" si="14"/>
        <v>4</v>
      </c>
      <c r="V420" t="str">
        <f t="shared" si="21"/>
        <v>Average Performer</v>
      </c>
      <c r="W420" t="e" cm="1">
        <f t="array" aca="1" ref="W420" ca="1">_xlfn.IFS(N420&gt;=20, "High",N420&gt;=10, "Medium", N420&lt;10, "Low")</f>
        <v>#NAME?</v>
      </c>
      <c r="X420" t="str">
        <f t="shared" si="22"/>
        <v>High Budget</v>
      </c>
      <c r="Y420" s="7">
        <f>VLOOKUP(G420, Lookup_table!B:C,2,0)</f>
        <v>0.5</v>
      </c>
      <c r="Z420" t="str">
        <f t="shared" si="23"/>
        <v>Inefficient Spend</v>
      </c>
      <c r="AA420" t="str">
        <f>VLOOKUP(H420, Lookup_table!E:F,2,0)</f>
        <v>High</v>
      </c>
    </row>
    <row r="421" spans="1:27" ht="17.5" customHeight="1" x14ac:dyDescent="0.35">
      <c r="A421" s="1" t="s">
        <v>626</v>
      </c>
      <c r="B421" s="2">
        <v>45442</v>
      </c>
      <c r="C421" s="1" t="s">
        <v>147</v>
      </c>
      <c r="D421" s="1">
        <v>60</v>
      </c>
      <c r="E421" s="1" t="s">
        <v>35</v>
      </c>
      <c r="F421" s="1" t="s">
        <v>41</v>
      </c>
      <c r="G421" s="1" t="s">
        <v>61</v>
      </c>
      <c r="H421" s="1" t="s">
        <v>32</v>
      </c>
      <c r="I421" s="1">
        <v>1099.27</v>
      </c>
      <c r="J421" s="1">
        <v>34063</v>
      </c>
      <c r="K421" s="1">
        <v>386</v>
      </c>
      <c r="L421" s="1">
        <v>390</v>
      </c>
      <c r="M421" s="1">
        <v>4</v>
      </c>
      <c r="N421" s="1">
        <v>1.133194375</v>
      </c>
      <c r="O421" s="1">
        <v>101.03626939999999</v>
      </c>
      <c r="P421" s="1">
        <f t="shared" si="14"/>
        <v>4</v>
      </c>
      <c r="V421" t="str">
        <f t="shared" si="21"/>
        <v>Low Performer</v>
      </c>
      <c r="W421" t="e" cm="1">
        <f t="array" aca="1" ref="W421" ca="1">_xlfn.IFS(N421&gt;=20, "High",N421&gt;=10, "Medium", N421&lt;10, "Low")</f>
        <v>#NAME?</v>
      </c>
      <c r="X421" t="str">
        <f t="shared" si="22"/>
        <v>High Budget</v>
      </c>
      <c r="Y421" s="7">
        <f>VLOOKUP(G421, Lookup_table!B:C,2,0)</f>
        <v>0.2</v>
      </c>
      <c r="Z421" t="str">
        <f t="shared" si="23"/>
        <v>Inefficient Spend</v>
      </c>
      <c r="AA421" t="str">
        <f>VLOOKUP(H421, Lookup_table!E:F,2,0)</f>
        <v>Medium</v>
      </c>
    </row>
    <row r="422" spans="1:27" ht="17.5" customHeight="1" x14ac:dyDescent="0.35">
      <c r="A422" s="1" t="s">
        <v>627</v>
      </c>
      <c r="B422" s="2">
        <v>45450</v>
      </c>
      <c r="C422" s="1" t="s">
        <v>324</v>
      </c>
      <c r="D422" s="9">
        <v>41</v>
      </c>
      <c r="E422" s="1" t="s">
        <v>23</v>
      </c>
      <c r="G422" s="1" t="s">
        <v>31</v>
      </c>
      <c r="H422" s="1" t="s">
        <v>62</v>
      </c>
      <c r="I422" s="1">
        <v>228.11</v>
      </c>
      <c r="J422" s="1">
        <v>8559</v>
      </c>
      <c r="K422" s="1">
        <v>4690</v>
      </c>
      <c r="L422" s="1">
        <v>49</v>
      </c>
      <c r="N422" s="1">
        <v>54.796121040000003</v>
      </c>
      <c r="O422" s="1">
        <v>1.044776119</v>
      </c>
      <c r="P422" s="1">
        <f t="shared" si="14"/>
        <v>3</v>
      </c>
      <c r="V422" t="str">
        <f t="shared" si="21"/>
        <v>Low Performer</v>
      </c>
      <c r="W422" t="e" cm="1">
        <f t="array" aca="1" ref="W422" ca="1">_xlfn.IFS(N422&gt;=20, "High",N422&gt;=10, "Medium", N422&lt;10, "Low")</f>
        <v>#NAME?</v>
      </c>
      <c r="X422" t="str">
        <f t="shared" si="22"/>
        <v>Low Budget</v>
      </c>
      <c r="Y422" s="7">
        <f>VLOOKUP(G422, Lookup_table!B:C,2,0)</f>
        <v>1.2</v>
      </c>
      <c r="Z422" t="str">
        <f t="shared" si="23"/>
        <v>Efficient Spend</v>
      </c>
      <c r="AA422" t="str">
        <f>VLOOKUP(H422, Lookup_table!E:F,2,0)</f>
        <v>Medium</v>
      </c>
    </row>
    <row r="423" spans="1:27" ht="17.5" customHeight="1" x14ac:dyDescent="0.35">
      <c r="A423" s="1" t="s">
        <v>628</v>
      </c>
      <c r="B423" s="2">
        <v>45406</v>
      </c>
      <c r="C423" s="1" t="s">
        <v>232</v>
      </c>
      <c r="D423" s="1">
        <v>42</v>
      </c>
      <c r="E423" s="1" t="s">
        <v>29</v>
      </c>
      <c r="F423" s="1" t="s">
        <v>30</v>
      </c>
      <c r="G423" s="1" t="s">
        <v>31</v>
      </c>
      <c r="H423" s="1" t="s">
        <v>36</v>
      </c>
      <c r="I423" s="1">
        <v>1658.51</v>
      </c>
      <c r="J423" s="1">
        <v>1905</v>
      </c>
      <c r="K423" s="1">
        <v>3016</v>
      </c>
      <c r="L423" s="1">
        <v>365</v>
      </c>
      <c r="M423" s="1">
        <v>5</v>
      </c>
      <c r="N423" s="1">
        <v>158.32021</v>
      </c>
      <c r="O423" s="1">
        <v>12.102122019999999</v>
      </c>
      <c r="P423" s="1">
        <f t="shared" si="14"/>
        <v>5</v>
      </c>
      <c r="U423" s="1">
        <f>COUNTIF(N419:N1000, N423&gt;100)</f>
        <v>0</v>
      </c>
      <c r="V423" t="str">
        <f t="shared" si="21"/>
        <v>Top Performer</v>
      </c>
      <c r="W423" t="e" cm="1">
        <f t="array" aca="1" ref="W423" ca="1">_xlfn.IFS(N423&gt;=20, "High",N423&gt;=10, "Medium", N423&lt;10, "Low")</f>
        <v>#NAME?</v>
      </c>
      <c r="X423" t="str">
        <f t="shared" si="22"/>
        <v>High Budget</v>
      </c>
      <c r="Y423" s="7">
        <f>VLOOKUP(G423, Lookup_table!B:C,2,0)</f>
        <v>1.2</v>
      </c>
      <c r="Z423" t="str">
        <f t="shared" si="23"/>
        <v>Efficient Spend</v>
      </c>
      <c r="AA423" t="str">
        <f>VLOOKUP(H423, Lookup_table!E:F,2,0)</f>
        <v>High</v>
      </c>
    </row>
    <row r="424" spans="1:27" ht="17.5" customHeight="1" x14ac:dyDescent="0.35">
      <c r="A424" s="1" t="s">
        <v>629</v>
      </c>
      <c r="B424" s="2">
        <v>45612</v>
      </c>
      <c r="C424" s="1" t="s">
        <v>181</v>
      </c>
      <c r="D424" s="1">
        <v>62</v>
      </c>
      <c r="E424" s="1" t="s">
        <v>35</v>
      </c>
      <c r="F424" s="1" t="s">
        <v>24</v>
      </c>
      <c r="G424" s="1" t="s">
        <v>46</v>
      </c>
      <c r="H424" s="1" t="s">
        <v>36</v>
      </c>
      <c r="I424" s="1">
        <v>1462.9</v>
      </c>
      <c r="J424" s="1">
        <v>10830</v>
      </c>
      <c r="K424" s="1">
        <v>2967</v>
      </c>
      <c r="L424" s="1">
        <v>26</v>
      </c>
      <c r="M424" s="1">
        <v>3</v>
      </c>
      <c r="N424" s="1">
        <v>27.396121879999999</v>
      </c>
      <c r="O424" s="1">
        <v>0.87630603299999998</v>
      </c>
      <c r="P424" s="1">
        <f t="shared" si="14"/>
        <v>3</v>
      </c>
      <c r="V424" t="str">
        <f t="shared" si="21"/>
        <v>Low Performer</v>
      </c>
      <c r="W424" t="e" cm="1">
        <f t="array" aca="1" ref="W424" ca="1">_xlfn.IFS(N424&gt;=20, "High",N424&gt;=10, "Medium", N424&lt;10, "Low")</f>
        <v>#NAME?</v>
      </c>
      <c r="X424" t="str">
        <f t="shared" si="22"/>
        <v>High Budget</v>
      </c>
      <c r="Y424" s="7">
        <f>VLOOKUP(G424, Lookup_table!B:C,2,0)</f>
        <v>0.75</v>
      </c>
      <c r="Z424" t="str">
        <f t="shared" si="23"/>
        <v>Efficient Spend</v>
      </c>
      <c r="AA424" t="str">
        <f>VLOOKUP(H424, Lookup_table!E:F,2,0)</f>
        <v>High</v>
      </c>
    </row>
    <row r="425" spans="1:27" ht="17.5" customHeight="1" x14ac:dyDescent="0.35">
      <c r="A425" s="1" t="s">
        <v>630</v>
      </c>
      <c r="B425" s="2">
        <v>45454</v>
      </c>
      <c r="C425" s="1" t="s">
        <v>245</v>
      </c>
      <c r="D425" s="1">
        <v>26</v>
      </c>
      <c r="E425" s="1" t="s">
        <v>23</v>
      </c>
      <c r="F425" s="1" t="s">
        <v>41</v>
      </c>
      <c r="G425" s="1" t="s">
        <v>42</v>
      </c>
      <c r="H425" s="1" t="s">
        <v>36</v>
      </c>
      <c r="I425" s="1">
        <v>1303.29</v>
      </c>
      <c r="J425" s="1">
        <v>14707</v>
      </c>
      <c r="K425" s="1">
        <v>3119</v>
      </c>
      <c r="L425" s="1">
        <v>257</v>
      </c>
      <c r="M425" s="1">
        <v>3</v>
      </c>
      <c r="N425" s="1">
        <v>21.207588220000002</v>
      </c>
      <c r="O425" s="1">
        <v>8.2398204550000003</v>
      </c>
      <c r="P425" s="1">
        <f t="shared" si="14"/>
        <v>3</v>
      </c>
      <c r="V425" t="str">
        <f t="shared" si="21"/>
        <v>Top Performer</v>
      </c>
      <c r="W425" t="e" cm="1">
        <f t="array" aca="1" ref="W425" ca="1">_xlfn.IFS(N425&gt;=20, "High",N425&gt;=10, "Medium", N425&lt;10, "Low")</f>
        <v>#NAME?</v>
      </c>
      <c r="X425" t="str">
        <f t="shared" si="22"/>
        <v>High Budget</v>
      </c>
      <c r="Y425" s="7">
        <f>VLOOKUP(G425, Lookup_table!B:C,2,0)</f>
        <v>0.3</v>
      </c>
      <c r="Z425" t="str">
        <f t="shared" si="23"/>
        <v>Inefficient Spend</v>
      </c>
      <c r="AA425" t="str">
        <f>VLOOKUP(H425, Lookup_table!E:F,2,0)</f>
        <v>High</v>
      </c>
    </row>
    <row r="426" spans="1:27" ht="17.5" customHeight="1" x14ac:dyDescent="0.35">
      <c r="A426" s="1" t="s">
        <v>631</v>
      </c>
      <c r="B426" s="2">
        <v>45376</v>
      </c>
      <c r="C426" s="1" t="s">
        <v>582</v>
      </c>
      <c r="D426" s="9">
        <v>41</v>
      </c>
      <c r="E426" s="1" t="s">
        <v>35</v>
      </c>
      <c r="G426" s="1" t="s">
        <v>25</v>
      </c>
      <c r="H426" s="1" t="s">
        <v>32</v>
      </c>
      <c r="I426" s="1">
        <v>1429.08</v>
      </c>
      <c r="J426" s="1">
        <v>42077</v>
      </c>
      <c r="K426" s="1">
        <v>3878</v>
      </c>
      <c r="L426" s="1">
        <v>297</v>
      </c>
      <c r="N426" s="1">
        <v>9.2164365329999995</v>
      </c>
      <c r="O426" s="1">
        <v>7.6585869000000004</v>
      </c>
      <c r="P426" s="1">
        <f t="shared" si="14"/>
        <v>3</v>
      </c>
      <c r="V426" t="str">
        <f t="shared" si="21"/>
        <v>Top Performer</v>
      </c>
      <c r="W426" t="e" cm="1">
        <f t="array" aca="1" ref="W426" ca="1">_xlfn.IFS(N426&gt;=20, "High",N426&gt;=10, "Medium", N426&lt;10, "Low")</f>
        <v>#NAME?</v>
      </c>
      <c r="X426" t="str">
        <f t="shared" si="22"/>
        <v>High Budget</v>
      </c>
      <c r="Y426" s="7">
        <f>VLOOKUP(G426, Lookup_table!B:C,2,0)</f>
        <v>0.5</v>
      </c>
      <c r="Z426" t="str">
        <f t="shared" si="23"/>
        <v>Efficient Spend</v>
      </c>
      <c r="AA426" t="str">
        <f>VLOOKUP(H426, Lookup_table!E:F,2,0)</f>
        <v>Medium</v>
      </c>
    </row>
    <row r="427" spans="1:27" ht="17.5" customHeight="1" x14ac:dyDescent="0.35">
      <c r="A427" s="1" t="s">
        <v>632</v>
      </c>
      <c r="B427" s="2">
        <v>45371</v>
      </c>
      <c r="C427" s="1" t="s">
        <v>540</v>
      </c>
      <c r="D427" s="1">
        <v>49</v>
      </c>
      <c r="E427" s="1" t="s">
        <v>29</v>
      </c>
      <c r="F427" s="1" t="s">
        <v>50</v>
      </c>
      <c r="G427" s="1" t="s">
        <v>31</v>
      </c>
      <c r="H427" s="1" t="s">
        <v>32</v>
      </c>
      <c r="I427" s="1">
        <v>1538.3</v>
      </c>
      <c r="J427" s="1">
        <v>22233</v>
      </c>
      <c r="K427" s="1">
        <v>4466</v>
      </c>
      <c r="L427" s="1">
        <v>98</v>
      </c>
      <c r="M427" s="1">
        <v>1</v>
      </c>
      <c r="N427" s="1">
        <v>20.08725768</v>
      </c>
      <c r="O427" s="1">
        <v>2.1943573669999998</v>
      </c>
      <c r="P427" s="1">
        <f t="shared" si="14"/>
        <v>1</v>
      </c>
      <c r="V427" t="str">
        <f t="shared" si="21"/>
        <v>Low Performer</v>
      </c>
      <c r="W427" t="e" cm="1">
        <f t="array" aca="1" ref="W427" ca="1">_xlfn.IFS(N427&gt;=20, "High",N427&gt;=10, "Medium", N427&lt;10, "Low")</f>
        <v>#NAME?</v>
      </c>
      <c r="X427" t="str">
        <f t="shared" si="22"/>
        <v>High Budget</v>
      </c>
      <c r="Y427" s="7">
        <f>VLOOKUP(G427, Lookup_table!B:C,2,0)</f>
        <v>1.2</v>
      </c>
      <c r="Z427" t="str">
        <f t="shared" si="23"/>
        <v>Efficient Spend</v>
      </c>
      <c r="AA427" t="str">
        <f>VLOOKUP(H427, Lookup_table!E:F,2,0)</f>
        <v>Medium</v>
      </c>
    </row>
    <row r="428" spans="1:27" ht="17.5" customHeight="1" x14ac:dyDescent="0.35">
      <c r="A428" s="1" t="s">
        <v>633</v>
      </c>
      <c r="B428" s="2">
        <v>45292</v>
      </c>
      <c r="C428" s="1" t="s">
        <v>584</v>
      </c>
      <c r="D428" s="1">
        <v>59</v>
      </c>
      <c r="E428" s="1" t="s">
        <v>23</v>
      </c>
      <c r="F428" s="1" t="s">
        <v>30</v>
      </c>
      <c r="G428" s="1" t="s">
        <v>42</v>
      </c>
      <c r="H428" s="1" t="s">
        <v>32</v>
      </c>
      <c r="I428" s="1">
        <v>383.23</v>
      </c>
      <c r="J428" s="1">
        <v>18256</v>
      </c>
      <c r="K428" s="1">
        <v>3150</v>
      </c>
      <c r="L428" s="1">
        <v>207</v>
      </c>
      <c r="M428" s="1">
        <v>1</v>
      </c>
      <c r="N428" s="1">
        <v>17.254601229999999</v>
      </c>
      <c r="O428" s="1">
        <v>6.5714285710000002</v>
      </c>
      <c r="P428" s="1">
        <f t="shared" si="14"/>
        <v>1</v>
      </c>
      <c r="V428" t="str">
        <f t="shared" si="21"/>
        <v>Top Performer</v>
      </c>
      <c r="W428" t="e" cm="1">
        <f t="array" aca="1" ref="W428" ca="1">_xlfn.IFS(N428&gt;=20, "High",N428&gt;=10, "Medium", N428&lt;10, "Low")</f>
        <v>#NAME?</v>
      </c>
      <c r="X428" t="str">
        <f t="shared" si="22"/>
        <v>Low Budget</v>
      </c>
      <c r="Y428" s="7">
        <f>VLOOKUP(G428, Lookup_table!B:C,2,0)</f>
        <v>0.3</v>
      </c>
      <c r="Z428" t="str">
        <f t="shared" si="23"/>
        <v>Efficient Spend</v>
      </c>
      <c r="AA428" t="str">
        <f>VLOOKUP(H428, Lookup_table!E:F,2,0)</f>
        <v>Medium</v>
      </c>
    </row>
    <row r="429" spans="1:27" ht="17.5" customHeight="1" x14ac:dyDescent="0.35">
      <c r="A429" s="1" t="s">
        <v>634</v>
      </c>
      <c r="B429" s="2">
        <v>45518</v>
      </c>
      <c r="C429" s="1" t="s">
        <v>81</v>
      </c>
      <c r="D429" s="1">
        <v>60</v>
      </c>
      <c r="E429" s="1" t="s">
        <v>35</v>
      </c>
      <c r="F429" s="1" t="s">
        <v>45</v>
      </c>
      <c r="G429" s="1" t="s">
        <v>42</v>
      </c>
      <c r="H429" s="1" t="s">
        <v>32</v>
      </c>
      <c r="I429" s="1">
        <v>1491.06</v>
      </c>
      <c r="J429" s="1">
        <v>29925</v>
      </c>
      <c r="K429" s="1">
        <v>4092</v>
      </c>
      <c r="L429" s="1">
        <v>224</v>
      </c>
      <c r="N429" s="1">
        <v>13.67418546</v>
      </c>
      <c r="O429" s="1">
        <v>5.4740957970000004</v>
      </c>
      <c r="P429" s="1">
        <f t="shared" si="14"/>
        <v>3</v>
      </c>
      <c r="V429" t="str">
        <f t="shared" si="21"/>
        <v>Top Performer</v>
      </c>
      <c r="W429" t="e" cm="1">
        <f t="array" aca="1" ref="W429" ca="1">_xlfn.IFS(N429&gt;=20, "High",N429&gt;=10, "Medium", N429&lt;10, "Low")</f>
        <v>#NAME?</v>
      </c>
      <c r="X429" t="str">
        <f t="shared" si="22"/>
        <v>High Budget</v>
      </c>
      <c r="Y429" s="7">
        <f>VLOOKUP(G429, Lookup_table!B:C,2,0)</f>
        <v>0.3</v>
      </c>
      <c r="Z429" t="str">
        <f t="shared" si="23"/>
        <v>Inefficient Spend</v>
      </c>
      <c r="AA429" t="str">
        <f>VLOOKUP(H429, Lookup_table!E:F,2,0)</f>
        <v>Medium</v>
      </c>
    </row>
    <row r="430" spans="1:27" ht="17.5" customHeight="1" x14ac:dyDescent="0.35">
      <c r="A430" s="1" t="s">
        <v>635</v>
      </c>
      <c r="B430" s="2">
        <v>45455</v>
      </c>
      <c r="C430" s="1" t="s">
        <v>212</v>
      </c>
      <c r="D430" s="1">
        <v>42</v>
      </c>
      <c r="E430" s="1" t="s">
        <v>35</v>
      </c>
      <c r="F430" s="1" t="s">
        <v>41</v>
      </c>
      <c r="G430" s="1" t="s">
        <v>61</v>
      </c>
      <c r="H430" s="1" t="s">
        <v>26</v>
      </c>
      <c r="I430" s="1">
        <v>1469.09</v>
      </c>
      <c r="J430" s="1">
        <v>34036</v>
      </c>
      <c r="K430" s="1">
        <v>679</v>
      </c>
      <c r="L430" s="1">
        <v>373</v>
      </c>
      <c r="M430" s="1">
        <v>4</v>
      </c>
      <c r="N430" s="1">
        <v>1.994946527</v>
      </c>
      <c r="O430" s="1">
        <v>54.933726069999999</v>
      </c>
      <c r="P430" s="1">
        <f t="shared" si="14"/>
        <v>4</v>
      </c>
      <c r="V430" t="str">
        <f t="shared" si="21"/>
        <v>Low Performer</v>
      </c>
      <c r="W430" t="e" cm="1">
        <f t="array" aca="1" ref="W430" ca="1">_xlfn.IFS(N430&gt;=20, "High",N430&gt;=10, "Medium", N430&lt;10, "Low")</f>
        <v>#NAME?</v>
      </c>
      <c r="X430" t="str">
        <f t="shared" si="22"/>
        <v>High Budget</v>
      </c>
      <c r="Y430" s="7">
        <f>VLOOKUP(G430, Lookup_table!B:C,2,0)</f>
        <v>0.2</v>
      </c>
      <c r="Z430" t="str">
        <f t="shared" si="23"/>
        <v>Inefficient Spend</v>
      </c>
      <c r="AA430" t="str">
        <f>VLOOKUP(H430, Lookup_table!E:F,2,0)</f>
        <v>High</v>
      </c>
    </row>
    <row r="431" spans="1:27" ht="17.5" customHeight="1" x14ac:dyDescent="0.35">
      <c r="A431" s="1" t="s">
        <v>636</v>
      </c>
      <c r="B431" s="2">
        <v>45411</v>
      </c>
      <c r="C431" s="1" t="s">
        <v>230</v>
      </c>
      <c r="D431" s="1">
        <v>32</v>
      </c>
      <c r="E431" s="1" t="s">
        <v>23</v>
      </c>
      <c r="F431" s="1" t="s">
        <v>41</v>
      </c>
      <c r="G431" s="1" t="s">
        <v>46</v>
      </c>
      <c r="H431" s="1" t="s">
        <v>62</v>
      </c>
      <c r="I431" s="1">
        <v>1796.68</v>
      </c>
      <c r="J431" s="1">
        <v>38895</v>
      </c>
      <c r="K431" s="1">
        <v>2250</v>
      </c>
      <c r="L431" s="1">
        <v>343</v>
      </c>
      <c r="M431" s="1">
        <v>1</v>
      </c>
      <c r="N431" s="1">
        <v>5.7848052450000003</v>
      </c>
      <c r="O431" s="1">
        <v>15.244444440000001</v>
      </c>
      <c r="P431" s="1">
        <f t="shared" si="14"/>
        <v>1</v>
      </c>
      <c r="V431" t="str">
        <f t="shared" si="21"/>
        <v>Average Performer</v>
      </c>
      <c r="W431" t="e" cm="1">
        <f t="array" aca="1" ref="W431" ca="1">_xlfn.IFS(N431&gt;=20, "High",N431&gt;=10, "Medium", N431&lt;10, "Low")</f>
        <v>#NAME?</v>
      </c>
      <c r="X431" t="str">
        <f t="shared" si="22"/>
        <v>High Budget</v>
      </c>
      <c r="Y431" s="7">
        <f>VLOOKUP(G431, Lookup_table!B:C,2,0)</f>
        <v>0.75</v>
      </c>
      <c r="Z431" t="str">
        <f t="shared" si="23"/>
        <v>Inefficient Spend</v>
      </c>
      <c r="AA431" t="str">
        <f>VLOOKUP(H431, Lookup_table!E:F,2,0)</f>
        <v>Medium</v>
      </c>
    </row>
    <row r="432" spans="1:27" ht="17.5" customHeight="1" x14ac:dyDescent="0.35">
      <c r="A432" s="1" t="s">
        <v>637</v>
      </c>
      <c r="B432" s="2">
        <v>45410</v>
      </c>
      <c r="C432" s="1" t="s">
        <v>638</v>
      </c>
      <c r="D432" s="1">
        <v>53</v>
      </c>
      <c r="E432" s="1" t="s">
        <v>23</v>
      </c>
      <c r="F432" s="1" t="s">
        <v>30</v>
      </c>
      <c r="G432" s="1" t="s">
        <v>46</v>
      </c>
      <c r="H432" s="1" t="s">
        <v>26</v>
      </c>
      <c r="I432" s="1">
        <v>668.74</v>
      </c>
      <c r="J432" s="1">
        <v>15423</v>
      </c>
      <c r="K432" s="1">
        <v>746</v>
      </c>
      <c r="L432" s="1">
        <v>67</v>
      </c>
      <c r="M432" s="1">
        <v>4</v>
      </c>
      <c r="N432" s="1">
        <v>4.8369318549999996</v>
      </c>
      <c r="O432" s="1">
        <v>8.9812332440000002</v>
      </c>
      <c r="P432" s="1">
        <f t="shared" si="14"/>
        <v>4</v>
      </c>
      <c r="V432" t="str">
        <f t="shared" si="21"/>
        <v>Low Performer</v>
      </c>
      <c r="W432" t="e" cm="1">
        <f t="array" aca="1" ref="W432" ca="1">_xlfn.IFS(N432&gt;=20, "High",N432&gt;=10, "Medium", N432&lt;10, "Low")</f>
        <v>#NAME?</v>
      </c>
      <c r="X432" t="str">
        <f t="shared" si="22"/>
        <v>Medium Budget</v>
      </c>
      <c r="Y432" s="7">
        <f>VLOOKUP(G432, Lookup_table!B:C,2,0)</f>
        <v>0.75</v>
      </c>
      <c r="Z432" t="str">
        <f t="shared" si="23"/>
        <v>Inefficient Spend</v>
      </c>
      <c r="AA432" t="str">
        <f>VLOOKUP(H432, Lookup_table!E:F,2,0)</f>
        <v>High</v>
      </c>
    </row>
    <row r="433" spans="1:27" ht="17.5" customHeight="1" x14ac:dyDescent="0.35">
      <c r="A433" s="1" t="s">
        <v>639</v>
      </c>
      <c r="B433" s="2">
        <v>45448</v>
      </c>
      <c r="C433" s="1" t="s">
        <v>445</v>
      </c>
      <c r="D433" s="1">
        <v>33</v>
      </c>
      <c r="E433" s="1" t="s">
        <v>35</v>
      </c>
      <c r="F433" s="1" t="s">
        <v>57</v>
      </c>
      <c r="G433" s="1" t="s">
        <v>25</v>
      </c>
      <c r="H433" s="1" t="s">
        <v>36</v>
      </c>
      <c r="I433" s="1">
        <v>1128.6600000000001</v>
      </c>
      <c r="J433" s="1">
        <v>20473</v>
      </c>
      <c r="K433" s="1">
        <v>1022</v>
      </c>
      <c r="L433" s="1">
        <v>377</v>
      </c>
      <c r="M433" s="1">
        <v>1</v>
      </c>
      <c r="N433" s="1">
        <v>4.9919406049999999</v>
      </c>
      <c r="O433" s="1">
        <v>36.888454009999997</v>
      </c>
      <c r="P433" s="1">
        <f t="shared" si="14"/>
        <v>1</v>
      </c>
      <c r="V433" t="str">
        <f t="shared" si="21"/>
        <v>Average Performer</v>
      </c>
      <c r="W433" t="e" cm="1">
        <f t="array" aca="1" ref="W433" ca="1">_xlfn.IFS(N433&gt;=20, "High",N433&gt;=10, "Medium", N433&lt;10, "Low")</f>
        <v>#NAME?</v>
      </c>
      <c r="X433" t="str">
        <f t="shared" si="22"/>
        <v>High Budget</v>
      </c>
      <c r="Y433" s="7">
        <f>VLOOKUP(G433, Lookup_table!B:C,2,0)</f>
        <v>0.5</v>
      </c>
      <c r="Z433" t="str">
        <f t="shared" si="23"/>
        <v>Inefficient Spend</v>
      </c>
      <c r="AA433" t="str">
        <f>VLOOKUP(H433, Lookup_table!E:F,2,0)</f>
        <v>High</v>
      </c>
    </row>
    <row r="434" spans="1:27" ht="17.5" customHeight="1" x14ac:dyDescent="0.35">
      <c r="A434" s="1" t="s">
        <v>640</v>
      </c>
      <c r="B434" s="2">
        <v>45583</v>
      </c>
      <c r="C434" s="1" t="s">
        <v>540</v>
      </c>
      <c r="D434" s="1">
        <v>28</v>
      </c>
      <c r="E434" s="1" t="s">
        <v>23</v>
      </c>
      <c r="F434" s="1" t="s">
        <v>45</v>
      </c>
      <c r="G434" s="1" t="s">
        <v>42</v>
      </c>
      <c r="H434" s="1" t="s">
        <v>26</v>
      </c>
      <c r="I434" s="1">
        <v>449.72</v>
      </c>
      <c r="J434" s="1">
        <v>5991</v>
      </c>
      <c r="K434" s="1">
        <v>4748</v>
      </c>
      <c r="L434" s="1">
        <v>40</v>
      </c>
      <c r="M434" s="1">
        <v>3</v>
      </c>
      <c r="N434" s="1">
        <v>79.252211650000007</v>
      </c>
      <c r="O434" s="1">
        <v>0.84245998300000002</v>
      </c>
      <c r="P434" s="1">
        <f t="shared" si="14"/>
        <v>3</v>
      </c>
      <c r="V434" t="str">
        <f t="shared" si="21"/>
        <v>Low Performer</v>
      </c>
      <c r="W434" t="e" cm="1">
        <f t="array" aca="1" ref="W434" ca="1">_xlfn.IFS(N434&gt;=20, "High",N434&gt;=10, "Medium", N434&lt;10, "Low")</f>
        <v>#NAME?</v>
      </c>
      <c r="X434" t="str">
        <f t="shared" si="22"/>
        <v>Low Budget</v>
      </c>
      <c r="Y434" s="7">
        <f>VLOOKUP(G434, Lookup_table!B:C,2,0)</f>
        <v>0.3</v>
      </c>
      <c r="Z434" t="str">
        <f t="shared" si="23"/>
        <v>Efficient Spend</v>
      </c>
      <c r="AA434" t="str">
        <f>VLOOKUP(H434, Lookup_table!E:F,2,0)</f>
        <v>High</v>
      </c>
    </row>
    <row r="435" spans="1:27" ht="17.5" customHeight="1" x14ac:dyDescent="0.35">
      <c r="A435" s="1" t="s">
        <v>641</v>
      </c>
      <c r="B435" s="2">
        <v>45633</v>
      </c>
      <c r="C435" s="1" t="s">
        <v>642</v>
      </c>
      <c r="D435" s="1">
        <v>51</v>
      </c>
      <c r="E435" s="1" t="s">
        <v>23</v>
      </c>
      <c r="F435" s="1" t="s">
        <v>24</v>
      </c>
      <c r="G435" s="1" t="s">
        <v>31</v>
      </c>
      <c r="H435" s="1" t="s">
        <v>26</v>
      </c>
      <c r="I435" s="1">
        <v>515.24</v>
      </c>
      <c r="J435" s="1">
        <v>31128</v>
      </c>
      <c r="K435" s="1">
        <v>3884</v>
      </c>
      <c r="L435" s="1">
        <v>267</v>
      </c>
      <c r="M435" s="1">
        <v>1</v>
      </c>
      <c r="N435" s="1">
        <v>12.47751221</v>
      </c>
      <c r="O435" s="1">
        <v>6.8743563339999998</v>
      </c>
      <c r="P435" s="1">
        <f t="shared" si="14"/>
        <v>1</v>
      </c>
      <c r="V435" t="str">
        <f t="shared" si="21"/>
        <v>Top Performer</v>
      </c>
      <c r="W435" t="e" cm="1">
        <f t="array" aca="1" ref="W435" ca="1">_xlfn.IFS(N435&gt;=20, "High",N435&gt;=10, "Medium", N435&lt;10, "Low")</f>
        <v>#NAME?</v>
      </c>
      <c r="X435" t="str">
        <f t="shared" si="22"/>
        <v>Medium Budget</v>
      </c>
      <c r="Y435" s="7">
        <f>VLOOKUP(G435, Lookup_table!B:C,2,0)</f>
        <v>1.2</v>
      </c>
      <c r="Z435" t="str">
        <f t="shared" si="23"/>
        <v>Efficient Spend</v>
      </c>
      <c r="AA435" t="str">
        <f>VLOOKUP(H435, Lookup_table!E:F,2,0)</f>
        <v>High</v>
      </c>
    </row>
    <row r="436" spans="1:27" ht="17.5" customHeight="1" x14ac:dyDescent="0.35">
      <c r="A436" s="1" t="s">
        <v>643</v>
      </c>
      <c r="B436" s="2">
        <v>45465</v>
      </c>
      <c r="C436" s="1" t="s">
        <v>315</v>
      </c>
      <c r="D436" s="1">
        <v>28</v>
      </c>
      <c r="E436" s="1" t="s">
        <v>35</v>
      </c>
      <c r="F436" s="1" t="s">
        <v>24</v>
      </c>
      <c r="G436" s="1" t="s">
        <v>25</v>
      </c>
      <c r="H436" s="1" t="s">
        <v>32</v>
      </c>
      <c r="I436" s="1">
        <v>543.04</v>
      </c>
      <c r="J436" s="1">
        <v>49876</v>
      </c>
      <c r="K436" s="1">
        <v>1029</v>
      </c>
      <c r="L436" s="1">
        <v>209</v>
      </c>
      <c r="M436" s="1">
        <v>3</v>
      </c>
      <c r="N436" s="1">
        <v>2.0631165290000002</v>
      </c>
      <c r="O436" s="1">
        <v>20.31098154</v>
      </c>
      <c r="P436" s="1">
        <f t="shared" si="14"/>
        <v>3</v>
      </c>
      <c r="V436" t="str">
        <f t="shared" si="21"/>
        <v>Average Performer</v>
      </c>
      <c r="W436" t="e" cm="1">
        <f t="array" aca="1" ref="W436" ca="1">_xlfn.IFS(N436&gt;=20, "High",N436&gt;=10, "Medium", N436&lt;10, "Low")</f>
        <v>#NAME?</v>
      </c>
      <c r="X436" t="str">
        <f t="shared" si="22"/>
        <v>Medium Budget</v>
      </c>
      <c r="Y436" s="7">
        <f>VLOOKUP(G436, Lookup_table!B:C,2,0)</f>
        <v>0.5</v>
      </c>
      <c r="Z436" t="str">
        <f t="shared" si="23"/>
        <v>Inefficient Spend</v>
      </c>
      <c r="AA436" t="str">
        <f>VLOOKUP(H436, Lookup_table!E:F,2,0)</f>
        <v>Medium</v>
      </c>
    </row>
    <row r="437" spans="1:27" ht="17.5" customHeight="1" x14ac:dyDescent="0.35">
      <c r="A437" s="1" t="s">
        <v>644</v>
      </c>
      <c r="B437" s="2">
        <v>45636</v>
      </c>
      <c r="C437" s="1" t="s">
        <v>406</v>
      </c>
      <c r="D437" s="1">
        <v>60</v>
      </c>
      <c r="E437" s="1" t="s">
        <v>35</v>
      </c>
      <c r="F437" s="1" t="s">
        <v>57</v>
      </c>
      <c r="G437" s="1" t="s">
        <v>25</v>
      </c>
      <c r="H437" s="1" t="s">
        <v>26</v>
      </c>
      <c r="I437" s="1">
        <v>782.39</v>
      </c>
      <c r="J437" s="1">
        <v>7643</v>
      </c>
      <c r="K437" s="1">
        <v>272</v>
      </c>
      <c r="L437" s="1">
        <v>192</v>
      </c>
      <c r="N437" s="1">
        <v>3.5588119850000002</v>
      </c>
      <c r="O437" s="1">
        <v>70.58823529</v>
      </c>
      <c r="P437" s="1">
        <f t="shared" si="14"/>
        <v>3</v>
      </c>
      <c r="V437" t="str">
        <f t="shared" si="21"/>
        <v>Low Performer</v>
      </c>
      <c r="W437" t="e" cm="1">
        <f t="array" aca="1" ref="W437" ca="1">_xlfn.IFS(N437&gt;=20, "High",N437&gt;=10, "Medium", N437&lt;10, "Low")</f>
        <v>#NAME?</v>
      </c>
      <c r="X437" t="str">
        <f t="shared" si="22"/>
        <v>Medium Budget</v>
      </c>
      <c r="Y437" s="7">
        <f>VLOOKUP(G437, Lookup_table!B:C,2,0)</f>
        <v>0.5</v>
      </c>
      <c r="Z437" t="str">
        <f t="shared" si="23"/>
        <v>Inefficient Spend</v>
      </c>
      <c r="AA437" t="str">
        <f>VLOOKUP(H437, Lookup_table!E:F,2,0)</f>
        <v>High</v>
      </c>
    </row>
    <row r="438" spans="1:27" ht="17.5" customHeight="1" x14ac:dyDescent="0.35">
      <c r="A438" s="1" t="s">
        <v>645</v>
      </c>
      <c r="B438" s="2">
        <v>45506</v>
      </c>
      <c r="C438" s="1" t="s">
        <v>456</v>
      </c>
      <c r="D438" s="9">
        <v>41</v>
      </c>
      <c r="E438" s="1" t="s">
        <v>23</v>
      </c>
      <c r="G438" s="1" t="s">
        <v>25</v>
      </c>
      <c r="H438" s="1" t="s">
        <v>62</v>
      </c>
      <c r="I438" s="1">
        <v>85.16</v>
      </c>
      <c r="J438" s="1">
        <v>28135</v>
      </c>
      <c r="K438" s="1">
        <v>1898</v>
      </c>
      <c r="L438" s="1">
        <v>27</v>
      </c>
      <c r="N438" s="1">
        <v>6.7460458499999998</v>
      </c>
      <c r="O438" s="1">
        <v>1.4225500529999999</v>
      </c>
      <c r="P438" s="1">
        <f t="shared" si="14"/>
        <v>3</v>
      </c>
      <c r="V438" t="str">
        <f t="shared" si="21"/>
        <v>Low Performer</v>
      </c>
      <c r="W438" t="e" cm="1">
        <f t="array" aca="1" ref="W438" ca="1">_xlfn.IFS(N438&gt;=20, "High",N438&gt;=10, "Medium", N438&lt;10, "Low")</f>
        <v>#NAME?</v>
      </c>
      <c r="X438" t="str">
        <f t="shared" si="22"/>
        <v>Low Budget</v>
      </c>
      <c r="Y438" s="7">
        <f>VLOOKUP(G438, Lookup_table!B:C,2,0)</f>
        <v>0.5</v>
      </c>
      <c r="Z438" t="str">
        <f t="shared" si="23"/>
        <v>Efficient Spend</v>
      </c>
      <c r="AA438" t="str">
        <f>VLOOKUP(H438, Lookup_table!E:F,2,0)</f>
        <v>Medium</v>
      </c>
    </row>
    <row r="439" spans="1:27" ht="17.5" customHeight="1" x14ac:dyDescent="0.35">
      <c r="A439" s="1" t="s">
        <v>646</v>
      </c>
      <c r="B439" s="2">
        <v>45379</v>
      </c>
      <c r="C439" s="1" t="s">
        <v>238</v>
      </c>
      <c r="D439" s="1">
        <v>62</v>
      </c>
      <c r="E439" s="1" t="s">
        <v>29</v>
      </c>
      <c r="F439" s="1" t="s">
        <v>30</v>
      </c>
      <c r="G439" s="1" t="s">
        <v>31</v>
      </c>
      <c r="H439" s="1" t="s">
        <v>26</v>
      </c>
      <c r="I439" s="1">
        <v>1232.28</v>
      </c>
      <c r="J439" s="1">
        <v>5473</v>
      </c>
      <c r="K439" s="1">
        <v>2836</v>
      </c>
      <c r="L439" s="1">
        <v>119</v>
      </c>
      <c r="M439" s="1">
        <v>5</v>
      </c>
      <c r="N439" s="1">
        <v>51.818015709999997</v>
      </c>
      <c r="O439" s="1">
        <v>4.1960507759999999</v>
      </c>
      <c r="P439" s="1">
        <f t="shared" si="14"/>
        <v>5</v>
      </c>
      <c r="V439" t="str">
        <f t="shared" si="21"/>
        <v>Average Performer</v>
      </c>
      <c r="W439" t="e" cm="1">
        <f t="array" aca="1" ref="W439" ca="1">_xlfn.IFS(N439&gt;=20, "High",N439&gt;=10, "Medium", N439&lt;10, "Low")</f>
        <v>#NAME?</v>
      </c>
      <c r="X439" t="str">
        <f t="shared" si="22"/>
        <v>High Budget</v>
      </c>
      <c r="Y439" s="7">
        <f>VLOOKUP(G439, Lookup_table!B:C,2,0)</f>
        <v>1.2</v>
      </c>
      <c r="Z439" t="str">
        <f t="shared" si="23"/>
        <v>Efficient Spend</v>
      </c>
      <c r="AA439" t="str">
        <f>VLOOKUP(H439, Lookup_table!E:F,2,0)</f>
        <v>High</v>
      </c>
    </row>
    <row r="440" spans="1:27" ht="17.5" customHeight="1" x14ac:dyDescent="0.35">
      <c r="A440" s="1" t="s">
        <v>647</v>
      </c>
      <c r="B440" s="2">
        <v>45535</v>
      </c>
      <c r="C440" s="1" t="s">
        <v>256</v>
      </c>
      <c r="D440" s="1">
        <v>47</v>
      </c>
      <c r="E440" s="1" t="s">
        <v>23</v>
      </c>
      <c r="F440" s="1" t="s">
        <v>30</v>
      </c>
      <c r="G440" s="1" t="s">
        <v>25</v>
      </c>
      <c r="H440" s="1" t="s">
        <v>62</v>
      </c>
      <c r="I440" s="1">
        <v>575.39</v>
      </c>
      <c r="J440" s="1">
        <v>35157</v>
      </c>
      <c r="K440" s="1">
        <v>2313</v>
      </c>
      <c r="L440" s="1">
        <v>156</v>
      </c>
      <c r="M440" s="1">
        <v>3</v>
      </c>
      <c r="N440" s="1">
        <v>6.5790596470000002</v>
      </c>
      <c r="O440" s="1">
        <v>6.7444876779999996</v>
      </c>
      <c r="P440" s="1">
        <f t="shared" si="14"/>
        <v>3</v>
      </c>
      <c r="V440" t="str">
        <f t="shared" si="21"/>
        <v>Average Performer</v>
      </c>
      <c r="W440" t="e" cm="1">
        <f t="array" aca="1" ref="W440" ca="1">_xlfn.IFS(N440&gt;=20, "High",N440&gt;=10, "Medium", N440&lt;10, "Low")</f>
        <v>#NAME?</v>
      </c>
      <c r="X440" t="str">
        <f t="shared" si="22"/>
        <v>Medium Budget</v>
      </c>
      <c r="Y440" s="7">
        <f>VLOOKUP(G440, Lookup_table!B:C,2,0)</f>
        <v>0.5</v>
      </c>
      <c r="Z440" t="str">
        <f t="shared" si="23"/>
        <v>Efficient Spend</v>
      </c>
      <c r="AA440" t="str">
        <f>VLOOKUP(H440, Lookup_table!E:F,2,0)</f>
        <v>Medium</v>
      </c>
    </row>
    <row r="441" spans="1:27" ht="17.5" customHeight="1" x14ac:dyDescent="0.35">
      <c r="A441" s="1" t="s">
        <v>648</v>
      </c>
      <c r="B441" s="2">
        <v>45303</v>
      </c>
      <c r="C441" s="1" t="s">
        <v>584</v>
      </c>
      <c r="D441" s="1">
        <v>49</v>
      </c>
      <c r="E441" s="1" t="s">
        <v>29</v>
      </c>
      <c r="F441" s="1" t="s">
        <v>41</v>
      </c>
      <c r="G441" s="1" t="s">
        <v>61</v>
      </c>
      <c r="H441" s="1" t="s">
        <v>62</v>
      </c>
      <c r="I441" s="1">
        <v>259.99</v>
      </c>
      <c r="J441" s="1">
        <v>42594</v>
      </c>
      <c r="K441" s="1">
        <v>1184</v>
      </c>
      <c r="L441" s="1">
        <v>262</v>
      </c>
      <c r="M441" s="1">
        <v>1</v>
      </c>
      <c r="N441" s="1">
        <v>2.7797342349999998</v>
      </c>
      <c r="O441" s="1">
        <v>22.128378380000001</v>
      </c>
      <c r="P441" s="1">
        <f t="shared" si="14"/>
        <v>1</v>
      </c>
      <c r="V441" t="str">
        <f t="shared" si="21"/>
        <v>Average Performer</v>
      </c>
      <c r="W441" t="e" cm="1">
        <f t="array" aca="1" ref="W441" ca="1">_xlfn.IFS(N441&gt;=20, "High",N441&gt;=10, "Medium", N441&lt;10, "Low")</f>
        <v>#NAME?</v>
      </c>
      <c r="X441" t="str">
        <f t="shared" si="22"/>
        <v>Low Budget</v>
      </c>
      <c r="Y441" s="7">
        <f>VLOOKUP(G441, Lookup_table!B:C,2,0)</f>
        <v>0.2</v>
      </c>
      <c r="Z441" t="str">
        <f t="shared" si="23"/>
        <v>Inefficient Spend</v>
      </c>
      <c r="AA441" t="str">
        <f>VLOOKUP(H441, Lookup_table!E:F,2,0)</f>
        <v>Medium</v>
      </c>
    </row>
    <row r="442" spans="1:27" ht="17.5" customHeight="1" x14ac:dyDescent="0.35">
      <c r="A442" s="1" t="s">
        <v>649</v>
      </c>
      <c r="B442" s="2">
        <v>45614</v>
      </c>
      <c r="C442" s="1" t="s">
        <v>483</v>
      </c>
      <c r="D442" s="1">
        <v>26</v>
      </c>
      <c r="E442" s="1" t="s">
        <v>29</v>
      </c>
      <c r="F442" s="1" t="s">
        <v>24</v>
      </c>
      <c r="G442" s="1" t="s">
        <v>31</v>
      </c>
      <c r="H442" s="1" t="s">
        <v>62</v>
      </c>
      <c r="I442" s="1">
        <v>1967.33</v>
      </c>
      <c r="J442" s="1">
        <v>9594</v>
      </c>
      <c r="K442" s="1">
        <v>777</v>
      </c>
      <c r="L442" s="1">
        <v>163</v>
      </c>
      <c r="N442" s="1">
        <v>8.098811757</v>
      </c>
      <c r="O442" s="1">
        <v>20.97812098</v>
      </c>
      <c r="P442" s="1">
        <f t="shared" si="14"/>
        <v>3</v>
      </c>
      <c r="V442" t="str">
        <f t="shared" si="21"/>
        <v>Low Performer</v>
      </c>
      <c r="W442" t="e" cm="1">
        <f t="array" aca="1" ref="W442" ca="1">_xlfn.IFS(N442&gt;=20, "High",N442&gt;=10, "Medium", N442&lt;10, "Low")</f>
        <v>#NAME?</v>
      </c>
      <c r="X442" t="str">
        <f t="shared" si="22"/>
        <v>High Budget</v>
      </c>
      <c r="Y442" s="7">
        <f>VLOOKUP(G442, Lookup_table!B:C,2,0)</f>
        <v>1.2</v>
      </c>
      <c r="Z442" t="str">
        <f t="shared" si="23"/>
        <v>Inefficient Spend</v>
      </c>
      <c r="AA442" t="str">
        <f>VLOOKUP(H442, Lookup_table!E:F,2,0)</f>
        <v>Medium</v>
      </c>
    </row>
    <row r="443" spans="1:27" ht="17.5" customHeight="1" x14ac:dyDescent="0.35">
      <c r="A443" s="1" t="s">
        <v>650</v>
      </c>
      <c r="B443" s="2">
        <v>45385</v>
      </c>
      <c r="C443" s="1" t="s">
        <v>150</v>
      </c>
      <c r="D443" s="1">
        <v>61</v>
      </c>
      <c r="E443" s="1" t="s">
        <v>35</v>
      </c>
      <c r="F443" s="1" t="s">
        <v>24</v>
      </c>
      <c r="G443" s="1" t="s">
        <v>42</v>
      </c>
      <c r="H443" s="1" t="s">
        <v>32</v>
      </c>
      <c r="I443" s="1">
        <v>1381.91</v>
      </c>
      <c r="J443" s="1">
        <v>38920</v>
      </c>
      <c r="K443" s="1">
        <v>249</v>
      </c>
      <c r="L443" s="1">
        <v>124</v>
      </c>
      <c r="M443" s="1">
        <v>3</v>
      </c>
      <c r="N443" s="1">
        <v>0.63977389500000004</v>
      </c>
      <c r="O443" s="1">
        <v>49.799196790000003</v>
      </c>
      <c r="P443" s="1">
        <f t="shared" si="14"/>
        <v>3</v>
      </c>
      <c r="V443" t="str">
        <f t="shared" si="21"/>
        <v>Low Performer</v>
      </c>
      <c r="W443" t="e" cm="1">
        <f t="array" aca="1" ref="W443" ca="1">_xlfn.IFS(N443&gt;=20, "High",N443&gt;=10, "Medium", N443&lt;10, "Low")</f>
        <v>#NAME?</v>
      </c>
      <c r="X443" t="str">
        <f t="shared" si="22"/>
        <v>High Budget</v>
      </c>
      <c r="Y443" s="7">
        <f>VLOOKUP(G443, Lookup_table!B:C,2,0)</f>
        <v>0.3</v>
      </c>
      <c r="Z443" t="str">
        <f t="shared" si="23"/>
        <v>Inefficient Spend</v>
      </c>
      <c r="AA443" t="str">
        <f>VLOOKUP(H443, Lookup_table!E:F,2,0)</f>
        <v>Medium</v>
      </c>
    </row>
    <row r="444" spans="1:27" ht="17.5" customHeight="1" x14ac:dyDescent="0.35">
      <c r="A444" s="1" t="s">
        <v>651</v>
      </c>
      <c r="B444" s="2">
        <v>45651</v>
      </c>
      <c r="C444" s="1" t="s">
        <v>414</v>
      </c>
      <c r="D444" s="1">
        <v>26</v>
      </c>
      <c r="E444" s="1" t="s">
        <v>23</v>
      </c>
      <c r="F444" s="1" t="s">
        <v>57</v>
      </c>
      <c r="G444" s="1" t="s">
        <v>31</v>
      </c>
      <c r="H444" s="1" t="s">
        <v>62</v>
      </c>
      <c r="I444" s="1">
        <v>1123.6099999999999</v>
      </c>
      <c r="J444" s="1">
        <v>5615</v>
      </c>
      <c r="K444" s="1">
        <v>1134</v>
      </c>
      <c r="L444" s="1">
        <v>230</v>
      </c>
      <c r="N444" s="1">
        <v>20.195903829999999</v>
      </c>
      <c r="O444" s="1">
        <v>20.28218695</v>
      </c>
      <c r="P444" s="1">
        <f t="shared" si="14"/>
        <v>3</v>
      </c>
      <c r="V444" t="str">
        <f t="shared" si="21"/>
        <v>Average Performer</v>
      </c>
      <c r="W444" t="e" cm="1">
        <f t="array" aca="1" ref="W444" ca="1">_xlfn.IFS(N444&gt;=20, "High",N444&gt;=10, "Medium", N444&lt;10, "Low")</f>
        <v>#NAME?</v>
      </c>
      <c r="X444" t="str">
        <f t="shared" si="22"/>
        <v>High Budget</v>
      </c>
      <c r="Y444" s="7">
        <f>VLOOKUP(G444, Lookup_table!B:C,2,0)</f>
        <v>1.2</v>
      </c>
      <c r="Z444" t="str">
        <f t="shared" si="23"/>
        <v>Efficient Spend</v>
      </c>
      <c r="AA444" t="str">
        <f>VLOOKUP(H444, Lookup_table!E:F,2,0)</f>
        <v>Medium</v>
      </c>
    </row>
    <row r="445" spans="1:27" ht="17.5" customHeight="1" x14ac:dyDescent="0.35">
      <c r="A445" s="1" t="s">
        <v>652</v>
      </c>
      <c r="B445" s="2">
        <v>45653</v>
      </c>
      <c r="C445" s="1" t="s">
        <v>162</v>
      </c>
      <c r="D445" s="1">
        <v>41</v>
      </c>
      <c r="E445" s="1" t="s">
        <v>29</v>
      </c>
      <c r="F445" s="1" t="s">
        <v>50</v>
      </c>
      <c r="G445" s="1" t="s">
        <v>46</v>
      </c>
      <c r="H445" s="1" t="s">
        <v>62</v>
      </c>
      <c r="I445" s="1">
        <v>633.01</v>
      </c>
      <c r="J445" s="1">
        <v>32820</v>
      </c>
      <c r="K445" s="1">
        <v>4017</v>
      </c>
      <c r="L445" s="1">
        <v>366</v>
      </c>
      <c r="M445" s="1">
        <v>5</v>
      </c>
      <c r="N445" s="1">
        <v>12.239488120000001</v>
      </c>
      <c r="O445" s="1">
        <v>9.111277072</v>
      </c>
      <c r="P445" s="1">
        <f t="shared" si="14"/>
        <v>5</v>
      </c>
      <c r="V445" t="str">
        <f t="shared" si="21"/>
        <v>Top Performer</v>
      </c>
      <c r="W445" t="e" cm="1">
        <f t="array" aca="1" ref="W445" ca="1">_xlfn.IFS(N445&gt;=20, "High",N445&gt;=10, "Medium", N445&lt;10, "Low")</f>
        <v>#NAME?</v>
      </c>
      <c r="X445" t="str">
        <f t="shared" si="22"/>
        <v>Medium Budget</v>
      </c>
      <c r="Y445" s="7">
        <f>VLOOKUP(G445, Lookup_table!B:C,2,0)</f>
        <v>0.75</v>
      </c>
      <c r="Z445" t="str">
        <f t="shared" si="23"/>
        <v>Efficient Spend</v>
      </c>
      <c r="AA445" t="str">
        <f>VLOOKUP(H445, Lookup_table!E:F,2,0)</f>
        <v>Medium</v>
      </c>
    </row>
    <row r="446" spans="1:27" ht="17.5" customHeight="1" x14ac:dyDescent="0.35">
      <c r="A446" s="1" t="s">
        <v>653</v>
      </c>
      <c r="B446" s="2">
        <v>45602</v>
      </c>
      <c r="C446" s="1" t="s">
        <v>654</v>
      </c>
      <c r="D446" s="1">
        <v>54</v>
      </c>
      <c r="E446" s="1" t="s">
        <v>29</v>
      </c>
      <c r="F446" s="1" t="s">
        <v>24</v>
      </c>
      <c r="G446" s="1" t="s">
        <v>46</v>
      </c>
      <c r="H446" s="1" t="s">
        <v>36</v>
      </c>
      <c r="I446" s="1">
        <v>1183.31</v>
      </c>
      <c r="J446" s="1">
        <v>14477</v>
      </c>
      <c r="K446" s="1">
        <v>3466</v>
      </c>
      <c r="L446" s="1">
        <v>306</v>
      </c>
      <c r="M446" s="1">
        <v>5</v>
      </c>
      <c r="N446" s="1">
        <v>23.94142433</v>
      </c>
      <c r="O446" s="1">
        <v>8.8286208889999997</v>
      </c>
      <c r="P446" s="1">
        <f t="shared" si="14"/>
        <v>5</v>
      </c>
      <c r="V446" t="str">
        <f t="shared" si="21"/>
        <v>Top Performer</v>
      </c>
      <c r="W446" t="e" cm="1">
        <f t="array" aca="1" ref="W446" ca="1">_xlfn.IFS(N446&gt;=20, "High",N446&gt;=10, "Medium", N446&lt;10, "Low")</f>
        <v>#NAME?</v>
      </c>
      <c r="X446" t="str">
        <f t="shared" si="22"/>
        <v>High Budget</v>
      </c>
      <c r="Y446" s="7">
        <f>VLOOKUP(G446, Lookup_table!B:C,2,0)</f>
        <v>0.75</v>
      </c>
      <c r="Z446" t="str">
        <f t="shared" si="23"/>
        <v>Efficient Spend</v>
      </c>
      <c r="AA446" t="str">
        <f>VLOOKUP(H446, Lookup_table!E:F,2,0)</f>
        <v>High</v>
      </c>
    </row>
    <row r="447" spans="1:27" ht="17.5" customHeight="1" x14ac:dyDescent="0.35">
      <c r="A447" s="1" t="s">
        <v>655</v>
      </c>
      <c r="B447" s="2">
        <v>45462</v>
      </c>
      <c r="C447" s="1" t="s">
        <v>570</v>
      </c>
      <c r="D447" s="1">
        <v>34</v>
      </c>
      <c r="E447" s="1" t="s">
        <v>35</v>
      </c>
      <c r="F447" s="1" t="s">
        <v>50</v>
      </c>
      <c r="G447" s="1" t="s">
        <v>42</v>
      </c>
      <c r="H447" s="1" t="s">
        <v>32</v>
      </c>
      <c r="I447" s="1">
        <v>1236.26</v>
      </c>
      <c r="J447" s="1">
        <v>18572</v>
      </c>
      <c r="K447" s="1">
        <v>3925</v>
      </c>
      <c r="L447" s="1">
        <v>273</v>
      </c>
      <c r="M447" s="1">
        <v>5</v>
      </c>
      <c r="N447" s="1">
        <v>21.133965109999998</v>
      </c>
      <c r="O447" s="1">
        <v>6.9554140130000004</v>
      </c>
      <c r="P447" s="1">
        <f t="shared" si="14"/>
        <v>5</v>
      </c>
      <c r="V447" t="str">
        <f t="shared" si="21"/>
        <v>Top Performer</v>
      </c>
      <c r="W447" t="e" cm="1">
        <f t="array" aca="1" ref="W447" ca="1">_xlfn.IFS(N447&gt;=20, "High",N447&gt;=10, "Medium", N447&lt;10, "Low")</f>
        <v>#NAME?</v>
      </c>
      <c r="X447" t="str">
        <f t="shared" si="22"/>
        <v>High Budget</v>
      </c>
      <c r="Y447" s="7">
        <f>VLOOKUP(G447, Lookup_table!B:C,2,0)</f>
        <v>0.3</v>
      </c>
      <c r="Z447" t="str">
        <f t="shared" si="23"/>
        <v>Inefficient Spend</v>
      </c>
      <c r="AA447" t="str">
        <f>VLOOKUP(H447, Lookup_table!E:F,2,0)</f>
        <v>Medium</v>
      </c>
    </row>
    <row r="448" spans="1:27" ht="17.5" customHeight="1" x14ac:dyDescent="0.35">
      <c r="A448" s="1" t="s">
        <v>656</v>
      </c>
      <c r="B448" s="2">
        <v>45542</v>
      </c>
      <c r="C448" s="1" t="s">
        <v>324</v>
      </c>
      <c r="D448" s="1">
        <v>23</v>
      </c>
      <c r="E448" s="1" t="s">
        <v>35</v>
      </c>
      <c r="F448" s="1" t="s">
        <v>24</v>
      </c>
      <c r="G448" s="1" t="s">
        <v>42</v>
      </c>
      <c r="H448" s="1" t="s">
        <v>62</v>
      </c>
      <c r="I448" s="1">
        <v>511.94</v>
      </c>
      <c r="J448" s="1">
        <v>20598</v>
      </c>
      <c r="K448" s="1">
        <v>3841</v>
      </c>
      <c r="L448" s="1">
        <v>99</v>
      </c>
      <c r="M448" s="1">
        <v>3</v>
      </c>
      <c r="N448" s="1">
        <v>18.647441499999999</v>
      </c>
      <c r="O448" s="1">
        <v>2.5774537880000001</v>
      </c>
      <c r="P448" s="1">
        <f t="shared" si="14"/>
        <v>3</v>
      </c>
      <c r="V448" t="str">
        <f t="shared" si="21"/>
        <v>Low Performer</v>
      </c>
      <c r="W448" t="e" cm="1">
        <f t="array" aca="1" ref="W448" ca="1">_xlfn.IFS(N448&gt;=20, "High",N448&gt;=10, "Medium", N448&lt;10, "Low")</f>
        <v>#NAME?</v>
      </c>
      <c r="X448" t="str">
        <f t="shared" si="22"/>
        <v>Medium Budget</v>
      </c>
      <c r="Y448" s="7">
        <f>VLOOKUP(G448, Lookup_table!B:C,2,0)</f>
        <v>0.3</v>
      </c>
      <c r="Z448" t="str">
        <f t="shared" si="23"/>
        <v>Efficient Spend</v>
      </c>
      <c r="AA448" t="str">
        <f>VLOOKUP(H448, Lookup_table!E:F,2,0)</f>
        <v>Medium</v>
      </c>
    </row>
    <row r="449" spans="1:27" ht="17.5" customHeight="1" x14ac:dyDescent="0.35">
      <c r="A449" s="1" t="s">
        <v>657</v>
      </c>
      <c r="B449" s="2">
        <v>45458</v>
      </c>
      <c r="C449" s="1" t="s">
        <v>658</v>
      </c>
      <c r="D449" s="1">
        <v>49</v>
      </c>
      <c r="E449" s="1" t="s">
        <v>23</v>
      </c>
      <c r="F449" s="1" t="s">
        <v>41</v>
      </c>
      <c r="G449" s="1" t="s">
        <v>46</v>
      </c>
      <c r="H449" s="1" t="s">
        <v>26</v>
      </c>
      <c r="I449" s="1">
        <v>90.85</v>
      </c>
      <c r="J449" s="1">
        <v>16084</v>
      </c>
      <c r="K449" s="1">
        <v>3568</v>
      </c>
      <c r="L449" s="1">
        <v>66</v>
      </c>
      <c r="M449" s="1">
        <v>4</v>
      </c>
      <c r="N449" s="1">
        <v>22.18353643</v>
      </c>
      <c r="O449" s="1">
        <v>1.8497757850000001</v>
      </c>
      <c r="P449" s="1">
        <f t="shared" si="14"/>
        <v>4</v>
      </c>
      <c r="V449" t="str">
        <f t="shared" si="21"/>
        <v>Low Performer</v>
      </c>
      <c r="W449" t="e" cm="1">
        <f t="array" aca="1" ref="W449" ca="1">_xlfn.IFS(N449&gt;=20, "High",N449&gt;=10, "Medium", N449&lt;10, "Low")</f>
        <v>#NAME?</v>
      </c>
      <c r="X449" t="str">
        <f t="shared" si="22"/>
        <v>Low Budget</v>
      </c>
      <c r="Y449" s="7">
        <f>VLOOKUP(G449, Lookup_table!B:C,2,0)</f>
        <v>0.75</v>
      </c>
      <c r="Z449" t="str">
        <f t="shared" si="23"/>
        <v>Efficient Spend</v>
      </c>
      <c r="AA449" t="str">
        <f>VLOOKUP(H449, Lookup_table!E:F,2,0)</f>
        <v>High</v>
      </c>
    </row>
    <row r="450" spans="1:27" ht="17.5" customHeight="1" x14ac:dyDescent="0.35">
      <c r="A450" s="1" t="s">
        <v>659</v>
      </c>
      <c r="B450" s="2">
        <v>45382</v>
      </c>
      <c r="C450" s="1" t="s">
        <v>660</v>
      </c>
      <c r="D450" s="1">
        <v>60</v>
      </c>
      <c r="E450" s="1" t="s">
        <v>23</v>
      </c>
      <c r="F450" s="1" t="s">
        <v>57</v>
      </c>
      <c r="G450" s="1" t="s">
        <v>25</v>
      </c>
      <c r="H450" s="1" t="s">
        <v>36</v>
      </c>
      <c r="I450" s="1">
        <v>135.41</v>
      </c>
      <c r="J450" s="1">
        <v>5520</v>
      </c>
      <c r="K450" s="1">
        <v>556</v>
      </c>
      <c r="L450" s="1">
        <v>227</v>
      </c>
      <c r="M450" s="1">
        <v>2</v>
      </c>
      <c r="N450" s="1">
        <v>10.072463770000001</v>
      </c>
      <c r="O450" s="1">
        <v>40.827338130000001</v>
      </c>
      <c r="P450" s="1">
        <f t="shared" si="14"/>
        <v>2</v>
      </c>
      <c r="V450" t="str">
        <f t="shared" ref="V450:V501" si="24">IF(AND(L450&gt;200,K450&gt;3000),"Top Performer", IF(AND(L450&gt;=100,K450&gt;=1000),"Average Performer","Low Performer"))</f>
        <v>Low Performer</v>
      </c>
      <c r="W450" t="e" cm="1">
        <f t="array" aca="1" ref="W450" ca="1">_xlfn.IFS(N450&gt;=20, "High",N450&gt;=10, "Medium", N450&lt;10, "Low")</f>
        <v>#NAME?</v>
      </c>
      <c r="X450" t="str">
        <f t="shared" ref="X450:X501" si="25">IF(I450&gt;1000, "High Budget",IF(I450&gt;=500, "Medium Budget", "Low Budget"))</f>
        <v>Low Budget</v>
      </c>
      <c r="Y450" s="7">
        <f>VLOOKUP(G450, Lookup_table!B:C,2,0)</f>
        <v>0.5</v>
      </c>
      <c r="Z450" t="str">
        <f t="shared" ref="Z450:Z501" si="26">IF(I450/K450&lt;Y450, "Efficient Spend", "Inefficient Spend")</f>
        <v>Efficient Spend</v>
      </c>
      <c r="AA450" t="str">
        <f>VLOOKUP(H450, Lookup_table!E:F,2,0)</f>
        <v>High</v>
      </c>
    </row>
    <row r="451" spans="1:27" ht="17.5" customHeight="1" x14ac:dyDescent="0.35">
      <c r="A451" s="1" t="s">
        <v>661</v>
      </c>
      <c r="B451" s="2">
        <v>45437</v>
      </c>
      <c r="C451" s="1" t="s">
        <v>423</v>
      </c>
      <c r="D451" s="1">
        <v>30</v>
      </c>
      <c r="E451" s="1" t="s">
        <v>23</v>
      </c>
      <c r="F451" s="1" t="s">
        <v>57</v>
      </c>
      <c r="G451" s="1" t="s">
        <v>31</v>
      </c>
      <c r="H451" s="1" t="s">
        <v>36</v>
      </c>
      <c r="I451" s="1">
        <v>477.25</v>
      </c>
      <c r="J451" s="1">
        <v>46902</v>
      </c>
      <c r="K451" s="1">
        <v>2366</v>
      </c>
      <c r="L451" s="1">
        <v>12</v>
      </c>
      <c r="N451" s="1">
        <v>5.0445609999999999</v>
      </c>
      <c r="O451" s="1">
        <v>0.50718512299999996</v>
      </c>
      <c r="P451" s="1">
        <f t="shared" si="14"/>
        <v>3</v>
      </c>
      <c r="V451" t="str">
        <f t="shared" si="24"/>
        <v>Low Performer</v>
      </c>
      <c r="W451" t="e" cm="1">
        <f t="array" aca="1" ref="W451" ca="1">_xlfn.IFS(N451&gt;=20, "High",N451&gt;=10, "Medium", N451&lt;10, "Low")</f>
        <v>#NAME?</v>
      </c>
      <c r="X451" t="str">
        <f t="shared" si="25"/>
        <v>Low Budget</v>
      </c>
      <c r="Y451" s="7">
        <f>VLOOKUP(G451, Lookup_table!B:C,2,0)</f>
        <v>1.2</v>
      </c>
      <c r="Z451" t="str">
        <f t="shared" si="26"/>
        <v>Efficient Spend</v>
      </c>
      <c r="AA451" t="str">
        <f>VLOOKUP(H451, Lookup_table!E:F,2,0)</f>
        <v>High</v>
      </c>
    </row>
    <row r="452" spans="1:27" ht="17.5" customHeight="1" x14ac:dyDescent="0.35">
      <c r="A452" s="1" t="s">
        <v>662</v>
      </c>
      <c r="B452" s="2">
        <v>45436</v>
      </c>
      <c r="C452" s="1" t="s">
        <v>663</v>
      </c>
      <c r="D452" s="9">
        <v>41</v>
      </c>
      <c r="E452" s="1" t="s">
        <v>23</v>
      </c>
      <c r="G452" s="1" t="s">
        <v>31</v>
      </c>
      <c r="H452" s="1" t="s">
        <v>32</v>
      </c>
      <c r="I452" s="1">
        <v>585.29</v>
      </c>
      <c r="J452" s="1">
        <v>2617</v>
      </c>
      <c r="K452" s="1">
        <v>4791</v>
      </c>
      <c r="L452" s="1">
        <v>252</v>
      </c>
      <c r="N452" s="1">
        <v>183.07222010000001</v>
      </c>
      <c r="O452" s="1">
        <v>5.2598622419999996</v>
      </c>
      <c r="P452" s="1">
        <f t="shared" si="14"/>
        <v>3</v>
      </c>
      <c r="U452" s="1">
        <f>COUNTIF(N448:N1000, N452&gt;100)</f>
        <v>0</v>
      </c>
      <c r="V452" t="str">
        <f t="shared" si="24"/>
        <v>Top Performer</v>
      </c>
      <c r="W452" t="e" cm="1">
        <f t="array" aca="1" ref="W452" ca="1">_xlfn.IFS(N452&gt;=20, "High",N452&gt;=10, "Medium", N452&lt;10, "Low")</f>
        <v>#NAME?</v>
      </c>
      <c r="X452" t="str">
        <f t="shared" si="25"/>
        <v>Medium Budget</v>
      </c>
      <c r="Y452" s="7">
        <f>VLOOKUP(G452, Lookup_table!B:C,2,0)</f>
        <v>1.2</v>
      </c>
      <c r="Z452" t="str">
        <f t="shared" si="26"/>
        <v>Efficient Spend</v>
      </c>
      <c r="AA452" t="str">
        <f>VLOOKUP(H452, Lookup_table!E:F,2,0)</f>
        <v>Medium</v>
      </c>
    </row>
    <row r="453" spans="1:27" ht="17.5" customHeight="1" x14ac:dyDescent="0.35">
      <c r="A453" s="1" t="s">
        <v>664</v>
      </c>
      <c r="B453" s="2">
        <v>45363</v>
      </c>
      <c r="C453" s="1" t="s">
        <v>338</v>
      </c>
      <c r="D453" s="1">
        <v>37</v>
      </c>
      <c r="E453" s="1" t="s">
        <v>23</v>
      </c>
      <c r="F453" s="1" t="s">
        <v>57</v>
      </c>
      <c r="G453" s="1" t="s">
        <v>61</v>
      </c>
      <c r="H453" s="1" t="s">
        <v>26</v>
      </c>
      <c r="I453" s="1">
        <v>1402.95</v>
      </c>
      <c r="J453" s="1">
        <v>7974</v>
      </c>
      <c r="K453" s="1">
        <v>4910</v>
      </c>
      <c r="L453" s="1">
        <v>323</v>
      </c>
      <c r="M453" s="1">
        <v>1</v>
      </c>
      <c r="N453" s="1">
        <v>61.575119139999998</v>
      </c>
      <c r="O453" s="1">
        <v>6.5784114049999998</v>
      </c>
      <c r="P453" s="1">
        <f t="shared" si="14"/>
        <v>1</v>
      </c>
      <c r="V453" t="str">
        <f t="shared" si="24"/>
        <v>Top Performer</v>
      </c>
      <c r="W453" t="e" cm="1">
        <f t="array" aca="1" ref="W453" ca="1">_xlfn.IFS(N453&gt;=20, "High",N453&gt;=10, "Medium", N453&lt;10, "Low")</f>
        <v>#NAME?</v>
      </c>
      <c r="X453" t="str">
        <f t="shared" si="25"/>
        <v>High Budget</v>
      </c>
      <c r="Y453" s="7">
        <f>VLOOKUP(G453, Lookup_table!B:C,2,0)</f>
        <v>0.2</v>
      </c>
      <c r="Z453" t="str">
        <f t="shared" si="26"/>
        <v>Inefficient Spend</v>
      </c>
      <c r="AA453" t="str">
        <f>VLOOKUP(H453, Lookup_table!E:F,2,0)</f>
        <v>High</v>
      </c>
    </row>
    <row r="454" spans="1:27" ht="17.5" customHeight="1" x14ac:dyDescent="0.35">
      <c r="A454" s="1" t="s">
        <v>665</v>
      </c>
      <c r="B454" s="2">
        <v>45410</v>
      </c>
      <c r="C454" s="1" t="s">
        <v>40</v>
      </c>
      <c r="D454" s="1">
        <v>21</v>
      </c>
      <c r="E454" s="1" t="s">
        <v>23</v>
      </c>
      <c r="F454" s="1" t="s">
        <v>41</v>
      </c>
      <c r="G454" s="1" t="s">
        <v>25</v>
      </c>
      <c r="H454" s="1" t="s">
        <v>36</v>
      </c>
      <c r="I454" s="1">
        <v>1756.99</v>
      </c>
      <c r="J454" s="1">
        <v>29611</v>
      </c>
      <c r="K454" s="1">
        <v>3794</v>
      </c>
      <c r="L454" s="1">
        <v>379</v>
      </c>
      <c r="N454" s="1">
        <v>12.812806050000001</v>
      </c>
      <c r="O454" s="1">
        <v>9.9894570369999993</v>
      </c>
      <c r="P454" s="1">
        <f t="shared" si="14"/>
        <v>3</v>
      </c>
      <c r="V454" t="str">
        <f t="shared" si="24"/>
        <v>Top Performer</v>
      </c>
      <c r="W454" t="e" cm="1">
        <f t="array" aca="1" ref="W454" ca="1">_xlfn.IFS(N454&gt;=20, "High",N454&gt;=10, "Medium", N454&lt;10, "Low")</f>
        <v>#NAME?</v>
      </c>
      <c r="X454" t="str">
        <f t="shared" si="25"/>
        <v>High Budget</v>
      </c>
      <c r="Y454" s="7">
        <f>VLOOKUP(G454, Lookup_table!B:C,2,0)</f>
        <v>0.5</v>
      </c>
      <c r="Z454" t="str">
        <f t="shared" si="26"/>
        <v>Efficient Spend</v>
      </c>
      <c r="AA454" t="str">
        <f>VLOOKUP(H454, Lookup_table!E:F,2,0)</f>
        <v>High</v>
      </c>
    </row>
    <row r="455" spans="1:27" ht="17.5" customHeight="1" x14ac:dyDescent="0.35">
      <c r="A455" s="1" t="s">
        <v>666</v>
      </c>
      <c r="B455" s="2">
        <v>45348</v>
      </c>
      <c r="C455" s="1" t="s">
        <v>317</v>
      </c>
      <c r="D455" s="1">
        <v>30</v>
      </c>
      <c r="E455" s="1" t="s">
        <v>29</v>
      </c>
      <c r="F455" s="1" t="s">
        <v>50</v>
      </c>
      <c r="G455" s="1" t="s">
        <v>46</v>
      </c>
      <c r="H455" s="1" t="s">
        <v>32</v>
      </c>
      <c r="I455" s="1">
        <v>280.64999999999998</v>
      </c>
      <c r="J455" s="1">
        <v>35248</v>
      </c>
      <c r="K455" s="1">
        <v>3329</v>
      </c>
      <c r="L455" s="1">
        <v>156</v>
      </c>
      <c r="M455" s="1">
        <v>5</v>
      </c>
      <c r="N455" s="1">
        <v>9.4445074899999994</v>
      </c>
      <c r="O455" s="1">
        <v>4.6860919189999999</v>
      </c>
      <c r="P455" s="1">
        <f t="shared" si="14"/>
        <v>5</v>
      </c>
      <c r="V455" t="str">
        <f t="shared" si="24"/>
        <v>Average Performer</v>
      </c>
      <c r="W455" t="e" cm="1">
        <f t="array" aca="1" ref="W455" ca="1">_xlfn.IFS(N455&gt;=20, "High",N455&gt;=10, "Medium", N455&lt;10, "Low")</f>
        <v>#NAME?</v>
      </c>
      <c r="X455" t="str">
        <f t="shared" si="25"/>
        <v>Low Budget</v>
      </c>
      <c r="Y455" s="7">
        <f>VLOOKUP(G455, Lookup_table!B:C,2,0)</f>
        <v>0.75</v>
      </c>
      <c r="Z455" t="str">
        <f t="shared" si="26"/>
        <v>Efficient Spend</v>
      </c>
      <c r="AA455" t="str">
        <f>VLOOKUP(H455, Lookup_table!E:F,2,0)</f>
        <v>Medium</v>
      </c>
    </row>
    <row r="456" spans="1:27" ht="17.5" customHeight="1" x14ac:dyDescent="0.35">
      <c r="A456" s="1" t="s">
        <v>667</v>
      </c>
      <c r="B456" s="2">
        <v>45537</v>
      </c>
      <c r="C456" s="1" t="s">
        <v>660</v>
      </c>
      <c r="D456" s="1">
        <v>56</v>
      </c>
      <c r="E456" s="1" t="s">
        <v>29</v>
      </c>
      <c r="F456" s="1" t="s">
        <v>24</v>
      </c>
      <c r="G456" s="1" t="s">
        <v>25</v>
      </c>
      <c r="H456" s="1" t="s">
        <v>26</v>
      </c>
      <c r="I456" s="1">
        <v>1674.62</v>
      </c>
      <c r="J456" s="1">
        <v>26920</v>
      </c>
      <c r="K456" s="1">
        <v>2753</v>
      </c>
      <c r="L456" s="1">
        <v>138</v>
      </c>
      <c r="M456" s="1">
        <v>5</v>
      </c>
      <c r="N456" s="1">
        <v>10.226597330000001</v>
      </c>
      <c r="O456" s="1">
        <v>5.0127134040000003</v>
      </c>
      <c r="P456" s="1">
        <f t="shared" si="14"/>
        <v>5</v>
      </c>
      <c r="V456" t="str">
        <f t="shared" si="24"/>
        <v>Average Performer</v>
      </c>
      <c r="W456" t="e" cm="1">
        <f t="array" aca="1" ref="W456" ca="1">_xlfn.IFS(N456&gt;=20, "High",N456&gt;=10, "Medium", N456&lt;10, "Low")</f>
        <v>#NAME?</v>
      </c>
      <c r="X456" t="str">
        <f t="shared" si="25"/>
        <v>High Budget</v>
      </c>
      <c r="Y456" s="7">
        <f>VLOOKUP(G456, Lookup_table!B:C,2,0)</f>
        <v>0.5</v>
      </c>
      <c r="Z456" t="str">
        <f t="shared" si="26"/>
        <v>Inefficient Spend</v>
      </c>
      <c r="AA456" t="str">
        <f>VLOOKUP(H456, Lookup_table!E:F,2,0)</f>
        <v>High</v>
      </c>
    </row>
    <row r="457" spans="1:27" ht="17.5" customHeight="1" x14ac:dyDescent="0.35">
      <c r="A457" s="1" t="s">
        <v>668</v>
      </c>
      <c r="B457" s="2">
        <v>45552</v>
      </c>
      <c r="C457" s="1" t="s">
        <v>669</v>
      </c>
      <c r="D457" s="1">
        <v>30</v>
      </c>
      <c r="E457" s="1" t="s">
        <v>35</v>
      </c>
      <c r="F457" s="1" t="s">
        <v>50</v>
      </c>
      <c r="G457" s="1" t="s">
        <v>25</v>
      </c>
      <c r="H457" s="1" t="s">
        <v>26</v>
      </c>
      <c r="I457" s="1">
        <v>852.6</v>
      </c>
      <c r="J457" s="1">
        <v>38069</v>
      </c>
      <c r="K457" s="1">
        <v>2948</v>
      </c>
      <c r="L457" s="1">
        <v>286</v>
      </c>
      <c r="M457" s="1">
        <v>3</v>
      </c>
      <c r="N457" s="1">
        <v>7.7438335650000001</v>
      </c>
      <c r="O457" s="1">
        <v>9.701492537</v>
      </c>
      <c r="P457" s="1">
        <f t="shared" si="14"/>
        <v>3</v>
      </c>
      <c r="V457" t="str">
        <f t="shared" si="24"/>
        <v>Average Performer</v>
      </c>
      <c r="W457" t="e" cm="1">
        <f t="array" aca="1" ref="W457" ca="1">_xlfn.IFS(N457&gt;=20, "High",N457&gt;=10, "Medium", N457&lt;10, "Low")</f>
        <v>#NAME?</v>
      </c>
      <c r="X457" t="str">
        <f t="shared" si="25"/>
        <v>Medium Budget</v>
      </c>
      <c r="Y457" s="7">
        <f>VLOOKUP(G457, Lookup_table!B:C,2,0)</f>
        <v>0.5</v>
      </c>
      <c r="Z457" t="str">
        <f t="shared" si="26"/>
        <v>Efficient Spend</v>
      </c>
      <c r="AA457" t="str">
        <f>VLOOKUP(H457, Lookup_table!E:F,2,0)</f>
        <v>High</v>
      </c>
    </row>
    <row r="458" spans="1:27" ht="17.5" customHeight="1" x14ac:dyDescent="0.35">
      <c r="A458" s="1" t="s">
        <v>670</v>
      </c>
      <c r="B458" s="2">
        <v>45546</v>
      </c>
      <c r="C458" s="1" t="s">
        <v>671</v>
      </c>
      <c r="D458" s="1">
        <v>52</v>
      </c>
      <c r="E458" s="1" t="s">
        <v>29</v>
      </c>
      <c r="F458" s="1" t="s">
        <v>50</v>
      </c>
      <c r="G458" s="1" t="s">
        <v>61</v>
      </c>
      <c r="H458" s="1" t="s">
        <v>36</v>
      </c>
      <c r="I458" s="1">
        <v>152.69</v>
      </c>
      <c r="J458" s="1">
        <v>47524</v>
      </c>
      <c r="K458" s="1">
        <v>4929</v>
      </c>
      <c r="L458" s="1">
        <v>140</v>
      </c>
      <c r="M458" s="1">
        <v>3</v>
      </c>
      <c r="N458" s="1">
        <v>10.371601719999999</v>
      </c>
      <c r="O458" s="1">
        <v>2.8403327250000001</v>
      </c>
      <c r="P458" s="1">
        <f t="shared" si="14"/>
        <v>3</v>
      </c>
      <c r="V458" t="str">
        <f t="shared" si="24"/>
        <v>Average Performer</v>
      </c>
      <c r="W458" t="e" cm="1">
        <f t="array" aca="1" ref="W458" ca="1">_xlfn.IFS(N458&gt;=20, "High",N458&gt;=10, "Medium", N458&lt;10, "Low")</f>
        <v>#NAME?</v>
      </c>
      <c r="X458" t="str">
        <f t="shared" si="25"/>
        <v>Low Budget</v>
      </c>
      <c r="Y458" s="7">
        <f>VLOOKUP(G458, Lookup_table!B:C,2,0)</f>
        <v>0.2</v>
      </c>
      <c r="Z458" t="str">
        <f t="shared" si="26"/>
        <v>Efficient Spend</v>
      </c>
      <c r="AA458" t="str">
        <f>VLOOKUP(H458, Lookup_table!E:F,2,0)</f>
        <v>High</v>
      </c>
    </row>
    <row r="459" spans="1:27" ht="17.5" customHeight="1" x14ac:dyDescent="0.35">
      <c r="A459" s="1" t="s">
        <v>672</v>
      </c>
      <c r="B459" s="2">
        <v>45466</v>
      </c>
      <c r="C459" s="1" t="s">
        <v>157</v>
      </c>
      <c r="D459" s="1">
        <v>23</v>
      </c>
      <c r="E459" s="1" t="s">
        <v>35</v>
      </c>
      <c r="F459" s="1" t="s">
        <v>24</v>
      </c>
      <c r="G459" s="1" t="s">
        <v>42</v>
      </c>
      <c r="H459" s="1" t="s">
        <v>26</v>
      </c>
      <c r="I459" s="1">
        <v>1469.59</v>
      </c>
      <c r="J459" s="1">
        <v>15095</v>
      </c>
      <c r="K459" s="1">
        <v>1056</v>
      </c>
      <c r="L459" s="1">
        <v>391</v>
      </c>
      <c r="M459" s="1">
        <v>5</v>
      </c>
      <c r="N459" s="1">
        <v>6.9956939379999996</v>
      </c>
      <c r="O459" s="1">
        <v>37.026515150000002</v>
      </c>
      <c r="P459" s="1">
        <f t="shared" si="14"/>
        <v>5</v>
      </c>
      <c r="V459" t="str">
        <f t="shared" si="24"/>
        <v>Average Performer</v>
      </c>
      <c r="W459" t="e" cm="1">
        <f t="array" aca="1" ref="W459" ca="1">_xlfn.IFS(N459&gt;=20, "High",N459&gt;=10, "Medium", N459&lt;10, "Low")</f>
        <v>#NAME?</v>
      </c>
      <c r="X459" t="str">
        <f t="shared" si="25"/>
        <v>High Budget</v>
      </c>
      <c r="Y459" s="7">
        <f>VLOOKUP(G459, Lookup_table!B:C,2,0)</f>
        <v>0.3</v>
      </c>
      <c r="Z459" t="str">
        <f t="shared" si="26"/>
        <v>Inefficient Spend</v>
      </c>
      <c r="AA459" t="str">
        <f>VLOOKUP(H459, Lookup_table!E:F,2,0)</f>
        <v>High</v>
      </c>
    </row>
    <row r="460" spans="1:27" ht="17.5" customHeight="1" x14ac:dyDescent="0.35">
      <c r="A460" s="1" t="s">
        <v>673</v>
      </c>
      <c r="B460" s="2">
        <v>45359</v>
      </c>
      <c r="C460" s="1" t="s">
        <v>409</v>
      </c>
      <c r="D460" s="1">
        <v>34</v>
      </c>
      <c r="E460" s="1" t="s">
        <v>29</v>
      </c>
      <c r="F460" s="1" t="s">
        <v>24</v>
      </c>
      <c r="G460" s="1" t="s">
        <v>61</v>
      </c>
      <c r="H460" s="1" t="s">
        <v>26</v>
      </c>
      <c r="I460" s="1">
        <v>1906.86</v>
      </c>
      <c r="J460" s="1">
        <v>36437</v>
      </c>
      <c r="K460" s="1">
        <v>1266</v>
      </c>
      <c r="L460" s="1">
        <v>180</v>
      </c>
      <c r="N460" s="1">
        <v>3.474490216</v>
      </c>
      <c r="O460" s="1">
        <v>14.218009479999999</v>
      </c>
      <c r="P460" s="1">
        <f t="shared" si="14"/>
        <v>3</v>
      </c>
      <c r="V460" t="str">
        <f t="shared" si="24"/>
        <v>Average Performer</v>
      </c>
      <c r="W460" t="e" cm="1">
        <f t="array" aca="1" ref="W460" ca="1">_xlfn.IFS(N460&gt;=20, "High",N460&gt;=10, "Medium", N460&lt;10, "Low")</f>
        <v>#NAME?</v>
      </c>
      <c r="X460" t="str">
        <f t="shared" si="25"/>
        <v>High Budget</v>
      </c>
      <c r="Y460" s="7">
        <f>VLOOKUP(G460, Lookup_table!B:C,2,0)</f>
        <v>0.2</v>
      </c>
      <c r="Z460" t="str">
        <f t="shared" si="26"/>
        <v>Inefficient Spend</v>
      </c>
      <c r="AA460" t="str">
        <f>VLOOKUP(H460, Lookup_table!E:F,2,0)</f>
        <v>High</v>
      </c>
    </row>
    <row r="461" spans="1:27" ht="17.5" customHeight="1" x14ac:dyDescent="0.35">
      <c r="A461" s="1" t="s">
        <v>674</v>
      </c>
      <c r="B461" s="2">
        <v>45532</v>
      </c>
      <c r="C461" s="1" t="s">
        <v>162</v>
      </c>
      <c r="D461" s="1">
        <v>53</v>
      </c>
      <c r="E461" s="1" t="s">
        <v>35</v>
      </c>
      <c r="F461" s="1" t="s">
        <v>57</v>
      </c>
      <c r="G461" s="1" t="s">
        <v>42</v>
      </c>
      <c r="H461" s="1" t="s">
        <v>32</v>
      </c>
      <c r="I461" s="1">
        <v>286.62</v>
      </c>
      <c r="J461" s="1">
        <v>42967</v>
      </c>
      <c r="K461" s="1">
        <v>3745</v>
      </c>
      <c r="L461" s="1">
        <v>316</v>
      </c>
      <c r="M461" s="1">
        <v>5</v>
      </c>
      <c r="N461" s="1">
        <v>8.7159913420000006</v>
      </c>
      <c r="O461" s="1">
        <v>8.4379172229999995</v>
      </c>
      <c r="P461" s="1">
        <f t="shared" si="14"/>
        <v>5</v>
      </c>
      <c r="V461" t="str">
        <f t="shared" si="24"/>
        <v>Top Performer</v>
      </c>
      <c r="W461" t="e" cm="1">
        <f t="array" aca="1" ref="W461" ca="1">_xlfn.IFS(N461&gt;=20, "High",N461&gt;=10, "Medium", N461&lt;10, "Low")</f>
        <v>#NAME?</v>
      </c>
      <c r="X461" t="str">
        <f t="shared" si="25"/>
        <v>Low Budget</v>
      </c>
      <c r="Y461" s="7">
        <f>VLOOKUP(G461, Lookup_table!B:C,2,0)</f>
        <v>0.3</v>
      </c>
      <c r="Z461" t="str">
        <f t="shared" si="26"/>
        <v>Efficient Spend</v>
      </c>
      <c r="AA461" t="str">
        <f>VLOOKUP(H461, Lookup_table!E:F,2,0)</f>
        <v>Medium</v>
      </c>
    </row>
    <row r="462" spans="1:27" ht="17.5" customHeight="1" x14ac:dyDescent="0.35">
      <c r="A462" s="1" t="s">
        <v>675</v>
      </c>
      <c r="B462" s="2">
        <v>45507</v>
      </c>
      <c r="C462" s="1" t="s">
        <v>281</v>
      </c>
      <c r="D462" s="1">
        <v>22</v>
      </c>
      <c r="E462" s="1" t="s">
        <v>35</v>
      </c>
      <c r="F462" s="1" t="s">
        <v>45</v>
      </c>
      <c r="G462" s="1" t="s">
        <v>42</v>
      </c>
      <c r="H462" s="1" t="s">
        <v>62</v>
      </c>
      <c r="I462" s="1">
        <v>1233.83</v>
      </c>
      <c r="J462" s="1">
        <v>24663</v>
      </c>
      <c r="K462" s="1">
        <v>4645</v>
      </c>
      <c r="L462" s="1">
        <v>237</v>
      </c>
      <c r="N462" s="1">
        <v>18.833880709999999</v>
      </c>
      <c r="O462" s="1">
        <v>5.1022604950000003</v>
      </c>
      <c r="P462" s="1">
        <f t="shared" si="14"/>
        <v>3</v>
      </c>
      <c r="V462" t="str">
        <f t="shared" si="24"/>
        <v>Top Performer</v>
      </c>
      <c r="W462" t="e" cm="1">
        <f t="array" aca="1" ref="W462" ca="1">_xlfn.IFS(N462&gt;=20, "High",N462&gt;=10, "Medium", N462&lt;10, "Low")</f>
        <v>#NAME?</v>
      </c>
      <c r="X462" t="str">
        <f t="shared" si="25"/>
        <v>High Budget</v>
      </c>
      <c r="Y462" s="7">
        <f>VLOOKUP(G462, Lookup_table!B:C,2,0)</f>
        <v>0.3</v>
      </c>
      <c r="Z462" t="str">
        <f t="shared" si="26"/>
        <v>Efficient Spend</v>
      </c>
      <c r="AA462" t="str">
        <f>VLOOKUP(H462, Lookup_table!E:F,2,0)</f>
        <v>Medium</v>
      </c>
    </row>
    <row r="463" spans="1:27" ht="17.5" customHeight="1" x14ac:dyDescent="0.35">
      <c r="A463" s="1" t="s">
        <v>676</v>
      </c>
      <c r="B463" s="2">
        <v>45576</v>
      </c>
      <c r="C463" s="1" t="s">
        <v>579</v>
      </c>
      <c r="D463" s="1">
        <v>44</v>
      </c>
      <c r="E463" s="1" t="s">
        <v>23</v>
      </c>
      <c r="F463" s="1" t="s">
        <v>45</v>
      </c>
      <c r="G463" s="1" t="s">
        <v>46</v>
      </c>
      <c r="H463" s="1" t="s">
        <v>32</v>
      </c>
      <c r="I463" s="1">
        <v>364.32</v>
      </c>
      <c r="J463" s="1">
        <v>11840</v>
      </c>
      <c r="K463" s="1">
        <v>87</v>
      </c>
      <c r="L463" s="1">
        <v>365</v>
      </c>
      <c r="M463" s="1">
        <v>4</v>
      </c>
      <c r="N463" s="1">
        <v>0.73479729699999996</v>
      </c>
      <c r="O463" s="1">
        <v>419.54022989999999</v>
      </c>
      <c r="P463" s="1">
        <f t="shared" si="14"/>
        <v>4</v>
      </c>
      <c r="V463" t="str">
        <f t="shared" si="24"/>
        <v>Low Performer</v>
      </c>
      <c r="W463" t="e" cm="1">
        <f t="array" aca="1" ref="W463" ca="1">_xlfn.IFS(N463&gt;=20, "High",N463&gt;=10, "Medium", N463&lt;10, "Low")</f>
        <v>#NAME?</v>
      </c>
      <c r="X463" t="str">
        <f t="shared" si="25"/>
        <v>Low Budget</v>
      </c>
      <c r="Y463" s="7">
        <f>VLOOKUP(G463, Lookup_table!B:C,2,0)</f>
        <v>0.75</v>
      </c>
      <c r="Z463" t="str">
        <f t="shared" si="26"/>
        <v>Inefficient Spend</v>
      </c>
      <c r="AA463" t="str">
        <f>VLOOKUP(H463, Lookup_table!E:F,2,0)</f>
        <v>Medium</v>
      </c>
    </row>
    <row r="464" spans="1:27" ht="17.5" customHeight="1" x14ac:dyDescent="0.35">
      <c r="A464" s="1" t="s">
        <v>677</v>
      </c>
      <c r="B464" s="2">
        <v>45464</v>
      </c>
      <c r="C464" s="1" t="s">
        <v>162</v>
      </c>
      <c r="D464" s="1">
        <v>63</v>
      </c>
      <c r="E464" s="1" t="s">
        <v>23</v>
      </c>
      <c r="F464" s="1" t="s">
        <v>57</v>
      </c>
      <c r="G464" s="1" t="s">
        <v>42</v>
      </c>
      <c r="H464" s="1" t="s">
        <v>26</v>
      </c>
      <c r="I464" s="1">
        <v>1537.13</v>
      </c>
      <c r="J464" s="1">
        <v>3337</v>
      </c>
      <c r="K464" s="1">
        <v>1281</v>
      </c>
      <c r="L464" s="1">
        <v>335</v>
      </c>
      <c r="N464" s="1">
        <v>38.387773449999997</v>
      </c>
      <c r="O464" s="1">
        <v>26.151444179999999</v>
      </c>
      <c r="P464" s="1">
        <f t="shared" si="14"/>
        <v>3</v>
      </c>
      <c r="V464" t="str">
        <f t="shared" si="24"/>
        <v>Average Performer</v>
      </c>
      <c r="W464" t="e" cm="1">
        <f t="array" aca="1" ref="W464" ca="1">_xlfn.IFS(N464&gt;=20, "High",N464&gt;=10, "Medium", N464&lt;10, "Low")</f>
        <v>#NAME?</v>
      </c>
      <c r="X464" t="str">
        <f t="shared" si="25"/>
        <v>High Budget</v>
      </c>
      <c r="Y464" s="7">
        <f>VLOOKUP(G464, Lookup_table!B:C,2,0)</f>
        <v>0.3</v>
      </c>
      <c r="Z464" t="str">
        <f t="shared" si="26"/>
        <v>Inefficient Spend</v>
      </c>
      <c r="AA464" t="str">
        <f>VLOOKUP(H464, Lookup_table!E:F,2,0)</f>
        <v>High</v>
      </c>
    </row>
    <row r="465" spans="1:27" ht="17.5" customHeight="1" x14ac:dyDescent="0.35">
      <c r="A465" s="1" t="s">
        <v>678</v>
      </c>
      <c r="B465" s="2">
        <v>45584</v>
      </c>
      <c r="C465" s="1" t="s">
        <v>201</v>
      </c>
      <c r="D465" s="1">
        <v>35</v>
      </c>
      <c r="E465" s="1" t="s">
        <v>29</v>
      </c>
      <c r="F465" s="1" t="s">
        <v>50</v>
      </c>
      <c r="G465" s="1" t="s">
        <v>31</v>
      </c>
      <c r="H465" s="1" t="s">
        <v>26</v>
      </c>
      <c r="I465" s="1">
        <v>601.66</v>
      </c>
      <c r="J465" s="1">
        <v>23181</v>
      </c>
      <c r="K465" s="1">
        <v>444</v>
      </c>
      <c r="L465" s="1">
        <v>342</v>
      </c>
      <c r="M465" s="1">
        <v>4</v>
      </c>
      <c r="N465" s="1">
        <v>1.9153617190000001</v>
      </c>
      <c r="O465" s="1">
        <v>77.027027029999999</v>
      </c>
      <c r="P465" s="1">
        <f t="shared" si="14"/>
        <v>4</v>
      </c>
      <c r="V465" t="str">
        <f t="shared" si="24"/>
        <v>Low Performer</v>
      </c>
      <c r="W465" t="e" cm="1">
        <f t="array" aca="1" ref="W465" ca="1">_xlfn.IFS(N465&gt;=20, "High",N465&gt;=10, "Medium", N465&lt;10, "Low")</f>
        <v>#NAME?</v>
      </c>
      <c r="X465" t="str">
        <f t="shared" si="25"/>
        <v>Medium Budget</v>
      </c>
      <c r="Y465" s="7">
        <f>VLOOKUP(G465, Lookup_table!B:C,2,0)</f>
        <v>1.2</v>
      </c>
      <c r="Z465" t="str">
        <f t="shared" si="26"/>
        <v>Inefficient Spend</v>
      </c>
      <c r="AA465" t="str">
        <f>VLOOKUP(H465, Lookup_table!E:F,2,0)</f>
        <v>High</v>
      </c>
    </row>
    <row r="466" spans="1:27" ht="17.5" customHeight="1" x14ac:dyDescent="0.35">
      <c r="A466" s="1" t="s">
        <v>679</v>
      </c>
      <c r="B466" s="2">
        <v>45323</v>
      </c>
      <c r="C466" s="1" t="s">
        <v>473</v>
      </c>
      <c r="D466" s="1">
        <v>58</v>
      </c>
      <c r="E466" s="1" t="s">
        <v>23</v>
      </c>
      <c r="F466" s="1" t="s">
        <v>45</v>
      </c>
      <c r="G466" s="1" t="s">
        <v>25</v>
      </c>
      <c r="H466" s="1" t="s">
        <v>62</v>
      </c>
      <c r="I466" s="1">
        <v>1609.82</v>
      </c>
      <c r="J466" s="1">
        <v>12077</v>
      </c>
      <c r="K466" s="1">
        <v>4168</v>
      </c>
      <c r="L466" s="1">
        <v>79</v>
      </c>
      <c r="M466" s="1">
        <v>4</v>
      </c>
      <c r="N466" s="1">
        <v>34.51188209</v>
      </c>
      <c r="O466" s="1">
        <v>1.895393474</v>
      </c>
      <c r="P466" s="1">
        <f t="shared" si="14"/>
        <v>4</v>
      </c>
      <c r="V466" t="str">
        <f t="shared" si="24"/>
        <v>Low Performer</v>
      </c>
      <c r="W466" t="e" cm="1">
        <f t="array" aca="1" ref="W466" ca="1">_xlfn.IFS(N466&gt;=20, "High",N466&gt;=10, "Medium", N466&lt;10, "Low")</f>
        <v>#NAME?</v>
      </c>
      <c r="X466" t="str">
        <f t="shared" si="25"/>
        <v>High Budget</v>
      </c>
      <c r="Y466" s="7">
        <f>VLOOKUP(G466, Lookup_table!B:C,2,0)</f>
        <v>0.5</v>
      </c>
      <c r="Z466" t="str">
        <f t="shared" si="26"/>
        <v>Efficient Spend</v>
      </c>
      <c r="AA466" t="str">
        <f>VLOOKUP(H466, Lookup_table!E:F,2,0)</f>
        <v>Medium</v>
      </c>
    </row>
    <row r="467" spans="1:27" ht="17.5" customHeight="1" x14ac:dyDescent="0.35">
      <c r="A467" s="1" t="s">
        <v>680</v>
      </c>
      <c r="B467" s="2">
        <v>45596</v>
      </c>
      <c r="C467" s="1" t="s">
        <v>128</v>
      </c>
      <c r="D467" s="1">
        <v>39</v>
      </c>
      <c r="E467" s="1" t="s">
        <v>29</v>
      </c>
      <c r="F467" s="1" t="s">
        <v>45</v>
      </c>
      <c r="G467" s="1" t="s">
        <v>31</v>
      </c>
      <c r="H467" s="1" t="s">
        <v>36</v>
      </c>
      <c r="I467" s="1">
        <v>543.67999999999995</v>
      </c>
      <c r="J467" s="1">
        <v>10803</v>
      </c>
      <c r="K467" s="1">
        <v>2408</v>
      </c>
      <c r="L467" s="1">
        <v>80</v>
      </c>
      <c r="N467" s="1">
        <v>22.290104599999999</v>
      </c>
      <c r="O467" s="1">
        <v>3.322259136</v>
      </c>
      <c r="P467" s="1">
        <f t="shared" si="14"/>
        <v>3</v>
      </c>
      <c r="V467" t="str">
        <f t="shared" si="24"/>
        <v>Low Performer</v>
      </c>
      <c r="W467" t="e" cm="1">
        <f t="array" aca="1" ref="W467" ca="1">_xlfn.IFS(N467&gt;=20, "High",N467&gt;=10, "Medium", N467&lt;10, "Low")</f>
        <v>#NAME?</v>
      </c>
      <c r="X467" t="str">
        <f t="shared" si="25"/>
        <v>Medium Budget</v>
      </c>
      <c r="Y467" s="7">
        <f>VLOOKUP(G467, Lookup_table!B:C,2,0)</f>
        <v>1.2</v>
      </c>
      <c r="Z467" t="str">
        <f t="shared" si="26"/>
        <v>Efficient Spend</v>
      </c>
      <c r="AA467" t="str">
        <f>VLOOKUP(H467, Lookup_table!E:F,2,0)</f>
        <v>High</v>
      </c>
    </row>
    <row r="468" spans="1:27" ht="17.5" customHeight="1" x14ac:dyDescent="0.35">
      <c r="A468" s="1" t="s">
        <v>681</v>
      </c>
      <c r="B468" s="2">
        <v>45332</v>
      </c>
      <c r="C468" s="1" t="s">
        <v>64</v>
      </c>
      <c r="D468" s="1">
        <v>22</v>
      </c>
      <c r="E468" s="1" t="s">
        <v>23</v>
      </c>
      <c r="F468" s="1" t="s">
        <v>30</v>
      </c>
      <c r="G468" s="1" t="s">
        <v>42</v>
      </c>
      <c r="H468" s="1" t="s">
        <v>32</v>
      </c>
      <c r="I468" s="1">
        <v>249</v>
      </c>
      <c r="J468" s="1">
        <v>7290</v>
      </c>
      <c r="K468" s="1">
        <v>271</v>
      </c>
      <c r="L468" s="1">
        <v>388</v>
      </c>
      <c r="M468" s="1">
        <v>2</v>
      </c>
      <c r="N468" s="1">
        <v>3.717421125</v>
      </c>
      <c r="O468" s="1">
        <v>143.17343170000001</v>
      </c>
      <c r="P468" s="1">
        <f t="shared" si="14"/>
        <v>2</v>
      </c>
      <c r="V468" t="str">
        <f t="shared" si="24"/>
        <v>Low Performer</v>
      </c>
      <c r="W468" t="e" cm="1">
        <f t="array" aca="1" ref="W468" ca="1">_xlfn.IFS(N468&gt;=20, "High",N468&gt;=10, "Medium", N468&lt;10, "Low")</f>
        <v>#NAME?</v>
      </c>
      <c r="X468" t="str">
        <f t="shared" si="25"/>
        <v>Low Budget</v>
      </c>
      <c r="Y468" s="7">
        <f>VLOOKUP(G468, Lookup_table!B:C,2,0)</f>
        <v>0.3</v>
      </c>
      <c r="Z468" t="str">
        <f t="shared" si="26"/>
        <v>Inefficient Spend</v>
      </c>
      <c r="AA468" t="str">
        <f>VLOOKUP(H468, Lookup_table!E:F,2,0)</f>
        <v>Medium</v>
      </c>
    </row>
    <row r="469" spans="1:27" ht="17.5" customHeight="1" x14ac:dyDescent="0.35">
      <c r="A469" s="1" t="s">
        <v>682</v>
      </c>
      <c r="B469" s="2">
        <v>45414</v>
      </c>
      <c r="C469" s="1" t="s">
        <v>366</v>
      </c>
      <c r="D469" s="1">
        <v>36</v>
      </c>
      <c r="E469" s="1" t="s">
        <v>35</v>
      </c>
      <c r="F469" s="1" t="s">
        <v>41</v>
      </c>
      <c r="G469" s="1" t="s">
        <v>61</v>
      </c>
      <c r="H469" s="1" t="s">
        <v>26</v>
      </c>
      <c r="I469" s="1">
        <v>100.32</v>
      </c>
      <c r="J469" s="1">
        <v>4883</v>
      </c>
      <c r="K469" s="1">
        <v>4918</v>
      </c>
      <c r="L469" s="1">
        <v>88</v>
      </c>
      <c r="M469" s="1">
        <v>1</v>
      </c>
      <c r="N469" s="1">
        <v>100.7167725</v>
      </c>
      <c r="O469" s="1">
        <v>1.7893452620000001</v>
      </c>
      <c r="P469" s="1">
        <f t="shared" si="14"/>
        <v>1</v>
      </c>
      <c r="V469" t="str">
        <f t="shared" si="24"/>
        <v>Low Performer</v>
      </c>
      <c r="W469" t="e" cm="1">
        <f t="array" aca="1" ref="W469" ca="1">_xlfn.IFS(N469&gt;=20, "High",N469&gt;=10, "Medium", N469&lt;10, "Low")</f>
        <v>#NAME?</v>
      </c>
      <c r="X469" t="str">
        <f t="shared" si="25"/>
        <v>Low Budget</v>
      </c>
      <c r="Y469" s="7">
        <f>VLOOKUP(G469, Lookup_table!B:C,2,0)</f>
        <v>0.2</v>
      </c>
      <c r="Z469" t="str">
        <f t="shared" si="26"/>
        <v>Efficient Spend</v>
      </c>
      <c r="AA469" t="str">
        <f>VLOOKUP(H469, Lookup_table!E:F,2,0)</f>
        <v>High</v>
      </c>
    </row>
    <row r="470" spans="1:27" ht="17.5" customHeight="1" x14ac:dyDescent="0.35">
      <c r="A470" s="1" t="s">
        <v>683</v>
      </c>
      <c r="B470" s="2">
        <v>45479</v>
      </c>
      <c r="C470" s="1" t="s">
        <v>28</v>
      </c>
      <c r="D470" s="1">
        <v>51</v>
      </c>
      <c r="E470" s="1" t="s">
        <v>23</v>
      </c>
      <c r="F470" s="1" t="s">
        <v>50</v>
      </c>
      <c r="G470" s="1" t="s">
        <v>61</v>
      </c>
      <c r="H470" s="1" t="s">
        <v>32</v>
      </c>
      <c r="I470" s="1">
        <v>735.41</v>
      </c>
      <c r="J470" s="1">
        <v>4469</v>
      </c>
      <c r="K470" s="1">
        <v>671</v>
      </c>
      <c r="L470" s="1">
        <v>45</v>
      </c>
      <c r="M470" s="1">
        <v>3</v>
      </c>
      <c r="N470" s="1">
        <v>15.01454464</v>
      </c>
      <c r="O470" s="1">
        <v>6.7064083459999999</v>
      </c>
      <c r="P470" s="1">
        <f t="shared" si="14"/>
        <v>3</v>
      </c>
      <c r="V470" t="str">
        <f t="shared" si="24"/>
        <v>Low Performer</v>
      </c>
      <c r="W470" t="e" cm="1">
        <f t="array" aca="1" ref="W470" ca="1">_xlfn.IFS(N470&gt;=20, "High",N470&gt;=10, "Medium", N470&lt;10, "Low")</f>
        <v>#NAME?</v>
      </c>
      <c r="X470" t="str">
        <f t="shared" si="25"/>
        <v>Medium Budget</v>
      </c>
      <c r="Y470" s="7">
        <f>VLOOKUP(G470, Lookup_table!B:C,2,0)</f>
        <v>0.2</v>
      </c>
      <c r="Z470" t="str">
        <f t="shared" si="26"/>
        <v>Inefficient Spend</v>
      </c>
      <c r="AA470" t="str">
        <f>VLOOKUP(H470, Lookup_table!E:F,2,0)</f>
        <v>Medium</v>
      </c>
    </row>
    <row r="471" spans="1:27" ht="17.5" customHeight="1" x14ac:dyDescent="0.35">
      <c r="A471" s="1" t="s">
        <v>684</v>
      </c>
      <c r="B471" s="2">
        <v>45547</v>
      </c>
      <c r="C471" s="1" t="s">
        <v>217</v>
      </c>
      <c r="D471" s="1">
        <v>21</v>
      </c>
      <c r="E471" s="1" t="s">
        <v>29</v>
      </c>
      <c r="F471" s="1" t="s">
        <v>30</v>
      </c>
      <c r="G471" s="1" t="s">
        <v>61</v>
      </c>
      <c r="H471" s="1" t="s">
        <v>36</v>
      </c>
      <c r="I471" s="1">
        <v>424.94</v>
      </c>
      <c r="J471" s="1">
        <v>28471</v>
      </c>
      <c r="K471" s="1">
        <v>1738</v>
      </c>
      <c r="L471" s="1">
        <v>16</v>
      </c>
      <c r="M471" s="1">
        <v>3</v>
      </c>
      <c r="N471" s="1">
        <v>6.1044571669999996</v>
      </c>
      <c r="O471" s="1">
        <v>0.92059838900000002</v>
      </c>
      <c r="P471" s="1">
        <f t="shared" si="14"/>
        <v>3</v>
      </c>
      <c r="V471" t="str">
        <f t="shared" si="24"/>
        <v>Low Performer</v>
      </c>
      <c r="W471" t="e" cm="1">
        <f t="array" aca="1" ref="W471" ca="1">_xlfn.IFS(N471&gt;=20, "High",N471&gt;=10, "Medium", N471&lt;10, "Low")</f>
        <v>#NAME?</v>
      </c>
      <c r="X471" t="str">
        <f t="shared" si="25"/>
        <v>Low Budget</v>
      </c>
      <c r="Y471" s="7">
        <f>VLOOKUP(G471, Lookup_table!B:C,2,0)</f>
        <v>0.2</v>
      </c>
      <c r="Z471" t="str">
        <f t="shared" si="26"/>
        <v>Inefficient Spend</v>
      </c>
      <c r="AA471" t="str">
        <f>VLOOKUP(H471, Lookup_table!E:F,2,0)</f>
        <v>High</v>
      </c>
    </row>
    <row r="472" spans="1:27" ht="17.5" customHeight="1" x14ac:dyDescent="0.35">
      <c r="A472" s="1" t="s">
        <v>685</v>
      </c>
      <c r="B472" s="2">
        <v>45612</v>
      </c>
      <c r="C472" s="1" t="s">
        <v>279</v>
      </c>
      <c r="D472" s="1">
        <v>32</v>
      </c>
      <c r="E472" s="1" t="s">
        <v>29</v>
      </c>
      <c r="F472" s="1" t="s">
        <v>45</v>
      </c>
      <c r="G472" s="1" t="s">
        <v>25</v>
      </c>
      <c r="H472" s="1" t="s">
        <v>26</v>
      </c>
      <c r="I472" s="1">
        <v>763.76</v>
      </c>
      <c r="J472" s="1">
        <v>27895</v>
      </c>
      <c r="K472" s="1">
        <v>3565</v>
      </c>
      <c r="L472" s="1">
        <v>42</v>
      </c>
      <c r="M472" s="1">
        <v>5</v>
      </c>
      <c r="N472" s="1">
        <v>12.78006811</v>
      </c>
      <c r="O472" s="1">
        <v>1.178120617</v>
      </c>
      <c r="P472" s="1">
        <f t="shared" si="14"/>
        <v>5</v>
      </c>
      <c r="V472" t="str">
        <f t="shared" si="24"/>
        <v>Low Performer</v>
      </c>
      <c r="W472" t="e" cm="1">
        <f t="array" aca="1" ref="W472" ca="1">_xlfn.IFS(N472&gt;=20, "High",N472&gt;=10, "Medium", N472&lt;10, "Low")</f>
        <v>#NAME?</v>
      </c>
      <c r="X472" t="str">
        <f t="shared" si="25"/>
        <v>Medium Budget</v>
      </c>
      <c r="Y472" s="7">
        <f>VLOOKUP(G472, Lookup_table!B:C,2,0)</f>
        <v>0.5</v>
      </c>
      <c r="Z472" t="str">
        <f t="shared" si="26"/>
        <v>Efficient Spend</v>
      </c>
      <c r="AA472" t="str">
        <f>VLOOKUP(H472, Lookup_table!E:F,2,0)</f>
        <v>High</v>
      </c>
    </row>
    <row r="473" spans="1:27" ht="17.5" customHeight="1" x14ac:dyDescent="0.35">
      <c r="A473" s="1" t="s">
        <v>686</v>
      </c>
      <c r="B473" s="2">
        <v>45320</v>
      </c>
      <c r="C473" s="1" t="s">
        <v>384</v>
      </c>
      <c r="D473" s="1">
        <v>21</v>
      </c>
      <c r="E473" s="1" t="s">
        <v>29</v>
      </c>
      <c r="F473" s="1" t="s">
        <v>45</v>
      </c>
      <c r="G473" s="1" t="s">
        <v>42</v>
      </c>
      <c r="H473" s="1" t="s">
        <v>26</v>
      </c>
      <c r="I473" s="1">
        <v>873.27</v>
      </c>
      <c r="J473" s="1">
        <v>11048</v>
      </c>
      <c r="K473" s="1">
        <v>4528</v>
      </c>
      <c r="L473" s="1">
        <v>219</v>
      </c>
      <c r="M473" s="1">
        <v>1</v>
      </c>
      <c r="N473" s="1">
        <v>40.984793629999999</v>
      </c>
      <c r="O473" s="1">
        <v>4.8365724380000001</v>
      </c>
      <c r="P473" s="1">
        <f t="shared" si="14"/>
        <v>1</v>
      </c>
      <c r="V473" t="str">
        <f t="shared" si="24"/>
        <v>Top Performer</v>
      </c>
      <c r="W473" t="e" cm="1">
        <f t="array" aca="1" ref="W473" ca="1">_xlfn.IFS(N473&gt;=20, "High",N473&gt;=10, "Medium", N473&lt;10, "Low")</f>
        <v>#NAME?</v>
      </c>
      <c r="X473" t="str">
        <f t="shared" si="25"/>
        <v>Medium Budget</v>
      </c>
      <c r="Y473" s="7">
        <f>VLOOKUP(G473, Lookup_table!B:C,2,0)</f>
        <v>0.3</v>
      </c>
      <c r="Z473" t="str">
        <f t="shared" si="26"/>
        <v>Efficient Spend</v>
      </c>
      <c r="AA473" t="str">
        <f>VLOOKUP(H473, Lookup_table!E:F,2,0)</f>
        <v>High</v>
      </c>
    </row>
    <row r="474" spans="1:27" ht="17.5" customHeight="1" x14ac:dyDescent="0.35">
      <c r="A474" s="1" t="s">
        <v>687</v>
      </c>
      <c r="B474" s="2">
        <v>45299</v>
      </c>
      <c r="C474" s="1" t="s">
        <v>688</v>
      </c>
      <c r="D474" s="1">
        <v>24</v>
      </c>
      <c r="E474" s="1" t="s">
        <v>35</v>
      </c>
      <c r="F474" s="1" t="s">
        <v>57</v>
      </c>
      <c r="G474" s="1" t="s">
        <v>46</v>
      </c>
      <c r="H474" s="1" t="s">
        <v>36</v>
      </c>
      <c r="I474" s="1">
        <v>559.04</v>
      </c>
      <c r="J474" s="1">
        <v>48184</v>
      </c>
      <c r="K474" s="1">
        <v>676</v>
      </c>
      <c r="L474" s="1">
        <v>55</v>
      </c>
      <c r="M474" s="1">
        <v>5</v>
      </c>
      <c r="N474" s="1">
        <v>1.4029553379999999</v>
      </c>
      <c r="O474" s="1">
        <v>8.1360946750000007</v>
      </c>
      <c r="P474" s="1">
        <f t="shared" si="14"/>
        <v>5</v>
      </c>
      <c r="V474" t="str">
        <f t="shared" si="24"/>
        <v>Low Performer</v>
      </c>
      <c r="W474" t="e" cm="1">
        <f t="array" aca="1" ref="W474" ca="1">_xlfn.IFS(N474&gt;=20, "High",N474&gt;=10, "Medium", N474&lt;10, "Low")</f>
        <v>#NAME?</v>
      </c>
      <c r="X474" t="str">
        <f t="shared" si="25"/>
        <v>Medium Budget</v>
      </c>
      <c r="Y474" s="7">
        <f>VLOOKUP(G474, Lookup_table!B:C,2,0)</f>
        <v>0.75</v>
      </c>
      <c r="Z474" t="str">
        <f t="shared" si="26"/>
        <v>Inefficient Spend</v>
      </c>
      <c r="AA474" t="str">
        <f>VLOOKUP(H474, Lookup_table!E:F,2,0)</f>
        <v>High</v>
      </c>
    </row>
    <row r="475" spans="1:27" ht="17.5" customHeight="1" x14ac:dyDescent="0.35">
      <c r="A475" s="1" t="s">
        <v>689</v>
      </c>
      <c r="B475" s="2">
        <v>45335</v>
      </c>
      <c r="C475" s="1" t="s">
        <v>299</v>
      </c>
      <c r="D475" s="1">
        <v>40</v>
      </c>
      <c r="E475" s="1" t="s">
        <v>29</v>
      </c>
      <c r="F475" s="1" t="s">
        <v>30</v>
      </c>
      <c r="G475" s="1" t="s">
        <v>46</v>
      </c>
      <c r="H475" s="1" t="s">
        <v>26</v>
      </c>
      <c r="I475" s="1">
        <v>1729.99</v>
      </c>
      <c r="J475" s="1">
        <v>37883</v>
      </c>
      <c r="K475" s="1">
        <v>4156</v>
      </c>
      <c r="L475" s="1">
        <v>286</v>
      </c>
      <c r="M475" s="1">
        <v>5</v>
      </c>
      <c r="N475" s="1">
        <v>10.970620070000001</v>
      </c>
      <c r="O475" s="1">
        <v>6.8816169389999997</v>
      </c>
      <c r="P475" s="1">
        <f t="shared" si="14"/>
        <v>5</v>
      </c>
      <c r="V475" t="str">
        <f t="shared" si="24"/>
        <v>Top Performer</v>
      </c>
      <c r="W475" t="e" cm="1">
        <f t="array" aca="1" ref="W475" ca="1">_xlfn.IFS(N475&gt;=20, "High",N475&gt;=10, "Medium", N475&lt;10, "Low")</f>
        <v>#NAME?</v>
      </c>
      <c r="X475" t="str">
        <f t="shared" si="25"/>
        <v>High Budget</v>
      </c>
      <c r="Y475" s="7">
        <f>VLOOKUP(G475, Lookup_table!B:C,2,0)</f>
        <v>0.75</v>
      </c>
      <c r="Z475" t="str">
        <f t="shared" si="26"/>
        <v>Efficient Spend</v>
      </c>
      <c r="AA475" t="str">
        <f>VLOOKUP(H475, Lookup_table!E:F,2,0)</f>
        <v>High</v>
      </c>
    </row>
    <row r="476" spans="1:27" ht="17.5" customHeight="1" x14ac:dyDescent="0.35">
      <c r="A476" s="1" t="s">
        <v>690</v>
      </c>
      <c r="B476" s="2">
        <v>45638</v>
      </c>
      <c r="C476" s="1" t="s">
        <v>81</v>
      </c>
      <c r="D476" s="1">
        <v>47</v>
      </c>
      <c r="E476" s="1" t="s">
        <v>35</v>
      </c>
      <c r="F476" s="1" t="s">
        <v>41</v>
      </c>
      <c r="G476" s="1" t="s">
        <v>61</v>
      </c>
      <c r="H476" s="1" t="s">
        <v>32</v>
      </c>
      <c r="I476" s="1">
        <v>1396.64</v>
      </c>
      <c r="J476" s="1">
        <v>48853</v>
      </c>
      <c r="K476" s="1">
        <v>1265</v>
      </c>
      <c r="L476" s="1">
        <v>168</v>
      </c>
      <c r="M476" s="1">
        <v>1</v>
      </c>
      <c r="N476" s="1">
        <v>2.5894008560000001</v>
      </c>
      <c r="O476" s="1">
        <v>13.280632410000001</v>
      </c>
      <c r="P476" s="1">
        <f t="shared" si="14"/>
        <v>1</v>
      </c>
      <c r="V476" t="str">
        <f t="shared" si="24"/>
        <v>Average Performer</v>
      </c>
      <c r="W476" t="e" cm="1">
        <f t="array" aca="1" ref="W476" ca="1">_xlfn.IFS(N476&gt;=20, "High",N476&gt;=10, "Medium", N476&lt;10, "Low")</f>
        <v>#NAME?</v>
      </c>
      <c r="X476" t="str">
        <f t="shared" si="25"/>
        <v>High Budget</v>
      </c>
      <c r="Y476" s="7">
        <f>VLOOKUP(G476, Lookup_table!B:C,2,0)</f>
        <v>0.2</v>
      </c>
      <c r="Z476" t="str">
        <f t="shared" si="26"/>
        <v>Inefficient Spend</v>
      </c>
      <c r="AA476" t="str">
        <f>VLOOKUP(H476, Lookup_table!E:F,2,0)</f>
        <v>Medium</v>
      </c>
    </row>
    <row r="477" spans="1:27" ht="17.5" customHeight="1" x14ac:dyDescent="0.35">
      <c r="A477" s="1" t="s">
        <v>691</v>
      </c>
      <c r="B477" s="2">
        <v>45425</v>
      </c>
      <c r="C477" s="1" t="s">
        <v>220</v>
      </c>
      <c r="D477" s="1">
        <v>25</v>
      </c>
      <c r="E477" s="1" t="s">
        <v>23</v>
      </c>
      <c r="F477" s="1" t="s">
        <v>24</v>
      </c>
      <c r="G477" s="1" t="s">
        <v>31</v>
      </c>
      <c r="H477" s="1" t="s">
        <v>26</v>
      </c>
      <c r="I477" s="1">
        <v>1639.47</v>
      </c>
      <c r="J477" s="1">
        <v>34488</v>
      </c>
      <c r="K477" s="1">
        <v>288</v>
      </c>
      <c r="L477" s="1">
        <v>12</v>
      </c>
      <c r="M477" s="1">
        <v>2</v>
      </c>
      <c r="N477" s="1">
        <v>0.835073069</v>
      </c>
      <c r="O477" s="1">
        <v>4.1666666670000003</v>
      </c>
      <c r="P477" s="1">
        <f t="shared" si="14"/>
        <v>2</v>
      </c>
      <c r="V477" t="str">
        <f t="shared" si="24"/>
        <v>Low Performer</v>
      </c>
      <c r="W477" t="e" cm="1">
        <f t="array" aca="1" ref="W477" ca="1">_xlfn.IFS(N477&gt;=20, "High",N477&gt;=10, "Medium", N477&lt;10, "Low")</f>
        <v>#NAME?</v>
      </c>
      <c r="X477" t="str">
        <f t="shared" si="25"/>
        <v>High Budget</v>
      </c>
      <c r="Y477" s="7">
        <f>VLOOKUP(G477, Lookup_table!B:C,2,0)</f>
        <v>1.2</v>
      </c>
      <c r="Z477" t="str">
        <f t="shared" si="26"/>
        <v>Inefficient Spend</v>
      </c>
      <c r="AA477" t="str">
        <f>VLOOKUP(H477, Lookup_table!E:F,2,0)</f>
        <v>High</v>
      </c>
    </row>
    <row r="478" spans="1:27" ht="17.5" customHeight="1" x14ac:dyDescent="0.35">
      <c r="A478" s="1" t="s">
        <v>692</v>
      </c>
      <c r="B478" s="2">
        <v>45624</v>
      </c>
      <c r="C478" s="1" t="s">
        <v>598</v>
      </c>
      <c r="D478" s="1">
        <v>19</v>
      </c>
      <c r="E478" s="1" t="s">
        <v>29</v>
      </c>
      <c r="F478" s="1" t="s">
        <v>30</v>
      </c>
      <c r="G478" s="1" t="s">
        <v>61</v>
      </c>
      <c r="H478" s="1" t="s">
        <v>32</v>
      </c>
      <c r="I478" s="1">
        <v>1118.92</v>
      </c>
      <c r="J478" s="1">
        <v>13713</v>
      </c>
      <c r="K478" s="1">
        <v>4502</v>
      </c>
      <c r="L478" s="1">
        <v>199</v>
      </c>
      <c r="M478" s="1">
        <v>1</v>
      </c>
      <c r="N478" s="1">
        <v>32.830161160000003</v>
      </c>
      <c r="O478" s="1">
        <v>4.4202576630000001</v>
      </c>
      <c r="P478" s="1">
        <f t="shared" si="14"/>
        <v>1</v>
      </c>
      <c r="V478" t="str">
        <f t="shared" si="24"/>
        <v>Average Performer</v>
      </c>
      <c r="W478" t="e" cm="1">
        <f t="array" aca="1" ref="W478" ca="1">_xlfn.IFS(N478&gt;=20, "High",N478&gt;=10, "Medium", N478&lt;10, "Low")</f>
        <v>#NAME?</v>
      </c>
      <c r="X478" t="str">
        <f t="shared" si="25"/>
        <v>High Budget</v>
      </c>
      <c r="Y478" s="7">
        <f>VLOOKUP(G478, Lookup_table!B:C,2,0)</f>
        <v>0.2</v>
      </c>
      <c r="Z478" t="str">
        <f t="shared" si="26"/>
        <v>Inefficient Spend</v>
      </c>
      <c r="AA478" t="str">
        <f>VLOOKUP(H478, Lookup_table!E:F,2,0)</f>
        <v>Medium</v>
      </c>
    </row>
    <row r="479" spans="1:27" ht="17.5" customHeight="1" x14ac:dyDescent="0.35">
      <c r="A479" s="1" t="s">
        <v>693</v>
      </c>
      <c r="B479" s="2">
        <v>45613</v>
      </c>
      <c r="C479" s="1" t="s">
        <v>119</v>
      </c>
      <c r="D479" s="1">
        <v>31</v>
      </c>
      <c r="E479" s="1" t="s">
        <v>35</v>
      </c>
      <c r="F479" s="1" t="s">
        <v>30</v>
      </c>
      <c r="G479" s="1" t="s">
        <v>31</v>
      </c>
      <c r="H479" s="1" t="s">
        <v>26</v>
      </c>
      <c r="I479" s="1">
        <v>345.88</v>
      </c>
      <c r="J479" s="1">
        <v>1064</v>
      </c>
      <c r="K479" s="1">
        <v>1285</v>
      </c>
      <c r="L479" s="1">
        <v>15</v>
      </c>
      <c r="M479" s="1">
        <v>3</v>
      </c>
      <c r="N479" s="1">
        <v>120.7706767</v>
      </c>
      <c r="O479" s="1">
        <v>1.1673151749999999</v>
      </c>
      <c r="P479" s="1">
        <f t="shared" si="14"/>
        <v>3</v>
      </c>
      <c r="U479" s="1">
        <f>COUNTIF(N475:N1000, N479&gt;100)</f>
        <v>0</v>
      </c>
      <c r="V479" t="str">
        <f t="shared" si="24"/>
        <v>Low Performer</v>
      </c>
      <c r="W479" t="e" cm="1">
        <f t="array" aca="1" ref="W479" ca="1">_xlfn.IFS(N479&gt;=20, "High",N479&gt;=10, "Medium", N479&lt;10, "Low")</f>
        <v>#NAME?</v>
      </c>
      <c r="X479" t="str">
        <f t="shared" si="25"/>
        <v>Low Budget</v>
      </c>
      <c r="Y479" s="7">
        <f>VLOOKUP(G479, Lookup_table!B:C,2,0)</f>
        <v>1.2</v>
      </c>
      <c r="Z479" t="str">
        <f t="shared" si="26"/>
        <v>Efficient Spend</v>
      </c>
      <c r="AA479" t="str">
        <f>VLOOKUP(H479, Lookup_table!E:F,2,0)</f>
        <v>High</v>
      </c>
    </row>
    <row r="480" spans="1:27" ht="17.5" customHeight="1" x14ac:dyDescent="0.35">
      <c r="A480" s="1" t="s">
        <v>694</v>
      </c>
      <c r="B480" s="2">
        <v>45505</v>
      </c>
      <c r="C480" s="1" t="s">
        <v>461</v>
      </c>
      <c r="D480" s="1">
        <v>37</v>
      </c>
      <c r="E480" s="1" t="s">
        <v>23</v>
      </c>
      <c r="F480" s="1" t="s">
        <v>30</v>
      </c>
      <c r="G480" s="1" t="s">
        <v>25</v>
      </c>
      <c r="H480" s="1" t="s">
        <v>62</v>
      </c>
      <c r="I480" s="1">
        <v>1399.6</v>
      </c>
      <c r="J480" s="1">
        <v>20146</v>
      </c>
      <c r="K480" s="1">
        <v>4092</v>
      </c>
      <c r="L480" s="1">
        <v>396</v>
      </c>
      <c r="M480" s="1">
        <v>1</v>
      </c>
      <c r="N480" s="1">
        <v>20.31172441</v>
      </c>
      <c r="O480" s="1">
        <v>9.6774193549999996</v>
      </c>
      <c r="P480" s="1">
        <f t="shared" si="14"/>
        <v>1</v>
      </c>
      <c r="V480" t="str">
        <f t="shared" si="24"/>
        <v>Top Performer</v>
      </c>
      <c r="W480" t="e" cm="1">
        <f t="array" aca="1" ref="W480" ca="1">_xlfn.IFS(N480&gt;=20, "High",N480&gt;=10, "Medium", N480&lt;10, "Low")</f>
        <v>#NAME?</v>
      </c>
      <c r="X480" t="str">
        <f t="shared" si="25"/>
        <v>High Budget</v>
      </c>
      <c r="Y480" s="7">
        <f>VLOOKUP(G480, Lookup_table!B:C,2,0)</f>
        <v>0.5</v>
      </c>
      <c r="Z480" t="str">
        <f t="shared" si="26"/>
        <v>Efficient Spend</v>
      </c>
      <c r="AA480" t="str">
        <f>VLOOKUP(H480, Lookup_table!E:F,2,0)</f>
        <v>Medium</v>
      </c>
    </row>
    <row r="481" spans="1:27" ht="17.5" customHeight="1" x14ac:dyDescent="0.35">
      <c r="A481" s="1" t="s">
        <v>695</v>
      </c>
      <c r="B481" s="2">
        <v>45381</v>
      </c>
      <c r="C481" s="1" t="s">
        <v>361</v>
      </c>
      <c r="D481" s="1">
        <v>56</v>
      </c>
      <c r="E481" s="1" t="s">
        <v>23</v>
      </c>
      <c r="F481" s="1" t="s">
        <v>41</v>
      </c>
      <c r="G481" s="1" t="s">
        <v>46</v>
      </c>
      <c r="H481" s="1" t="s">
        <v>32</v>
      </c>
      <c r="I481" s="1">
        <v>1495.4</v>
      </c>
      <c r="J481" s="1">
        <v>29712</v>
      </c>
      <c r="K481" s="1">
        <v>2236</v>
      </c>
      <c r="L481" s="1">
        <v>110</v>
      </c>
      <c r="M481" s="1">
        <v>4</v>
      </c>
      <c r="N481" s="1">
        <v>7.5255788910000003</v>
      </c>
      <c r="O481" s="1">
        <v>4.919499106</v>
      </c>
      <c r="P481" s="1">
        <f t="shared" si="14"/>
        <v>4</v>
      </c>
      <c r="V481" t="str">
        <f t="shared" si="24"/>
        <v>Average Performer</v>
      </c>
      <c r="W481" t="e" cm="1">
        <f t="array" aca="1" ref="W481" ca="1">_xlfn.IFS(N481&gt;=20, "High",N481&gt;=10, "Medium", N481&lt;10, "Low")</f>
        <v>#NAME?</v>
      </c>
      <c r="X481" t="str">
        <f t="shared" si="25"/>
        <v>High Budget</v>
      </c>
      <c r="Y481" s="7">
        <f>VLOOKUP(G481, Lookup_table!B:C,2,0)</f>
        <v>0.75</v>
      </c>
      <c r="Z481" t="str">
        <f t="shared" si="26"/>
        <v>Efficient Spend</v>
      </c>
      <c r="AA481" t="str">
        <f>VLOOKUP(H481, Lookup_table!E:F,2,0)</f>
        <v>Medium</v>
      </c>
    </row>
    <row r="482" spans="1:27" ht="17.5" customHeight="1" x14ac:dyDescent="0.35">
      <c r="A482" s="1" t="s">
        <v>696</v>
      </c>
      <c r="B482" s="2">
        <v>45472</v>
      </c>
      <c r="C482" s="1" t="s">
        <v>281</v>
      </c>
      <c r="D482" s="1">
        <v>22</v>
      </c>
      <c r="E482" s="1" t="s">
        <v>29</v>
      </c>
      <c r="F482" s="1" t="s">
        <v>45</v>
      </c>
      <c r="G482" s="1" t="s">
        <v>25</v>
      </c>
      <c r="H482" s="1" t="s">
        <v>26</v>
      </c>
      <c r="I482" s="1">
        <v>1275.81</v>
      </c>
      <c r="J482" s="1">
        <v>34527</v>
      </c>
      <c r="K482" s="1">
        <v>1341</v>
      </c>
      <c r="L482" s="1">
        <v>81</v>
      </c>
      <c r="M482" s="1">
        <v>1</v>
      </c>
      <c r="N482" s="1">
        <v>3.8839169349999998</v>
      </c>
      <c r="O482" s="1">
        <v>6.0402684559999997</v>
      </c>
      <c r="P482" s="1">
        <f t="shared" si="14"/>
        <v>1</v>
      </c>
      <c r="V482" t="str">
        <f t="shared" si="24"/>
        <v>Low Performer</v>
      </c>
      <c r="W482" t="e" cm="1">
        <f t="array" aca="1" ref="W482" ca="1">_xlfn.IFS(N482&gt;=20, "High",N482&gt;=10, "Medium", N482&lt;10, "Low")</f>
        <v>#NAME?</v>
      </c>
      <c r="X482" t="str">
        <f t="shared" si="25"/>
        <v>High Budget</v>
      </c>
      <c r="Y482" s="7">
        <f>VLOOKUP(G482, Lookup_table!B:C,2,0)</f>
        <v>0.5</v>
      </c>
      <c r="Z482" t="str">
        <f t="shared" si="26"/>
        <v>Inefficient Spend</v>
      </c>
      <c r="AA482" t="str">
        <f>VLOOKUP(H482, Lookup_table!E:F,2,0)</f>
        <v>High</v>
      </c>
    </row>
    <row r="483" spans="1:27" ht="17.5" customHeight="1" x14ac:dyDescent="0.35">
      <c r="A483" s="1" t="s">
        <v>697</v>
      </c>
      <c r="B483" s="2">
        <v>45381</v>
      </c>
      <c r="C483" s="1" t="s">
        <v>492</v>
      </c>
      <c r="D483" s="1">
        <v>34</v>
      </c>
      <c r="E483" s="1" t="s">
        <v>29</v>
      </c>
      <c r="F483" s="1" t="s">
        <v>24</v>
      </c>
      <c r="G483" s="1" t="s">
        <v>31</v>
      </c>
      <c r="H483" s="1" t="s">
        <v>36</v>
      </c>
      <c r="I483" s="1">
        <v>1447.21</v>
      </c>
      <c r="J483" s="1">
        <v>23239</v>
      </c>
      <c r="K483" s="1">
        <v>1637</v>
      </c>
      <c r="L483" s="1">
        <v>286</v>
      </c>
      <c r="M483" s="1">
        <v>4</v>
      </c>
      <c r="N483" s="1">
        <v>7.0441929520000004</v>
      </c>
      <c r="O483" s="1">
        <v>17.47098351</v>
      </c>
      <c r="P483" s="1">
        <f t="shared" si="14"/>
        <v>4</v>
      </c>
      <c r="V483" t="str">
        <f t="shared" si="24"/>
        <v>Average Performer</v>
      </c>
      <c r="W483" t="e" cm="1">
        <f t="array" aca="1" ref="W483" ca="1">_xlfn.IFS(N483&gt;=20, "High",N483&gt;=10, "Medium", N483&lt;10, "Low")</f>
        <v>#NAME?</v>
      </c>
      <c r="X483" t="str">
        <f t="shared" si="25"/>
        <v>High Budget</v>
      </c>
      <c r="Y483" s="7">
        <f>VLOOKUP(G483, Lookup_table!B:C,2,0)</f>
        <v>1.2</v>
      </c>
      <c r="Z483" t="str">
        <f t="shared" si="26"/>
        <v>Efficient Spend</v>
      </c>
      <c r="AA483" t="str">
        <f>VLOOKUP(H483, Lookup_table!E:F,2,0)</f>
        <v>High</v>
      </c>
    </row>
    <row r="484" spans="1:27" ht="17.5" customHeight="1" x14ac:dyDescent="0.35">
      <c r="A484" s="1" t="s">
        <v>698</v>
      </c>
      <c r="B484" s="2">
        <v>45313</v>
      </c>
      <c r="C484" s="1" t="s">
        <v>409</v>
      </c>
      <c r="D484" s="1">
        <v>54</v>
      </c>
      <c r="E484" s="1" t="s">
        <v>23</v>
      </c>
      <c r="F484" s="1" t="s">
        <v>57</v>
      </c>
      <c r="G484" s="1" t="s">
        <v>61</v>
      </c>
      <c r="H484" s="1" t="s">
        <v>62</v>
      </c>
      <c r="I484" s="1">
        <v>1807.33</v>
      </c>
      <c r="J484" s="1">
        <v>4303</v>
      </c>
      <c r="K484" s="1">
        <v>3197</v>
      </c>
      <c r="L484" s="1">
        <v>124</v>
      </c>
      <c r="M484" s="1">
        <v>4</v>
      </c>
      <c r="N484" s="1">
        <v>74.297002090000007</v>
      </c>
      <c r="O484" s="1">
        <v>3.8786362209999998</v>
      </c>
      <c r="P484" s="1">
        <f t="shared" si="14"/>
        <v>4</v>
      </c>
      <c r="V484" t="str">
        <f t="shared" si="24"/>
        <v>Average Performer</v>
      </c>
      <c r="W484" t="e" cm="1">
        <f t="array" aca="1" ref="W484" ca="1">_xlfn.IFS(N484&gt;=20, "High",N484&gt;=10, "Medium", N484&lt;10, "Low")</f>
        <v>#NAME?</v>
      </c>
      <c r="X484" t="str">
        <f t="shared" si="25"/>
        <v>High Budget</v>
      </c>
      <c r="Y484" s="7">
        <f>VLOOKUP(G484, Lookup_table!B:C,2,0)</f>
        <v>0.2</v>
      </c>
      <c r="Z484" t="str">
        <f t="shared" si="26"/>
        <v>Inefficient Spend</v>
      </c>
      <c r="AA484" t="str">
        <f>VLOOKUP(H484, Lookup_table!E:F,2,0)</f>
        <v>Medium</v>
      </c>
    </row>
    <row r="485" spans="1:27" ht="17.5" customHeight="1" x14ac:dyDescent="0.35">
      <c r="A485" s="1" t="s">
        <v>699</v>
      </c>
      <c r="B485" s="2">
        <v>45394</v>
      </c>
      <c r="C485" s="1" t="s">
        <v>115</v>
      </c>
      <c r="D485" s="1">
        <v>29</v>
      </c>
      <c r="E485" s="1" t="s">
        <v>29</v>
      </c>
      <c r="F485" s="1" t="s">
        <v>45</v>
      </c>
      <c r="G485" s="1" t="s">
        <v>42</v>
      </c>
      <c r="H485" s="1" t="s">
        <v>62</v>
      </c>
      <c r="I485" s="1">
        <v>279.16000000000003</v>
      </c>
      <c r="J485" s="1">
        <v>46212</v>
      </c>
      <c r="K485" s="1">
        <v>4540</v>
      </c>
      <c r="L485" s="1">
        <v>90</v>
      </c>
      <c r="N485" s="1">
        <v>9.8242880639999992</v>
      </c>
      <c r="O485" s="1">
        <v>1.9823788550000001</v>
      </c>
      <c r="P485" s="1">
        <f t="shared" si="14"/>
        <v>3</v>
      </c>
      <c r="V485" t="str">
        <f t="shared" si="24"/>
        <v>Low Performer</v>
      </c>
      <c r="W485" t="e" cm="1">
        <f t="array" aca="1" ref="W485" ca="1">_xlfn.IFS(N485&gt;=20, "High",N485&gt;=10, "Medium", N485&lt;10, "Low")</f>
        <v>#NAME?</v>
      </c>
      <c r="X485" t="str">
        <f t="shared" si="25"/>
        <v>Low Budget</v>
      </c>
      <c r="Y485" s="7">
        <f>VLOOKUP(G485, Lookup_table!B:C,2,0)</f>
        <v>0.3</v>
      </c>
      <c r="Z485" t="str">
        <f t="shared" si="26"/>
        <v>Efficient Spend</v>
      </c>
      <c r="AA485" t="str">
        <f>VLOOKUP(H485, Lookup_table!E:F,2,0)</f>
        <v>Medium</v>
      </c>
    </row>
    <row r="486" spans="1:27" ht="17.5" customHeight="1" x14ac:dyDescent="0.35">
      <c r="A486" s="1" t="s">
        <v>700</v>
      </c>
      <c r="B486" s="2">
        <v>45399</v>
      </c>
      <c r="C486" s="1" t="s">
        <v>134</v>
      </c>
      <c r="D486" s="9">
        <v>41</v>
      </c>
      <c r="E486" s="1" t="s">
        <v>23</v>
      </c>
      <c r="G486" s="1" t="s">
        <v>42</v>
      </c>
      <c r="H486" s="1" t="s">
        <v>62</v>
      </c>
      <c r="I486" s="1">
        <v>569.16</v>
      </c>
      <c r="J486" s="1">
        <v>8704</v>
      </c>
      <c r="K486" s="1">
        <v>4318</v>
      </c>
      <c r="L486" s="1">
        <v>34</v>
      </c>
      <c r="N486" s="1">
        <v>49.609375</v>
      </c>
      <c r="O486" s="1">
        <v>0.78740157499999996</v>
      </c>
      <c r="P486" s="1">
        <f t="shared" si="14"/>
        <v>3</v>
      </c>
      <c r="V486" t="str">
        <f t="shared" si="24"/>
        <v>Low Performer</v>
      </c>
      <c r="W486" t="e" cm="1">
        <f t="array" aca="1" ref="W486" ca="1">_xlfn.IFS(N486&gt;=20, "High",N486&gt;=10, "Medium", N486&lt;10, "Low")</f>
        <v>#NAME?</v>
      </c>
      <c r="X486" t="str">
        <f t="shared" si="25"/>
        <v>Medium Budget</v>
      </c>
      <c r="Y486" s="7">
        <f>VLOOKUP(G486, Lookup_table!B:C,2,0)</f>
        <v>0.3</v>
      </c>
      <c r="Z486" t="str">
        <f t="shared" si="26"/>
        <v>Efficient Spend</v>
      </c>
      <c r="AA486" t="str">
        <f>VLOOKUP(H486, Lookup_table!E:F,2,0)</f>
        <v>Medium</v>
      </c>
    </row>
    <row r="487" spans="1:27" ht="17.5" customHeight="1" x14ac:dyDescent="0.35">
      <c r="A487" s="1" t="s">
        <v>701</v>
      </c>
      <c r="B487" s="2">
        <v>45457</v>
      </c>
      <c r="C487" s="1" t="s">
        <v>157</v>
      </c>
      <c r="D487" s="1">
        <v>26</v>
      </c>
      <c r="E487" s="1" t="s">
        <v>23</v>
      </c>
      <c r="F487" s="1" t="s">
        <v>24</v>
      </c>
      <c r="G487" s="1" t="s">
        <v>46</v>
      </c>
      <c r="H487" s="1" t="s">
        <v>26</v>
      </c>
      <c r="I487" s="1">
        <v>427.94</v>
      </c>
      <c r="J487" s="1">
        <v>31240</v>
      </c>
      <c r="K487" s="1">
        <v>2206</v>
      </c>
      <c r="L487" s="1">
        <v>270</v>
      </c>
      <c r="M487" s="1">
        <v>4</v>
      </c>
      <c r="N487" s="1">
        <v>7.0614596670000003</v>
      </c>
      <c r="O487" s="1">
        <v>12.23934723</v>
      </c>
      <c r="P487" s="1">
        <f t="shared" si="14"/>
        <v>4</v>
      </c>
      <c r="V487" t="str">
        <f t="shared" si="24"/>
        <v>Average Performer</v>
      </c>
      <c r="W487" t="e" cm="1">
        <f t="array" aca="1" ref="W487" ca="1">_xlfn.IFS(N487&gt;=20, "High",N487&gt;=10, "Medium", N487&lt;10, "Low")</f>
        <v>#NAME?</v>
      </c>
      <c r="X487" t="str">
        <f t="shared" si="25"/>
        <v>Low Budget</v>
      </c>
      <c r="Y487" s="7">
        <f>VLOOKUP(G487, Lookup_table!B:C,2,0)</f>
        <v>0.75</v>
      </c>
      <c r="Z487" t="str">
        <f t="shared" si="26"/>
        <v>Efficient Spend</v>
      </c>
      <c r="AA487" t="str">
        <f>VLOOKUP(H487, Lookup_table!E:F,2,0)</f>
        <v>High</v>
      </c>
    </row>
    <row r="488" spans="1:27" ht="17.5" customHeight="1" x14ac:dyDescent="0.35">
      <c r="A488" s="1" t="s">
        <v>702</v>
      </c>
      <c r="B488" s="2">
        <v>45573</v>
      </c>
      <c r="C488" s="1" t="s">
        <v>160</v>
      </c>
      <c r="D488" s="1">
        <v>52</v>
      </c>
      <c r="E488" s="1" t="s">
        <v>35</v>
      </c>
      <c r="F488" s="1" t="s">
        <v>50</v>
      </c>
      <c r="G488" s="1" t="s">
        <v>42</v>
      </c>
      <c r="H488" s="1" t="s">
        <v>26</v>
      </c>
      <c r="I488" s="1">
        <v>1073.06</v>
      </c>
      <c r="J488" s="1">
        <v>35650</v>
      </c>
      <c r="K488" s="1">
        <v>309</v>
      </c>
      <c r="L488" s="1">
        <v>131</v>
      </c>
      <c r="M488" s="1">
        <v>3</v>
      </c>
      <c r="N488" s="1">
        <v>0.866760168</v>
      </c>
      <c r="O488" s="1">
        <v>42.394822009999999</v>
      </c>
      <c r="P488" s="1">
        <f t="shared" si="14"/>
        <v>3</v>
      </c>
      <c r="V488" t="str">
        <f t="shared" si="24"/>
        <v>Low Performer</v>
      </c>
      <c r="W488" t="e" cm="1">
        <f t="array" aca="1" ref="W488" ca="1">_xlfn.IFS(N488&gt;=20, "High",N488&gt;=10, "Medium", N488&lt;10, "Low")</f>
        <v>#NAME?</v>
      </c>
      <c r="X488" t="str">
        <f t="shared" si="25"/>
        <v>High Budget</v>
      </c>
      <c r="Y488" s="7">
        <f>VLOOKUP(G488, Lookup_table!B:C,2,0)</f>
        <v>0.3</v>
      </c>
      <c r="Z488" t="str">
        <f t="shared" si="26"/>
        <v>Inefficient Spend</v>
      </c>
      <c r="AA488" t="str">
        <f>VLOOKUP(H488, Lookup_table!E:F,2,0)</f>
        <v>High</v>
      </c>
    </row>
    <row r="489" spans="1:27" ht="17.5" customHeight="1" x14ac:dyDescent="0.35">
      <c r="A489" s="1" t="s">
        <v>703</v>
      </c>
      <c r="B489" s="2">
        <v>45360</v>
      </c>
      <c r="C489" s="1" t="s">
        <v>191</v>
      </c>
      <c r="D489" s="1">
        <v>33</v>
      </c>
      <c r="E489" s="1" t="s">
        <v>35</v>
      </c>
      <c r="F489" s="1" t="s">
        <v>57</v>
      </c>
      <c r="G489" s="1" t="s">
        <v>25</v>
      </c>
      <c r="H489" s="1" t="s">
        <v>36</v>
      </c>
      <c r="I489" s="1">
        <v>1095.5899999999999</v>
      </c>
      <c r="J489" s="1">
        <v>8097</v>
      </c>
      <c r="K489" s="1">
        <v>4780</v>
      </c>
      <c r="L489" s="1">
        <v>337</v>
      </c>
      <c r="M489" s="1">
        <v>2</v>
      </c>
      <c r="N489" s="1">
        <v>59.034210199999997</v>
      </c>
      <c r="O489" s="1">
        <v>7.0502092049999998</v>
      </c>
      <c r="P489" s="1">
        <f t="shared" si="14"/>
        <v>2</v>
      </c>
      <c r="V489" t="str">
        <f t="shared" si="24"/>
        <v>Top Performer</v>
      </c>
      <c r="W489" t="e" cm="1">
        <f t="array" aca="1" ref="W489" ca="1">_xlfn.IFS(N489&gt;=20, "High",N489&gt;=10, "Medium", N489&lt;10, "Low")</f>
        <v>#NAME?</v>
      </c>
      <c r="X489" t="str">
        <f t="shared" si="25"/>
        <v>High Budget</v>
      </c>
      <c r="Y489" s="7">
        <f>VLOOKUP(G489, Lookup_table!B:C,2,0)</f>
        <v>0.5</v>
      </c>
      <c r="Z489" t="str">
        <f t="shared" si="26"/>
        <v>Efficient Spend</v>
      </c>
      <c r="AA489" t="str">
        <f>VLOOKUP(H489, Lookup_table!E:F,2,0)</f>
        <v>High</v>
      </c>
    </row>
    <row r="490" spans="1:27" ht="17.5" customHeight="1" x14ac:dyDescent="0.35">
      <c r="A490" s="1" t="s">
        <v>704</v>
      </c>
      <c r="B490" s="2">
        <v>45442</v>
      </c>
      <c r="C490" s="1" t="s">
        <v>409</v>
      </c>
      <c r="D490" s="1">
        <v>58</v>
      </c>
      <c r="E490" s="1" t="s">
        <v>35</v>
      </c>
      <c r="F490" s="1" t="s">
        <v>30</v>
      </c>
      <c r="G490" s="1" t="s">
        <v>42</v>
      </c>
      <c r="H490" s="1" t="s">
        <v>36</v>
      </c>
      <c r="I490" s="1">
        <v>1616.83</v>
      </c>
      <c r="J490" s="1">
        <v>48262</v>
      </c>
      <c r="K490" s="1">
        <v>2065</v>
      </c>
      <c r="L490" s="1">
        <v>16</v>
      </c>
      <c r="M490" s="1">
        <v>3</v>
      </c>
      <c r="N490" s="1">
        <v>4.2787286059999996</v>
      </c>
      <c r="O490" s="1">
        <v>0.77481840199999996</v>
      </c>
      <c r="P490" s="1">
        <f t="shared" si="14"/>
        <v>3</v>
      </c>
      <c r="V490" t="str">
        <f t="shared" si="24"/>
        <v>Low Performer</v>
      </c>
      <c r="W490" t="e" cm="1">
        <f t="array" aca="1" ref="W490" ca="1">_xlfn.IFS(N490&gt;=20, "High",N490&gt;=10, "Medium", N490&lt;10, "Low")</f>
        <v>#NAME?</v>
      </c>
      <c r="X490" t="str">
        <f t="shared" si="25"/>
        <v>High Budget</v>
      </c>
      <c r="Y490" s="7">
        <f>VLOOKUP(G490, Lookup_table!B:C,2,0)</f>
        <v>0.3</v>
      </c>
      <c r="Z490" t="str">
        <f t="shared" si="26"/>
        <v>Inefficient Spend</v>
      </c>
      <c r="AA490" t="str">
        <f>VLOOKUP(H490, Lookup_table!E:F,2,0)</f>
        <v>High</v>
      </c>
    </row>
    <row r="491" spans="1:27" ht="17.5" customHeight="1" x14ac:dyDescent="0.35">
      <c r="A491" s="1" t="s">
        <v>705</v>
      </c>
      <c r="B491" s="2">
        <v>45324</v>
      </c>
      <c r="C491" s="1" t="s">
        <v>706</v>
      </c>
      <c r="D491" s="1">
        <v>44</v>
      </c>
      <c r="E491" s="1" t="s">
        <v>35</v>
      </c>
      <c r="F491" s="1" t="s">
        <v>50</v>
      </c>
      <c r="G491" s="1" t="s">
        <v>61</v>
      </c>
      <c r="H491" s="1" t="s">
        <v>32</v>
      </c>
      <c r="I491" s="1">
        <v>1635.95</v>
      </c>
      <c r="J491" s="1">
        <v>7197</v>
      </c>
      <c r="K491" s="1">
        <v>1788</v>
      </c>
      <c r="L491" s="1">
        <v>24</v>
      </c>
      <c r="M491" s="1">
        <v>2</v>
      </c>
      <c r="N491" s="1">
        <v>24.843684870000001</v>
      </c>
      <c r="O491" s="1">
        <v>1.342281879</v>
      </c>
      <c r="P491" s="1">
        <f t="shared" si="14"/>
        <v>2</v>
      </c>
      <c r="V491" t="str">
        <f t="shared" si="24"/>
        <v>Low Performer</v>
      </c>
      <c r="W491" t="e" cm="1">
        <f t="array" aca="1" ref="W491" ca="1">_xlfn.IFS(N491&gt;=20, "High",N491&gt;=10, "Medium", N491&lt;10, "Low")</f>
        <v>#NAME?</v>
      </c>
      <c r="X491" t="str">
        <f t="shared" si="25"/>
        <v>High Budget</v>
      </c>
      <c r="Y491" s="7">
        <f>VLOOKUP(G491, Lookup_table!B:C,2,0)</f>
        <v>0.2</v>
      </c>
      <c r="Z491" t="str">
        <f t="shared" si="26"/>
        <v>Inefficient Spend</v>
      </c>
      <c r="AA491" t="str">
        <f>VLOOKUP(H491, Lookup_table!E:F,2,0)</f>
        <v>Medium</v>
      </c>
    </row>
    <row r="492" spans="1:27" ht="17.5" customHeight="1" x14ac:dyDescent="0.35">
      <c r="A492" s="1" t="s">
        <v>707</v>
      </c>
      <c r="B492" s="2">
        <v>45611</v>
      </c>
      <c r="C492" s="1" t="s">
        <v>261</v>
      </c>
      <c r="D492" s="9">
        <v>41</v>
      </c>
      <c r="E492" s="1" t="s">
        <v>23</v>
      </c>
      <c r="G492" s="1" t="s">
        <v>42</v>
      </c>
      <c r="H492" s="1" t="s">
        <v>62</v>
      </c>
      <c r="I492" s="1">
        <v>446.63</v>
      </c>
      <c r="J492" s="1">
        <v>31137</v>
      </c>
      <c r="K492" s="1">
        <v>3898</v>
      </c>
      <c r="L492" s="1">
        <v>269</v>
      </c>
      <c r="N492" s="1">
        <v>12.518868230000001</v>
      </c>
      <c r="O492" s="1">
        <v>6.9009748589999997</v>
      </c>
      <c r="P492" s="1">
        <f t="shared" si="14"/>
        <v>3</v>
      </c>
      <c r="V492" t="str">
        <f t="shared" si="24"/>
        <v>Top Performer</v>
      </c>
      <c r="W492" t="e" cm="1">
        <f t="array" aca="1" ref="W492" ca="1">_xlfn.IFS(N492&gt;=20, "High",N492&gt;=10, "Medium", N492&lt;10, "Low")</f>
        <v>#NAME?</v>
      </c>
      <c r="X492" t="str">
        <f t="shared" si="25"/>
        <v>Low Budget</v>
      </c>
      <c r="Y492" s="7">
        <f>VLOOKUP(G492, Lookup_table!B:C,2,0)</f>
        <v>0.3</v>
      </c>
      <c r="Z492" t="str">
        <f t="shared" si="26"/>
        <v>Efficient Spend</v>
      </c>
      <c r="AA492" t="str">
        <f>VLOOKUP(H492, Lookup_table!E:F,2,0)</f>
        <v>Medium</v>
      </c>
    </row>
    <row r="493" spans="1:27" ht="17.5" customHeight="1" x14ac:dyDescent="0.35">
      <c r="A493" s="1" t="s">
        <v>708</v>
      </c>
      <c r="B493" s="2">
        <v>45518</v>
      </c>
      <c r="C493" s="1" t="s">
        <v>175</v>
      </c>
      <c r="D493" s="1">
        <v>43</v>
      </c>
      <c r="E493" s="1" t="s">
        <v>23</v>
      </c>
      <c r="F493" s="1" t="s">
        <v>45</v>
      </c>
      <c r="G493" s="1" t="s">
        <v>46</v>
      </c>
      <c r="H493" s="1" t="s">
        <v>32</v>
      </c>
      <c r="I493" s="1">
        <v>1926.85</v>
      </c>
      <c r="J493" s="1">
        <v>45461</v>
      </c>
      <c r="K493" s="1">
        <v>3777</v>
      </c>
      <c r="L493" s="1">
        <v>258</v>
      </c>
      <c r="M493" s="1">
        <v>4</v>
      </c>
      <c r="N493" s="1">
        <v>8.3082202330000001</v>
      </c>
      <c r="O493" s="1">
        <v>6.8308181100000001</v>
      </c>
      <c r="P493" s="1">
        <f t="shared" si="14"/>
        <v>4</v>
      </c>
      <c r="V493" t="str">
        <f t="shared" si="24"/>
        <v>Top Performer</v>
      </c>
      <c r="W493" t="e" cm="1">
        <f t="array" aca="1" ref="W493" ca="1">_xlfn.IFS(N493&gt;=20, "High",N493&gt;=10, "Medium", N493&lt;10, "Low")</f>
        <v>#NAME?</v>
      </c>
      <c r="X493" t="str">
        <f t="shared" si="25"/>
        <v>High Budget</v>
      </c>
      <c r="Y493" s="7">
        <f>VLOOKUP(G493, Lookup_table!B:C,2,0)</f>
        <v>0.75</v>
      </c>
      <c r="Z493" t="str">
        <f t="shared" si="26"/>
        <v>Efficient Spend</v>
      </c>
      <c r="AA493" t="str">
        <f>VLOOKUP(H493, Lookup_table!E:F,2,0)</f>
        <v>Medium</v>
      </c>
    </row>
    <row r="494" spans="1:27" ht="17.5" customHeight="1" x14ac:dyDescent="0.35">
      <c r="A494" s="1" t="s">
        <v>709</v>
      </c>
      <c r="B494" s="2">
        <v>45302</v>
      </c>
      <c r="C494" s="1" t="s">
        <v>289</v>
      </c>
      <c r="D494" s="1">
        <v>46</v>
      </c>
      <c r="E494" s="1" t="s">
        <v>23</v>
      </c>
      <c r="F494" s="1" t="s">
        <v>30</v>
      </c>
      <c r="G494" s="1" t="s">
        <v>25</v>
      </c>
      <c r="H494" s="1" t="s">
        <v>26</v>
      </c>
      <c r="I494" s="1">
        <v>1472.98</v>
      </c>
      <c r="J494" s="1">
        <v>42049</v>
      </c>
      <c r="K494" s="1">
        <v>779</v>
      </c>
      <c r="L494" s="1">
        <v>64</v>
      </c>
      <c r="M494" s="1">
        <v>3</v>
      </c>
      <c r="N494" s="1">
        <v>1.852600537</v>
      </c>
      <c r="O494" s="1">
        <v>8.2156611040000005</v>
      </c>
      <c r="P494" s="1">
        <f t="shared" si="14"/>
        <v>3</v>
      </c>
      <c r="V494" t="str">
        <f t="shared" si="24"/>
        <v>Low Performer</v>
      </c>
      <c r="W494" t="e" cm="1">
        <f t="array" aca="1" ref="W494" ca="1">_xlfn.IFS(N494&gt;=20, "High",N494&gt;=10, "Medium", N494&lt;10, "Low")</f>
        <v>#NAME?</v>
      </c>
      <c r="X494" t="str">
        <f t="shared" si="25"/>
        <v>High Budget</v>
      </c>
      <c r="Y494" s="7">
        <f>VLOOKUP(G494, Lookup_table!B:C,2,0)</f>
        <v>0.5</v>
      </c>
      <c r="Z494" t="str">
        <f t="shared" si="26"/>
        <v>Inefficient Spend</v>
      </c>
      <c r="AA494" t="str">
        <f>VLOOKUP(H494, Lookup_table!E:F,2,0)</f>
        <v>High</v>
      </c>
    </row>
    <row r="495" spans="1:27" ht="17.5" customHeight="1" x14ac:dyDescent="0.35">
      <c r="A495" s="1" t="s">
        <v>710</v>
      </c>
      <c r="B495" s="2">
        <v>45625</v>
      </c>
      <c r="C495" s="1" t="s">
        <v>505</v>
      </c>
      <c r="D495" s="1">
        <v>20</v>
      </c>
      <c r="E495" s="1" t="s">
        <v>29</v>
      </c>
      <c r="F495" s="1" t="s">
        <v>24</v>
      </c>
      <c r="G495" s="1" t="s">
        <v>61</v>
      </c>
      <c r="H495" s="1" t="s">
        <v>62</v>
      </c>
      <c r="I495" s="1">
        <v>656.89</v>
      </c>
      <c r="J495" s="1">
        <v>935</v>
      </c>
      <c r="K495" s="1">
        <v>3128</v>
      </c>
      <c r="L495" s="1">
        <v>248</v>
      </c>
      <c r="N495" s="1">
        <v>334.54545450000001</v>
      </c>
      <c r="O495" s="1">
        <v>7.9283887469999996</v>
      </c>
      <c r="P495" s="1">
        <f t="shared" si="14"/>
        <v>3</v>
      </c>
      <c r="U495" s="1">
        <f>COUNTIF(N491:N1000, N495&gt;100)</f>
        <v>0</v>
      </c>
      <c r="V495" t="str">
        <f t="shared" si="24"/>
        <v>Top Performer</v>
      </c>
      <c r="W495" t="e" cm="1">
        <f t="array" aca="1" ref="W495" ca="1">_xlfn.IFS(N495&gt;=20, "High",N495&gt;=10, "Medium", N495&lt;10, "Low")</f>
        <v>#NAME?</v>
      </c>
      <c r="X495" t="str">
        <f t="shared" si="25"/>
        <v>Medium Budget</v>
      </c>
      <c r="Y495" s="7">
        <f>VLOOKUP(G495, Lookup_table!B:C,2,0)</f>
        <v>0.2</v>
      </c>
      <c r="Z495" t="str">
        <f t="shared" si="26"/>
        <v>Inefficient Spend</v>
      </c>
      <c r="AA495" t="str">
        <f>VLOOKUP(H495, Lookup_table!E:F,2,0)</f>
        <v>Medium</v>
      </c>
    </row>
    <row r="496" spans="1:27" ht="17.5" customHeight="1" x14ac:dyDescent="0.35">
      <c r="A496" s="1" t="s">
        <v>711</v>
      </c>
      <c r="B496" s="2">
        <v>45455</v>
      </c>
      <c r="C496" s="1" t="s">
        <v>567</v>
      </c>
      <c r="D496" s="1">
        <v>51</v>
      </c>
      <c r="E496" s="1" t="s">
        <v>35</v>
      </c>
      <c r="F496" s="1" t="s">
        <v>30</v>
      </c>
      <c r="G496" s="1" t="s">
        <v>42</v>
      </c>
      <c r="H496" s="1" t="s">
        <v>26</v>
      </c>
      <c r="I496" s="1">
        <v>553.27</v>
      </c>
      <c r="J496" s="1">
        <v>44864</v>
      </c>
      <c r="K496" s="1">
        <v>4157</v>
      </c>
      <c r="L496" s="1">
        <v>130</v>
      </c>
      <c r="M496" s="1">
        <v>3</v>
      </c>
      <c r="N496" s="1">
        <v>9.2657810269999992</v>
      </c>
      <c r="O496" s="1">
        <v>3.127255232</v>
      </c>
      <c r="P496" s="1">
        <f t="shared" si="14"/>
        <v>3</v>
      </c>
      <c r="V496" t="str">
        <f t="shared" si="24"/>
        <v>Average Performer</v>
      </c>
      <c r="W496" t="e" cm="1">
        <f t="array" aca="1" ref="W496" ca="1">_xlfn.IFS(N496&gt;=20, "High",N496&gt;=10, "Medium", N496&lt;10, "Low")</f>
        <v>#NAME?</v>
      </c>
      <c r="X496" t="str">
        <f t="shared" si="25"/>
        <v>Medium Budget</v>
      </c>
      <c r="Y496" s="7">
        <f>VLOOKUP(G496, Lookup_table!B:C,2,0)</f>
        <v>0.3</v>
      </c>
      <c r="Z496" t="str">
        <f t="shared" si="26"/>
        <v>Efficient Spend</v>
      </c>
      <c r="AA496" t="str">
        <f>VLOOKUP(H496, Lookup_table!E:F,2,0)</f>
        <v>High</v>
      </c>
    </row>
    <row r="497" spans="1:27" ht="17.5" customHeight="1" x14ac:dyDescent="0.35">
      <c r="A497" s="1" t="s">
        <v>712</v>
      </c>
      <c r="B497" s="2">
        <v>45330</v>
      </c>
      <c r="C497" s="1" t="s">
        <v>130</v>
      </c>
      <c r="D497" s="1">
        <v>59</v>
      </c>
      <c r="E497" s="1" t="s">
        <v>23</v>
      </c>
      <c r="F497" s="1" t="s">
        <v>41</v>
      </c>
      <c r="G497" s="1" t="s">
        <v>25</v>
      </c>
      <c r="H497" s="1" t="s">
        <v>26</v>
      </c>
      <c r="I497" s="1">
        <v>398.14</v>
      </c>
      <c r="J497" s="1">
        <v>21016</v>
      </c>
      <c r="K497" s="1">
        <v>1705</v>
      </c>
      <c r="L497" s="1">
        <v>384</v>
      </c>
      <c r="M497" s="1">
        <v>2</v>
      </c>
      <c r="N497" s="1">
        <v>8.1128663880000005</v>
      </c>
      <c r="O497" s="1">
        <v>22.52199413</v>
      </c>
      <c r="P497" s="1">
        <f t="shared" si="14"/>
        <v>2</v>
      </c>
      <c r="V497" t="str">
        <f t="shared" si="24"/>
        <v>Average Performer</v>
      </c>
      <c r="W497" t="e" cm="1">
        <f t="array" aca="1" ref="W497" ca="1">_xlfn.IFS(N497&gt;=20, "High",N497&gt;=10, "Medium", N497&lt;10, "Low")</f>
        <v>#NAME?</v>
      </c>
      <c r="X497" t="str">
        <f t="shared" si="25"/>
        <v>Low Budget</v>
      </c>
      <c r="Y497" s="7">
        <f>VLOOKUP(G497, Lookup_table!B:C,2,0)</f>
        <v>0.5</v>
      </c>
      <c r="Z497" t="str">
        <f t="shared" si="26"/>
        <v>Efficient Spend</v>
      </c>
      <c r="AA497" t="str">
        <f>VLOOKUP(H497, Lookup_table!E:F,2,0)</f>
        <v>High</v>
      </c>
    </row>
    <row r="498" spans="1:27" ht="17.5" customHeight="1" x14ac:dyDescent="0.35">
      <c r="A498" s="1" t="s">
        <v>713</v>
      </c>
      <c r="B498" s="2">
        <v>45651</v>
      </c>
      <c r="C498" s="1" t="s">
        <v>714</v>
      </c>
      <c r="D498" s="1">
        <v>61</v>
      </c>
      <c r="E498" s="1" t="s">
        <v>29</v>
      </c>
      <c r="F498" s="1" t="s">
        <v>50</v>
      </c>
      <c r="G498" s="1" t="s">
        <v>46</v>
      </c>
      <c r="H498" s="1" t="s">
        <v>36</v>
      </c>
      <c r="I498" s="1">
        <v>1709.65</v>
      </c>
      <c r="J498" s="1">
        <v>12991</v>
      </c>
      <c r="K498" s="1">
        <v>3816</v>
      </c>
      <c r="L498" s="1">
        <v>394</v>
      </c>
      <c r="N498" s="1">
        <v>29.374182130000001</v>
      </c>
      <c r="O498" s="1">
        <v>10.324947590000001</v>
      </c>
      <c r="P498" s="1">
        <f t="shared" si="14"/>
        <v>3</v>
      </c>
      <c r="V498" t="str">
        <f t="shared" si="24"/>
        <v>Top Performer</v>
      </c>
      <c r="W498" t="e" cm="1">
        <f t="array" aca="1" ref="W498" ca="1">_xlfn.IFS(N498&gt;=20, "High",N498&gt;=10, "Medium", N498&lt;10, "Low")</f>
        <v>#NAME?</v>
      </c>
      <c r="X498" t="str">
        <f t="shared" si="25"/>
        <v>High Budget</v>
      </c>
      <c r="Y498" s="7">
        <f>VLOOKUP(G498, Lookup_table!B:C,2,0)</f>
        <v>0.75</v>
      </c>
      <c r="Z498" t="str">
        <f t="shared" si="26"/>
        <v>Efficient Spend</v>
      </c>
      <c r="AA498" t="str">
        <f>VLOOKUP(H498, Lookup_table!E:F,2,0)</f>
        <v>High</v>
      </c>
    </row>
    <row r="499" spans="1:27" ht="17.5" customHeight="1" x14ac:dyDescent="0.35">
      <c r="A499" s="1" t="s">
        <v>715</v>
      </c>
      <c r="B499" s="2">
        <v>45404</v>
      </c>
      <c r="C499" s="1" t="s">
        <v>64</v>
      </c>
      <c r="D499" s="1">
        <v>48</v>
      </c>
      <c r="E499" s="1" t="s">
        <v>23</v>
      </c>
      <c r="F499" s="1" t="s">
        <v>24</v>
      </c>
      <c r="G499" s="1" t="s">
        <v>31</v>
      </c>
      <c r="H499" s="1" t="s">
        <v>36</v>
      </c>
      <c r="I499" s="1">
        <v>1638.68</v>
      </c>
      <c r="J499" s="1">
        <v>35229</v>
      </c>
      <c r="K499" s="1">
        <v>4750</v>
      </c>
      <c r="L499" s="1">
        <v>174</v>
      </c>
      <c r="M499" s="1">
        <v>1</v>
      </c>
      <c r="N499" s="1">
        <v>13.483209860000001</v>
      </c>
      <c r="O499" s="1">
        <v>3.6631578949999999</v>
      </c>
      <c r="P499" s="1">
        <f t="shared" si="14"/>
        <v>1</v>
      </c>
      <c r="V499" t="str">
        <f t="shared" si="24"/>
        <v>Average Performer</v>
      </c>
      <c r="W499" t="e" cm="1">
        <f t="array" aca="1" ref="W499" ca="1">_xlfn.IFS(N499&gt;=20, "High",N499&gt;=10, "Medium", N499&lt;10, "Low")</f>
        <v>#NAME?</v>
      </c>
      <c r="X499" t="str">
        <f t="shared" si="25"/>
        <v>High Budget</v>
      </c>
      <c r="Y499" s="7">
        <f>VLOOKUP(G499, Lookup_table!B:C,2,0)</f>
        <v>1.2</v>
      </c>
      <c r="Z499" t="str">
        <f t="shared" si="26"/>
        <v>Efficient Spend</v>
      </c>
      <c r="AA499" t="str">
        <f>VLOOKUP(H499, Lookup_table!E:F,2,0)</f>
        <v>High</v>
      </c>
    </row>
    <row r="500" spans="1:27" ht="17.5" customHeight="1" x14ac:dyDescent="0.35">
      <c r="A500" s="1" t="s">
        <v>716</v>
      </c>
      <c r="B500" s="2">
        <v>45292</v>
      </c>
      <c r="C500" s="1" t="s">
        <v>369</v>
      </c>
      <c r="D500" s="1">
        <v>40</v>
      </c>
      <c r="E500" s="1" t="s">
        <v>29</v>
      </c>
      <c r="F500" s="1" t="s">
        <v>57</v>
      </c>
      <c r="G500" s="1" t="s">
        <v>31</v>
      </c>
      <c r="H500" s="1" t="s">
        <v>32</v>
      </c>
      <c r="I500" s="1">
        <v>1560.04</v>
      </c>
      <c r="J500" s="1">
        <v>4611</v>
      </c>
      <c r="K500" s="1">
        <v>2522</v>
      </c>
      <c r="L500" s="1">
        <v>308</v>
      </c>
      <c r="M500" s="1">
        <v>1</v>
      </c>
      <c r="N500" s="1">
        <v>54.69529386</v>
      </c>
      <c r="O500" s="1">
        <v>12.212529740000001</v>
      </c>
      <c r="P500" s="1">
        <f t="shared" si="14"/>
        <v>1</v>
      </c>
      <c r="V500" t="str">
        <f t="shared" si="24"/>
        <v>Average Performer</v>
      </c>
      <c r="W500" t="e" cm="1">
        <f t="array" aca="1" ref="W500" ca="1">_xlfn.IFS(N500&gt;=20, "High",N500&gt;=10, "Medium", N500&lt;10, "Low")</f>
        <v>#NAME?</v>
      </c>
      <c r="X500" t="str">
        <f t="shared" si="25"/>
        <v>High Budget</v>
      </c>
      <c r="Y500" s="7">
        <f>VLOOKUP(G500, Lookup_table!B:C,2,0)</f>
        <v>1.2</v>
      </c>
      <c r="Z500" t="str">
        <f t="shared" si="26"/>
        <v>Efficient Spend</v>
      </c>
      <c r="AA500" t="str">
        <f>VLOOKUP(H500, Lookup_table!E:F,2,0)</f>
        <v>Medium</v>
      </c>
    </row>
    <row r="501" spans="1:27" ht="17.5" customHeight="1" x14ac:dyDescent="0.35">
      <c r="A501" s="1" t="s">
        <v>717</v>
      </c>
      <c r="B501" s="2">
        <v>45374</v>
      </c>
      <c r="C501" s="1" t="s">
        <v>456</v>
      </c>
      <c r="D501" s="1">
        <v>43</v>
      </c>
      <c r="E501" s="1" t="s">
        <v>35</v>
      </c>
      <c r="F501" s="1" t="s">
        <v>24</v>
      </c>
      <c r="G501" s="1" t="s">
        <v>46</v>
      </c>
      <c r="H501" s="1" t="s">
        <v>26</v>
      </c>
      <c r="I501" s="1">
        <v>767.66</v>
      </c>
      <c r="J501" s="1">
        <v>753</v>
      </c>
      <c r="K501" s="1">
        <v>627</v>
      </c>
      <c r="L501" s="1">
        <v>301</v>
      </c>
      <c r="N501" s="1">
        <v>83.266932269999998</v>
      </c>
      <c r="O501" s="1">
        <v>48.006379590000002</v>
      </c>
      <c r="P501" s="1">
        <f t="shared" si="14"/>
        <v>3</v>
      </c>
      <c r="V501" t="str">
        <f t="shared" si="24"/>
        <v>Low Performer</v>
      </c>
      <c r="W501" t="e" cm="1">
        <f t="array" aca="1" ref="W501" ca="1">_xlfn.IFS(N501&gt;=20, "High",N501&gt;=10, "Medium", N501&lt;10, "Low")</f>
        <v>#NAME?</v>
      </c>
      <c r="X501" t="str">
        <f t="shared" si="25"/>
        <v>Medium Budget</v>
      </c>
      <c r="Y501" s="7">
        <f>VLOOKUP(G501, Lookup_table!B:C,2,0)</f>
        <v>0.75</v>
      </c>
      <c r="Z501" t="str">
        <f t="shared" si="26"/>
        <v>Inefficient Spend</v>
      </c>
      <c r="AA501" t="str">
        <f>VLOOKUP(H501, Lookup_table!E:F,2,0)</f>
        <v>High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F25" sqref="F25"/>
    </sheetView>
  </sheetViews>
  <sheetFormatPr defaultRowHeight="14.5" x14ac:dyDescent="0.35"/>
  <cols>
    <col min="1" max="1" width="12.36328125" customWidth="1"/>
    <col min="2" max="2" width="17.453125" customWidth="1"/>
    <col min="3" max="3" width="17" customWidth="1"/>
    <col min="5" max="5" width="15.453125" bestFit="1" customWidth="1"/>
    <col min="6" max="6" width="11.7265625" bestFit="1" customWidth="1"/>
    <col min="7" max="7" width="17.453125" bestFit="1" customWidth="1"/>
  </cols>
  <sheetData>
    <row r="1" spans="1:7" x14ac:dyDescent="0.35">
      <c r="A1" s="10" t="s">
        <v>753</v>
      </c>
      <c r="B1" t="s">
        <v>752</v>
      </c>
      <c r="C1" t="s">
        <v>755</v>
      </c>
      <c r="E1" s="10" t="s">
        <v>753</v>
      </c>
      <c r="F1" t="s">
        <v>756</v>
      </c>
      <c r="G1" t="s">
        <v>752</v>
      </c>
    </row>
    <row r="2" spans="1:7" x14ac:dyDescent="0.35">
      <c r="A2" s="11" t="s">
        <v>61</v>
      </c>
      <c r="B2" s="7">
        <v>15640</v>
      </c>
      <c r="C2" s="7">
        <v>86773.240000000034</v>
      </c>
      <c r="E2" s="11" t="s">
        <v>32</v>
      </c>
      <c r="F2" s="7">
        <v>314417</v>
      </c>
      <c r="G2" s="7">
        <v>26396</v>
      </c>
    </row>
    <row r="3" spans="1:7" x14ac:dyDescent="0.35">
      <c r="A3" s="11" t="s">
        <v>25</v>
      </c>
      <c r="B3" s="7">
        <v>18835</v>
      </c>
      <c r="C3" s="7">
        <v>109367.45999999998</v>
      </c>
      <c r="E3" s="11" t="s">
        <v>62</v>
      </c>
      <c r="F3" s="7">
        <v>275232</v>
      </c>
      <c r="G3" s="7">
        <v>19327</v>
      </c>
    </row>
    <row r="4" spans="1:7" x14ac:dyDescent="0.35">
      <c r="A4" s="11" t="s">
        <v>31</v>
      </c>
      <c r="B4" s="7">
        <v>20533</v>
      </c>
      <c r="C4" s="7">
        <v>102540.64999999997</v>
      </c>
      <c r="E4" s="11" t="s">
        <v>36</v>
      </c>
      <c r="F4" s="7">
        <v>322161</v>
      </c>
      <c r="G4" s="7">
        <v>26520</v>
      </c>
    </row>
    <row r="5" spans="1:7" x14ac:dyDescent="0.35">
      <c r="A5" s="11" t="s">
        <v>46</v>
      </c>
      <c r="B5" s="7">
        <v>22625</v>
      </c>
      <c r="C5" s="7">
        <v>114210.10000000002</v>
      </c>
      <c r="E5" s="11" t="s">
        <v>26</v>
      </c>
      <c r="F5" s="7">
        <v>353412</v>
      </c>
      <c r="G5" s="7">
        <v>25708</v>
      </c>
    </row>
    <row r="6" spans="1:7" x14ac:dyDescent="0.35">
      <c r="A6" s="11" t="s">
        <v>42</v>
      </c>
      <c r="B6" s="7">
        <v>20318</v>
      </c>
      <c r="C6" s="7">
        <v>106296.51000000004</v>
      </c>
      <c r="E6" s="11" t="s">
        <v>754</v>
      </c>
      <c r="F6" s="7">
        <v>1265222</v>
      </c>
      <c r="G6" s="7">
        <v>97951</v>
      </c>
    </row>
    <row r="7" spans="1:7" x14ac:dyDescent="0.35">
      <c r="A7" s="11" t="s">
        <v>754</v>
      </c>
      <c r="B7" s="7">
        <v>97951</v>
      </c>
      <c r="C7" s="7">
        <v>519187.96000000008</v>
      </c>
    </row>
    <row r="10" spans="1:7" x14ac:dyDescent="0.35">
      <c r="A10" s="10" t="s">
        <v>753</v>
      </c>
      <c r="B10" t="s">
        <v>755</v>
      </c>
      <c r="C10" t="s">
        <v>752</v>
      </c>
    </row>
    <row r="11" spans="1:7" x14ac:dyDescent="0.35">
      <c r="A11" s="11" t="s">
        <v>45</v>
      </c>
      <c r="B11" s="7">
        <v>83040.99000000002</v>
      </c>
      <c r="C11" s="7">
        <v>16045</v>
      </c>
    </row>
    <row r="12" spans="1:7" x14ac:dyDescent="0.35">
      <c r="A12" s="11" t="s">
        <v>57</v>
      </c>
      <c r="B12" s="7">
        <v>92861.85</v>
      </c>
      <c r="C12" s="7">
        <v>17712</v>
      </c>
    </row>
    <row r="13" spans="1:7" x14ac:dyDescent="0.35">
      <c r="A13" s="11" t="s">
        <v>30</v>
      </c>
      <c r="B13" s="7">
        <v>81021.999999999985</v>
      </c>
      <c r="C13" s="7">
        <v>14207</v>
      </c>
    </row>
    <row r="14" spans="1:7" x14ac:dyDescent="0.35">
      <c r="A14" s="11" t="s">
        <v>50</v>
      </c>
      <c r="B14" s="7">
        <v>80095.8</v>
      </c>
      <c r="C14" s="7">
        <v>15170</v>
      </c>
    </row>
    <row r="15" spans="1:7" x14ac:dyDescent="0.35">
      <c r="A15" s="11" t="s">
        <v>41</v>
      </c>
      <c r="B15" s="7">
        <v>64414.43</v>
      </c>
      <c r="C15" s="7">
        <v>13225</v>
      </c>
    </row>
    <row r="16" spans="1:7" x14ac:dyDescent="0.35">
      <c r="A16" s="11" t="s">
        <v>24</v>
      </c>
      <c r="B16" s="7">
        <v>92455.37000000001</v>
      </c>
      <c r="C16" s="7">
        <v>18201</v>
      </c>
    </row>
    <row r="17" spans="1:3" x14ac:dyDescent="0.35">
      <c r="A17" s="11" t="s">
        <v>754</v>
      </c>
      <c r="B17" s="7">
        <v>493890.44</v>
      </c>
      <c r="C17" s="7">
        <v>94560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G12" sqref="G12"/>
    </sheetView>
  </sheetViews>
  <sheetFormatPr defaultColWidth="16.6328125" defaultRowHeight="14.5" x14ac:dyDescent="0.35"/>
  <cols>
    <col min="7" max="7" width="21.81640625" customWidth="1"/>
  </cols>
  <sheetData>
    <row r="1" spans="1:8" x14ac:dyDescent="0.35">
      <c r="A1" t="s">
        <v>757</v>
      </c>
      <c r="B1" t="s">
        <v>8</v>
      </c>
      <c r="C1" t="s">
        <v>10</v>
      </c>
      <c r="D1" t="s">
        <v>765</v>
      </c>
      <c r="E1" t="s">
        <v>13</v>
      </c>
      <c r="G1" t="s">
        <v>766</v>
      </c>
      <c r="H1" t="s">
        <v>770</v>
      </c>
    </row>
    <row r="2" spans="1:8" x14ac:dyDescent="0.35">
      <c r="A2" t="s">
        <v>758</v>
      </c>
      <c r="B2" s="5">
        <f>AVERAGE(Cleaned_data!I2:I501)</f>
        <v>1038.3759199999997</v>
      </c>
      <c r="C2">
        <f>AVERAGE(Cleaned_data!K2:K501)</f>
        <v>2530.444</v>
      </c>
      <c r="D2">
        <f>AVERAGE(Cleaned_data!L2:L501)</f>
        <v>195.90199999999999</v>
      </c>
      <c r="E2">
        <f>AVERAGE(Cleaned_data!N2:N501)</f>
        <v>26.339032983454018</v>
      </c>
      <c r="G2" t="s">
        <v>767</v>
      </c>
      <c r="H2">
        <f>CORREL(Cleaned_data!I2:I501, Cleaned_data!L2:L501)</f>
        <v>3.8896923745063199E-2</v>
      </c>
    </row>
    <row r="3" spans="1:8" x14ac:dyDescent="0.35">
      <c r="A3" t="s">
        <v>759</v>
      </c>
      <c r="B3">
        <f>MEDIAN(Cleaned_data!I2:I501)</f>
        <v>1075.9499999999998</v>
      </c>
      <c r="C3">
        <f>MEDIAN(Cleaned_data!K2:K501)</f>
        <v>2602</v>
      </c>
      <c r="D3">
        <f>MEDIAN(Cleaned_data!L2:L501)</f>
        <v>193</v>
      </c>
      <c r="E3">
        <f>MEDIAN(Cleaned_data!N2:N501)</f>
        <v>9.7058795979999992</v>
      </c>
      <c r="G3" t="s">
        <v>768</v>
      </c>
      <c r="H3">
        <f>CORREL(Cleaned_data!K2:K501, Cleaned_data!L2:L501)</f>
        <v>-2.1374633221905991E-2</v>
      </c>
    </row>
    <row r="4" spans="1:8" x14ac:dyDescent="0.35">
      <c r="A4" t="s">
        <v>760</v>
      </c>
      <c r="B4" s="12" t="str">
        <f>IFERROR(MODE(Cleaned_data!I2:I501), "No Mode")</f>
        <v>No Mode</v>
      </c>
      <c r="C4">
        <f>IFERROR(MODE(Cleaned_data!K2:K501), "No Mode")</f>
        <v>3461</v>
      </c>
      <c r="D4">
        <f>IFERROR(MODE(Cleaned_data!L2:L501),"No Mode")</f>
        <v>373</v>
      </c>
      <c r="E4" s="12" t="str">
        <f>IFERROR(MODE(Cleaned_data!N2:N501),"No Mode")</f>
        <v>No Mode</v>
      </c>
      <c r="G4" t="s">
        <v>769</v>
      </c>
      <c r="H4">
        <f>CORREL(Cleaned_data!N2:N501, Cleaned_data!L2:L501)</f>
        <v>1.2657224369908593E-2</v>
      </c>
    </row>
    <row r="5" spans="1:8" x14ac:dyDescent="0.35">
      <c r="A5" t="s">
        <v>761</v>
      </c>
      <c r="B5" s="5">
        <f>STDEV(Cleaned_data!I:I)</f>
        <v>569.1031589351561</v>
      </c>
      <c r="C5" s="5">
        <f>STDEV(Cleaned_data!K:K)</f>
        <v>1457.1374547337584</v>
      </c>
      <c r="D5" s="5">
        <f>STDEV(Cleaned_data!L:L)</f>
        <v>120.00173844766134</v>
      </c>
      <c r="E5">
        <f>STDEV(Cleaned_data!N:N)</f>
        <v>63.670457537049955</v>
      </c>
    </row>
    <row r="6" spans="1:8" x14ac:dyDescent="0.35">
      <c r="A6" t="s">
        <v>762</v>
      </c>
      <c r="B6" s="5">
        <f>VAR(Cleaned_data!I:I)</f>
        <v>323878.40550997359</v>
      </c>
      <c r="C6" s="5">
        <f>VAR(Cleaned_data!K:K)</f>
        <v>2123249.5619879761</v>
      </c>
      <c r="D6" s="5">
        <f>VAR(Cleaned_data!L:L)</f>
        <v>14400.41723046092</v>
      </c>
      <c r="E6">
        <f>VAR(Cleaned_data!N:N)</f>
        <v>4053.9271629772816</v>
      </c>
    </row>
    <row r="7" spans="1:8" x14ac:dyDescent="0.35">
      <c r="A7" t="s">
        <v>763</v>
      </c>
      <c r="B7">
        <f>MIN(Cleaned_data!I2:I501)</f>
        <v>50.16</v>
      </c>
      <c r="C7">
        <f>MIN(Cleaned_data!K2:K501)</f>
        <v>12</v>
      </c>
      <c r="D7">
        <f>MIN(Cleaned_data!L2:L501)</f>
        <v>2</v>
      </c>
      <c r="E7">
        <f>MIN(Cleaned_data!N2:N501)</f>
        <v>3.2187977999999999E-2</v>
      </c>
    </row>
    <row r="8" spans="1:8" x14ac:dyDescent="0.35">
      <c r="A8" t="s">
        <v>764</v>
      </c>
      <c r="B8">
        <f>MAX(Cleaned_data!I2:I501)</f>
        <v>1998.65</v>
      </c>
      <c r="C8">
        <f>MAX(Cleaned_data!K2:K501)</f>
        <v>4997</v>
      </c>
      <c r="D8">
        <f>MAX(Cleaned_data!L2:L501)</f>
        <v>399</v>
      </c>
      <c r="E8">
        <f>MAX(Cleaned_data!N2:N501)</f>
        <v>781.12840470000003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1"/>
  <sheetViews>
    <sheetView topLeftCell="A39" workbookViewId="0">
      <selection activeCell="F1" sqref="F1:F1048576"/>
    </sheetView>
  </sheetViews>
  <sheetFormatPr defaultColWidth="17.36328125"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21</v>
      </c>
      <c r="B2">
        <v>45467</v>
      </c>
      <c r="C2" t="s">
        <v>22</v>
      </c>
      <c r="D2">
        <v>27</v>
      </c>
      <c r="E2" t="s">
        <v>23</v>
      </c>
      <c r="F2" t="s">
        <v>24</v>
      </c>
      <c r="G2" t="s">
        <v>25</v>
      </c>
      <c r="H2" t="s">
        <v>26</v>
      </c>
      <c r="I2">
        <v>1779.52</v>
      </c>
      <c r="J2">
        <v>35715</v>
      </c>
      <c r="K2">
        <v>3140</v>
      </c>
      <c r="L2">
        <v>274</v>
      </c>
      <c r="M2">
        <v>2</v>
      </c>
      <c r="N2">
        <v>8.7918241639999994</v>
      </c>
      <c r="O2">
        <v>8.7261146499999995</v>
      </c>
      <c r="P2">
        <v>2</v>
      </c>
    </row>
    <row r="3" spans="1:16" x14ac:dyDescent="0.35">
      <c r="A3" t="s">
        <v>27</v>
      </c>
      <c r="B3">
        <v>45488</v>
      </c>
      <c r="C3" t="s">
        <v>28</v>
      </c>
      <c r="D3">
        <v>24</v>
      </c>
      <c r="E3" t="s">
        <v>29</v>
      </c>
      <c r="F3" t="s">
        <v>30</v>
      </c>
      <c r="G3" t="s">
        <v>31</v>
      </c>
      <c r="H3" t="s">
        <v>32</v>
      </c>
      <c r="I3">
        <v>464.78</v>
      </c>
      <c r="J3">
        <v>13758</v>
      </c>
      <c r="K3">
        <v>3324</v>
      </c>
      <c r="L3">
        <v>5</v>
      </c>
      <c r="M3">
        <v>3</v>
      </c>
      <c r="N3">
        <v>24.160488440000002</v>
      </c>
      <c r="O3">
        <v>0.15042117899999999</v>
      </c>
      <c r="P3">
        <v>3</v>
      </c>
    </row>
    <row r="4" spans="1:16" x14ac:dyDescent="0.35">
      <c r="A4" t="s">
        <v>33</v>
      </c>
      <c r="B4">
        <v>45317</v>
      </c>
      <c r="C4" t="s">
        <v>34</v>
      </c>
      <c r="D4">
        <v>35</v>
      </c>
      <c r="E4" t="s">
        <v>35</v>
      </c>
      <c r="F4" t="s">
        <v>24</v>
      </c>
      <c r="G4" t="s">
        <v>25</v>
      </c>
      <c r="H4" t="s">
        <v>36</v>
      </c>
      <c r="I4">
        <v>561.14</v>
      </c>
      <c r="J4">
        <v>48381</v>
      </c>
      <c r="K4">
        <v>321</v>
      </c>
      <c r="L4">
        <v>163</v>
      </c>
      <c r="N4">
        <v>0.66348359899999998</v>
      </c>
      <c r="O4">
        <v>50.778816200000001</v>
      </c>
      <c r="P4">
        <v>3</v>
      </c>
    </row>
    <row r="5" spans="1:16" x14ac:dyDescent="0.35">
      <c r="A5" t="s">
        <v>37</v>
      </c>
      <c r="B5">
        <v>45359</v>
      </c>
      <c r="C5" t="s">
        <v>38</v>
      </c>
      <c r="D5">
        <v>20</v>
      </c>
      <c r="E5" t="s">
        <v>23</v>
      </c>
      <c r="F5" t="s">
        <v>30</v>
      </c>
      <c r="G5" t="s">
        <v>25</v>
      </c>
      <c r="H5" t="s">
        <v>32</v>
      </c>
      <c r="I5">
        <v>297.57</v>
      </c>
      <c r="J5">
        <v>15697</v>
      </c>
      <c r="K5">
        <v>3375</v>
      </c>
      <c r="L5">
        <v>280</v>
      </c>
      <c r="M5">
        <v>5</v>
      </c>
      <c r="N5">
        <v>21.500923740000001</v>
      </c>
      <c r="O5">
        <v>8.2962962959999995</v>
      </c>
      <c r="P5">
        <v>5</v>
      </c>
    </row>
    <row r="6" spans="1:16" x14ac:dyDescent="0.35">
      <c r="A6" t="s">
        <v>39</v>
      </c>
      <c r="B6">
        <v>45503</v>
      </c>
      <c r="C6" t="s">
        <v>40</v>
      </c>
      <c r="D6">
        <v>32</v>
      </c>
      <c r="E6" t="s">
        <v>29</v>
      </c>
      <c r="F6" t="s">
        <v>41</v>
      </c>
      <c r="G6" t="s">
        <v>42</v>
      </c>
      <c r="H6" t="s">
        <v>36</v>
      </c>
      <c r="I6">
        <v>1074.8599999999999</v>
      </c>
      <c r="J6">
        <v>2245</v>
      </c>
      <c r="K6">
        <v>4858</v>
      </c>
      <c r="L6">
        <v>373</v>
      </c>
      <c r="M6">
        <v>2</v>
      </c>
      <c r="N6">
        <v>216.3919822</v>
      </c>
      <c r="O6">
        <v>7.6780568139999996</v>
      </c>
      <c r="P6">
        <v>2</v>
      </c>
    </row>
    <row r="7" spans="1:16" x14ac:dyDescent="0.35">
      <c r="A7" t="s">
        <v>43</v>
      </c>
      <c r="B7">
        <v>45395</v>
      </c>
      <c r="C7" t="s">
        <v>44</v>
      </c>
      <c r="D7">
        <v>64</v>
      </c>
      <c r="E7" t="s">
        <v>35</v>
      </c>
      <c r="F7" t="s">
        <v>45</v>
      </c>
      <c r="G7" t="s">
        <v>46</v>
      </c>
      <c r="H7" t="s">
        <v>32</v>
      </c>
      <c r="I7">
        <v>665.19</v>
      </c>
      <c r="J7">
        <v>10209</v>
      </c>
      <c r="K7">
        <v>2859</v>
      </c>
      <c r="L7">
        <v>149</v>
      </c>
      <c r="M7">
        <v>5</v>
      </c>
      <c r="N7">
        <v>28.004701730000001</v>
      </c>
      <c r="O7">
        <v>5.2116124519999998</v>
      </c>
      <c r="P7">
        <v>5</v>
      </c>
    </row>
    <row r="8" spans="1:16" x14ac:dyDescent="0.35">
      <c r="A8" t="s">
        <v>47</v>
      </c>
      <c r="B8">
        <v>45640</v>
      </c>
      <c r="C8" t="s">
        <v>48</v>
      </c>
      <c r="D8">
        <v>20</v>
      </c>
      <c r="E8" t="s">
        <v>35</v>
      </c>
      <c r="F8" t="s">
        <v>41</v>
      </c>
      <c r="G8" t="s">
        <v>46</v>
      </c>
      <c r="H8" t="s">
        <v>36</v>
      </c>
      <c r="I8">
        <v>514.58000000000004</v>
      </c>
      <c r="J8">
        <v>11892</v>
      </c>
      <c r="K8">
        <v>367</v>
      </c>
      <c r="L8">
        <v>293</v>
      </c>
      <c r="M8">
        <v>4</v>
      </c>
      <c r="N8">
        <v>3.086108308</v>
      </c>
      <c r="O8">
        <v>79.836512260000006</v>
      </c>
      <c r="P8">
        <v>4</v>
      </c>
    </row>
    <row r="9" spans="1:16" x14ac:dyDescent="0.35">
      <c r="A9" t="s">
        <v>49</v>
      </c>
      <c r="B9">
        <v>45477</v>
      </c>
      <c r="C9" t="s">
        <v>48</v>
      </c>
      <c r="D9">
        <v>49</v>
      </c>
      <c r="E9" t="s">
        <v>35</v>
      </c>
      <c r="F9" t="s">
        <v>50</v>
      </c>
      <c r="G9" t="s">
        <v>42</v>
      </c>
      <c r="H9" t="s">
        <v>36</v>
      </c>
      <c r="I9">
        <v>187.7</v>
      </c>
      <c r="J9">
        <v>34575</v>
      </c>
      <c r="K9">
        <v>4519</v>
      </c>
      <c r="L9">
        <v>6</v>
      </c>
      <c r="M9">
        <v>3</v>
      </c>
      <c r="N9">
        <v>13.07013738</v>
      </c>
      <c r="O9">
        <v>0.132772737</v>
      </c>
      <c r="P9">
        <v>3</v>
      </c>
    </row>
    <row r="10" spans="1:16" x14ac:dyDescent="0.35">
      <c r="A10" t="s">
        <v>51</v>
      </c>
      <c r="B10">
        <v>45315</v>
      </c>
      <c r="C10" t="s">
        <v>52</v>
      </c>
      <c r="D10">
        <v>26</v>
      </c>
      <c r="E10" t="s">
        <v>29</v>
      </c>
      <c r="F10" t="s">
        <v>50</v>
      </c>
      <c r="G10" t="s">
        <v>25</v>
      </c>
      <c r="H10" t="s">
        <v>26</v>
      </c>
      <c r="I10">
        <v>1985.97</v>
      </c>
      <c r="J10">
        <v>26045</v>
      </c>
      <c r="K10">
        <v>2084</v>
      </c>
      <c r="L10">
        <v>240</v>
      </c>
      <c r="M10">
        <v>4</v>
      </c>
      <c r="N10">
        <v>8.0015358029999994</v>
      </c>
      <c r="O10">
        <v>11.51631478</v>
      </c>
      <c r="P10">
        <v>4</v>
      </c>
    </row>
    <row r="11" spans="1:16" x14ac:dyDescent="0.35">
      <c r="A11" t="s">
        <v>53</v>
      </c>
      <c r="B11">
        <v>45364</v>
      </c>
      <c r="C11" t="s">
        <v>54</v>
      </c>
      <c r="D11">
        <v>31</v>
      </c>
      <c r="E11" t="s">
        <v>35</v>
      </c>
      <c r="F11" t="s">
        <v>30</v>
      </c>
      <c r="G11" t="s">
        <v>46</v>
      </c>
      <c r="H11" t="s">
        <v>32</v>
      </c>
      <c r="I11">
        <v>1642.32</v>
      </c>
      <c r="J11">
        <v>8802</v>
      </c>
      <c r="K11">
        <v>735</v>
      </c>
      <c r="L11">
        <v>220</v>
      </c>
      <c r="M11">
        <v>5</v>
      </c>
      <c r="N11">
        <v>8.3503749149999997</v>
      </c>
      <c r="O11">
        <v>29.93197279</v>
      </c>
      <c r="P11">
        <v>5</v>
      </c>
    </row>
    <row r="12" spans="1:16" x14ac:dyDescent="0.35">
      <c r="A12" t="s">
        <v>55</v>
      </c>
      <c r="B12">
        <v>45637</v>
      </c>
      <c r="C12" t="s">
        <v>56</v>
      </c>
      <c r="D12">
        <v>46</v>
      </c>
      <c r="E12" t="s">
        <v>23</v>
      </c>
      <c r="F12" t="s">
        <v>57</v>
      </c>
      <c r="G12" t="s">
        <v>42</v>
      </c>
      <c r="H12" t="s">
        <v>26</v>
      </c>
      <c r="I12">
        <v>686.5</v>
      </c>
      <c r="J12">
        <v>8134</v>
      </c>
      <c r="K12">
        <v>1108</v>
      </c>
      <c r="L12">
        <v>140</v>
      </c>
      <c r="M12">
        <v>1</v>
      </c>
      <c r="N12">
        <v>13.62183428</v>
      </c>
      <c r="O12">
        <v>12.63537906</v>
      </c>
      <c r="P12">
        <v>1</v>
      </c>
    </row>
    <row r="13" spans="1:16" x14ac:dyDescent="0.35">
      <c r="A13" t="s">
        <v>58</v>
      </c>
      <c r="B13">
        <v>45334</v>
      </c>
      <c r="C13" t="s">
        <v>59</v>
      </c>
      <c r="D13">
        <v>59</v>
      </c>
      <c r="E13" t="s">
        <v>35</v>
      </c>
      <c r="F13" t="s">
        <v>50</v>
      </c>
      <c r="G13" t="s">
        <v>31</v>
      </c>
      <c r="H13" t="s">
        <v>26</v>
      </c>
      <c r="I13">
        <v>847.08</v>
      </c>
      <c r="J13">
        <v>24160</v>
      </c>
      <c r="K13">
        <v>4205</v>
      </c>
      <c r="L13">
        <v>211</v>
      </c>
      <c r="M13">
        <v>5</v>
      </c>
      <c r="N13">
        <v>17.404801320000001</v>
      </c>
      <c r="O13">
        <v>5.0178359099999996</v>
      </c>
      <c r="P13">
        <v>5</v>
      </c>
    </row>
    <row r="14" spans="1:16" x14ac:dyDescent="0.35">
      <c r="A14" t="s">
        <v>60</v>
      </c>
      <c r="B14">
        <v>45510</v>
      </c>
      <c r="C14" t="s">
        <v>28</v>
      </c>
      <c r="D14">
        <v>44</v>
      </c>
      <c r="E14" t="s">
        <v>35</v>
      </c>
      <c r="F14" t="s">
        <v>30</v>
      </c>
      <c r="G14" t="s">
        <v>61</v>
      </c>
      <c r="H14" t="s">
        <v>62</v>
      </c>
      <c r="I14">
        <v>1143.3599999999999</v>
      </c>
      <c r="J14">
        <v>8173</v>
      </c>
      <c r="K14">
        <v>825</v>
      </c>
      <c r="L14">
        <v>16</v>
      </c>
      <c r="N14">
        <v>10.094212649999999</v>
      </c>
      <c r="O14">
        <v>1.9393939389999999</v>
      </c>
      <c r="P14">
        <v>3</v>
      </c>
    </row>
    <row r="15" spans="1:16" x14ac:dyDescent="0.35">
      <c r="A15" t="s">
        <v>63</v>
      </c>
      <c r="B15">
        <v>45459</v>
      </c>
      <c r="C15" t="s">
        <v>64</v>
      </c>
      <c r="D15">
        <v>57</v>
      </c>
      <c r="E15" t="s">
        <v>23</v>
      </c>
      <c r="F15" t="s">
        <v>50</v>
      </c>
      <c r="G15" t="s">
        <v>25</v>
      </c>
      <c r="H15" t="s">
        <v>62</v>
      </c>
      <c r="I15">
        <v>151.38</v>
      </c>
      <c r="J15">
        <v>11942</v>
      </c>
      <c r="K15">
        <v>4640</v>
      </c>
      <c r="L15">
        <v>59</v>
      </c>
      <c r="M15">
        <v>3</v>
      </c>
      <c r="N15">
        <v>38.854463240000001</v>
      </c>
      <c r="O15">
        <v>1.271551724</v>
      </c>
      <c r="P15">
        <v>3</v>
      </c>
    </row>
    <row r="16" spans="1:16" x14ac:dyDescent="0.35">
      <c r="A16" t="s">
        <v>65</v>
      </c>
      <c r="B16">
        <v>45360</v>
      </c>
      <c r="C16" t="s">
        <v>66</v>
      </c>
      <c r="D16">
        <v>36</v>
      </c>
      <c r="E16" t="s">
        <v>29</v>
      </c>
      <c r="F16" t="s">
        <v>24</v>
      </c>
      <c r="G16" t="s">
        <v>25</v>
      </c>
      <c r="H16" t="s">
        <v>62</v>
      </c>
      <c r="I16">
        <v>782.56</v>
      </c>
      <c r="J16">
        <v>9132</v>
      </c>
      <c r="K16">
        <v>1618</v>
      </c>
      <c r="L16">
        <v>74</v>
      </c>
      <c r="M16">
        <v>1</v>
      </c>
      <c r="N16">
        <v>17.71791502</v>
      </c>
      <c r="O16">
        <v>4.5735475900000004</v>
      </c>
      <c r="P16">
        <v>1</v>
      </c>
    </row>
    <row r="17" spans="1:16" x14ac:dyDescent="0.35">
      <c r="A17" t="s">
        <v>67</v>
      </c>
      <c r="B17">
        <v>45292</v>
      </c>
      <c r="C17" t="s">
        <v>68</v>
      </c>
      <c r="D17">
        <v>38</v>
      </c>
      <c r="E17" t="s">
        <v>23</v>
      </c>
      <c r="F17" t="s">
        <v>45</v>
      </c>
      <c r="G17" t="s">
        <v>46</v>
      </c>
      <c r="H17" t="s">
        <v>36</v>
      </c>
      <c r="I17">
        <v>1170.73</v>
      </c>
      <c r="J17">
        <v>45111</v>
      </c>
      <c r="K17">
        <v>602</v>
      </c>
      <c r="L17">
        <v>207</v>
      </c>
      <c r="M17">
        <v>1</v>
      </c>
      <c r="N17">
        <v>1.3344860460000001</v>
      </c>
      <c r="O17">
        <v>34.385382059999998</v>
      </c>
      <c r="P17">
        <v>1</v>
      </c>
    </row>
    <row r="18" spans="1:16" x14ac:dyDescent="0.35">
      <c r="A18" t="s">
        <v>69</v>
      </c>
      <c r="B18">
        <v>45367</v>
      </c>
      <c r="C18" t="s">
        <v>68</v>
      </c>
      <c r="D18">
        <v>41</v>
      </c>
      <c r="E18" t="s">
        <v>23</v>
      </c>
      <c r="F18" t="s">
        <v>57</v>
      </c>
      <c r="G18" t="s">
        <v>42</v>
      </c>
      <c r="H18" t="s">
        <v>36</v>
      </c>
      <c r="I18">
        <v>1924.46</v>
      </c>
      <c r="J18">
        <v>5516</v>
      </c>
      <c r="K18">
        <v>4976</v>
      </c>
      <c r="L18">
        <v>221</v>
      </c>
      <c r="M18">
        <v>5</v>
      </c>
      <c r="N18">
        <v>90.210297319999995</v>
      </c>
      <c r="O18">
        <v>4.4413183280000004</v>
      </c>
      <c r="P18">
        <v>5</v>
      </c>
    </row>
    <row r="19" spans="1:16" x14ac:dyDescent="0.35">
      <c r="A19" t="s">
        <v>70</v>
      </c>
      <c r="B19">
        <v>45603</v>
      </c>
      <c r="C19" t="s">
        <v>71</v>
      </c>
      <c r="D19">
        <v>46</v>
      </c>
      <c r="E19" t="s">
        <v>23</v>
      </c>
      <c r="F19" t="s">
        <v>50</v>
      </c>
      <c r="G19" t="s">
        <v>61</v>
      </c>
      <c r="H19" t="s">
        <v>26</v>
      </c>
      <c r="I19">
        <v>1929.87</v>
      </c>
      <c r="J19">
        <v>9198</v>
      </c>
      <c r="K19">
        <v>497</v>
      </c>
      <c r="L19">
        <v>300</v>
      </c>
      <c r="M19">
        <v>5</v>
      </c>
      <c r="N19">
        <v>5.4033485539999999</v>
      </c>
      <c r="O19">
        <v>60.362173040000002</v>
      </c>
      <c r="P19">
        <v>5</v>
      </c>
    </row>
    <row r="20" spans="1:16" x14ac:dyDescent="0.35">
      <c r="A20" t="s">
        <v>72</v>
      </c>
      <c r="B20">
        <v>45542</v>
      </c>
      <c r="C20" t="s">
        <v>73</v>
      </c>
      <c r="D20">
        <v>46</v>
      </c>
      <c r="E20" t="s">
        <v>29</v>
      </c>
      <c r="F20" t="s">
        <v>57</v>
      </c>
      <c r="G20" t="s">
        <v>61</v>
      </c>
      <c r="H20" t="s">
        <v>32</v>
      </c>
      <c r="I20">
        <v>1527.84</v>
      </c>
      <c r="J20">
        <v>13127</v>
      </c>
      <c r="K20">
        <v>4960</v>
      </c>
      <c r="L20">
        <v>351</v>
      </c>
      <c r="M20">
        <v>5</v>
      </c>
      <c r="N20">
        <v>37.784718519999998</v>
      </c>
      <c r="O20">
        <v>7.076612903</v>
      </c>
      <c r="P20">
        <v>5</v>
      </c>
    </row>
    <row r="21" spans="1:16" x14ac:dyDescent="0.35">
      <c r="A21" t="s">
        <v>74</v>
      </c>
      <c r="B21">
        <v>45298</v>
      </c>
      <c r="C21" t="s">
        <v>75</v>
      </c>
      <c r="D21">
        <v>33</v>
      </c>
      <c r="E21" t="s">
        <v>29</v>
      </c>
      <c r="F21" t="s">
        <v>50</v>
      </c>
      <c r="G21" t="s">
        <v>61</v>
      </c>
      <c r="H21" t="s">
        <v>32</v>
      </c>
      <c r="I21">
        <v>149.18</v>
      </c>
      <c r="J21">
        <v>33722</v>
      </c>
      <c r="K21">
        <v>3046</v>
      </c>
      <c r="L21">
        <v>323</v>
      </c>
      <c r="M21">
        <v>4</v>
      </c>
      <c r="N21">
        <v>9.0326789630000004</v>
      </c>
      <c r="O21">
        <v>10.604070910000001</v>
      </c>
      <c r="P21">
        <v>4</v>
      </c>
    </row>
    <row r="22" spans="1:16" x14ac:dyDescent="0.35">
      <c r="A22" t="s">
        <v>76</v>
      </c>
      <c r="B22">
        <v>45567</v>
      </c>
      <c r="C22" t="s">
        <v>77</v>
      </c>
      <c r="D22">
        <v>63</v>
      </c>
      <c r="E22" t="s">
        <v>35</v>
      </c>
      <c r="F22" t="s">
        <v>57</v>
      </c>
      <c r="G22" t="s">
        <v>46</v>
      </c>
      <c r="H22" t="s">
        <v>36</v>
      </c>
      <c r="I22">
        <v>1226.99</v>
      </c>
      <c r="J22">
        <v>5271</v>
      </c>
      <c r="K22">
        <v>717</v>
      </c>
      <c r="L22">
        <v>289</v>
      </c>
      <c r="M22">
        <v>4</v>
      </c>
      <c r="N22">
        <v>13.602731929999999</v>
      </c>
      <c r="O22">
        <v>40.306834029999997</v>
      </c>
      <c r="P22">
        <v>4</v>
      </c>
    </row>
    <row r="23" spans="1:16" x14ac:dyDescent="0.35">
      <c r="A23" t="s">
        <v>78</v>
      </c>
      <c r="B23">
        <v>45336</v>
      </c>
      <c r="C23" t="s">
        <v>79</v>
      </c>
      <c r="D23">
        <v>51</v>
      </c>
      <c r="E23" t="s">
        <v>29</v>
      </c>
      <c r="F23" t="s">
        <v>45</v>
      </c>
      <c r="G23" t="s">
        <v>31</v>
      </c>
      <c r="H23" t="s">
        <v>32</v>
      </c>
      <c r="I23">
        <v>948.77</v>
      </c>
      <c r="J23">
        <v>11269</v>
      </c>
      <c r="K23">
        <v>1703</v>
      </c>
      <c r="L23">
        <v>321</v>
      </c>
      <c r="M23">
        <v>2</v>
      </c>
      <c r="N23">
        <v>15.11225486</v>
      </c>
      <c r="O23">
        <v>18.849089840000001</v>
      </c>
      <c r="P23">
        <v>2</v>
      </c>
    </row>
    <row r="24" spans="1:16" x14ac:dyDescent="0.35">
      <c r="A24" t="s">
        <v>80</v>
      </c>
      <c r="B24">
        <v>45483</v>
      </c>
      <c r="C24" t="s">
        <v>81</v>
      </c>
      <c r="D24">
        <v>18</v>
      </c>
      <c r="E24" t="s">
        <v>29</v>
      </c>
      <c r="F24" t="s">
        <v>41</v>
      </c>
      <c r="G24" t="s">
        <v>61</v>
      </c>
      <c r="H24" t="s">
        <v>62</v>
      </c>
      <c r="I24">
        <v>1314.42</v>
      </c>
      <c r="J24">
        <v>46761</v>
      </c>
      <c r="K24">
        <v>3166</v>
      </c>
      <c r="L24">
        <v>267</v>
      </c>
      <c r="M24">
        <v>4</v>
      </c>
      <c r="N24">
        <v>6.7705994309999999</v>
      </c>
      <c r="O24">
        <v>8.4333543899999999</v>
      </c>
      <c r="P24">
        <v>4</v>
      </c>
    </row>
    <row r="25" spans="1:16" x14ac:dyDescent="0.35">
      <c r="A25" t="s">
        <v>82</v>
      </c>
      <c r="B25">
        <v>45617</v>
      </c>
      <c r="C25" t="s">
        <v>83</v>
      </c>
      <c r="D25">
        <v>19</v>
      </c>
      <c r="E25" t="s">
        <v>23</v>
      </c>
      <c r="F25" t="s">
        <v>50</v>
      </c>
      <c r="G25" t="s">
        <v>31</v>
      </c>
      <c r="H25" t="s">
        <v>62</v>
      </c>
      <c r="I25">
        <v>820.68</v>
      </c>
      <c r="J25">
        <v>31180</v>
      </c>
      <c r="K25">
        <v>3849</v>
      </c>
      <c r="L25">
        <v>261</v>
      </c>
      <c r="M25">
        <v>3</v>
      </c>
      <c r="N25">
        <v>12.34445157</v>
      </c>
      <c r="O25">
        <v>6.7809820729999997</v>
      </c>
      <c r="P25">
        <v>3</v>
      </c>
    </row>
    <row r="26" spans="1:16" x14ac:dyDescent="0.35">
      <c r="A26" t="s">
        <v>84</v>
      </c>
      <c r="B26">
        <v>45604</v>
      </c>
      <c r="C26" t="s">
        <v>85</v>
      </c>
      <c r="D26">
        <v>42</v>
      </c>
      <c r="E26" t="s">
        <v>35</v>
      </c>
      <c r="F26" t="s">
        <v>41</v>
      </c>
      <c r="G26" t="s">
        <v>42</v>
      </c>
      <c r="H26" t="s">
        <v>62</v>
      </c>
      <c r="I26">
        <v>1019.29</v>
      </c>
      <c r="J26">
        <v>11855</v>
      </c>
      <c r="K26">
        <v>482</v>
      </c>
      <c r="L26">
        <v>113</v>
      </c>
      <c r="N26">
        <v>4.0657950229999997</v>
      </c>
      <c r="O26">
        <v>23.4439834</v>
      </c>
      <c r="P26">
        <v>3</v>
      </c>
    </row>
    <row r="27" spans="1:16" x14ac:dyDescent="0.35">
      <c r="A27" t="s">
        <v>86</v>
      </c>
      <c r="B27">
        <v>45444</v>
      </c>
      <c r="C27" t="s">
        <v>52</v>
      </c>
      <c r="D27">
        <v>57</v>
      </c>
      <c r="E27" t="s">
        <v>29</v>
      </c>
      <c r="F27" t="s">
        <v>45</v>
      </c>
      <c r="G27" t="s">
        <v>46</v>
      </c>
      <c r="H27" t="s">
        <v>36</v>
      </c>
      <c r="I27">
        <v>921.21</v>
      </c>
      <c r="J27">
        <v>33409</v>
      </c>
      <c r="K27">
        <v>3245</v>
      </c>
      <c r="L27">
        <v>6</v>
      </c>
      <c r="N27">
        <v>9.7129516000000002</v>
      </c>
      <c r="O27">
        <v>0.18489984600000001</v>
      </c>
      <c r="P27">
        <v>3</v>
      </c>
    </row>
    <row r="28" spans="1:16" x14ac:dyDescent="0.35">
      <c r="A28" t="s">
        <v>87</v>
      </c>
      <c r="B28">
        <v>45475</v>
      </c>
      <c r="C28" t="s">
        <v>88</v>
      </c>
      <c r="D28">
        <v>54</v>
      </c>
      <c r="E28" t="s">
        <v>23</v>
      </c>
      <c r="F28" t="s">
        <v>57</v>
      </c>
      <c r="G28" t="s">
        <v>46</v>
      </c>
      <c r="H28" t="s">
        <v>36</v>
      </c>
      <c r="I28">
        <v>312.38</v>
      </c>
      <c r="J28">
        <v>5193</v>
      </c>
      <c r="K28">
        <v>2334</v>
      </c>
      <c r="L28">
        <v>253</v>
      </c>
      <c r="M28">
        <v>2</v>
      </c>
      <c r="N28">
        <v>44.945118430000001</v>
      </c>
      <c r="O28">
        <v>10.839760070000001</v>
      </c>
      <c r="P28">
        <v>2</v>
      </c>
    </row>
    <row r="29" spans="1:16" x14ac:dyDescent="0.35">
      <c r="A29" t="s">
        <v>89</v>
      </c>
      <c r="B29">
        <v>45404</v>
      </c>
      <c r="C29" t="s">
        <v>90</v>
      </c>
      <c r="E29" t="s">
        <v>29</v>
      </c>
      <c r="F29" t="s">
        <v>771</v>
      </c>
      <c r="G29" t="s">
        <v>31</v>
      </c>
      <c r="H29" t="s">
        <v>62</v>
      </c>
      <c r="I29">
        <v>1461.16</v>
      </c>
      <c r="J29">
        <v>29339</v>
      </c>
      <c r="K29">
        <v>2849</v>
      </c>
      <c r="L29">
        <v>67</v>
      </c>
      <c r="N29">
        <v>9.7106240840000009</v>
      </c>
      <c r="O29">
        <v>2.3517023520000002</v>
      </c>
      <c r="P29">
        <v>3</v>
      </c>
    </row>
    <row r="30" spans="1:16" x14ac:dyDescent="0.35">
      <c r="A30" t="s">
        <v>91</v>
      </c>
      <c r="B30">
        <v>45543</v>
      </c>
      <c r="C30" t="s">
        <v>92</v>
      </c>
      <c r="D30">
        <v>40</v>
      </c>
      <c r="E30" t="s">
        <v>29</v>
      </c>
      <c r="F30" t="s">
        <v>24</v>
      </c>
      <c r="G30" t="s">
        <v>31</v>
      </c>
      <c r="H30" t="s">
        <v>62</v>
      </c>
      <c r="I30">
        <v>64.23</v>
      </c>
      <c r="J30">
        <v>14536</v>
      </c>
      <c r="K30">
        <v>2927</v>
      </c>
      <c r="L30">
        <v>375</v>
      </c>
      <c r="N30">
        <v>20.13621354</v>
      </c>
      <c r="O30">
        <v>12.811752650000001</v>
      </c>
      <c r="P30">
        <v>3</v>
      </c>
    </row>
    <row r="31" spans="1:16" x14ac:dyDescent="0.35">
      <c r="A31" t="s">
        <v>93</v>
      </c>
      <c r="B31">
        <v>45481</v>
      </c>
      <c r="C31" t="s">
        <v>83</v>
      </c>
      <c r="D31">
        <v>61</v>
      </c>
      <c r="E31" t="s">
        <v>23</v>
      </c>
      <c r="F31" t="s">
        <v>24</v>
      </c>
      <c r="G31" t="s">
        <v>46</v>
      </c>
      <c r="H31" t="s">
        <v>36</v>
      </c>
      <c r="I31">
        <v>987.76</v>
      </c>
      <c r="J31">
        <v>1245</v>
      </c>
      <c r="K31">
        <v>4323</v>
      </c>
      <c r="L31">
        <v>119</v>
      </c>
      <c r="M31">
        <v>5</v>
      </c>
      <c r="N31">
        <v>347.22891570000002</v>
      </c>
      <c r="O31">
        <v>2.7527180200000001</v>
      </c>
      <c r="P31">
        <v>5</v>
      </c>
    </row>
    <row r="32" spans="1:16" x14ac:dyDescent="0.35">
      <c r="A32" t="s">
        <v>94</v>
      </c>
      <c r="B32">
        <v>45582</v>
      </c>
      <c r="C32" t="s">
        <v>95</v>
      </c>
      <c r="D32">
        <v>19</v>
      </c>
      <c r="E32" t="s">
        <v>23</v>
      </c>
      <c r="F32" t="s">
        <v>57</v>
      </c>
      <c r="G32" t="s">
        <v>42</v>
      </c>
      <c r="H32" t="s">
        <v>26</v>
      </c>
      <c r="I32">
        <v>1670.14</v>
      </c>
      <c r="J32">
        <v>47856</v>
      </c>
      <c r="K32">
        <v>3265</v>
      </c>
      <c r="L32">
        <v>392</v>
      </c>
      <c r="M32">
        <v>3</v>
      </c>
      <c r="N32">
        <v>6.8225509860000004</v>
      </c>
      <c r="O32">
        <v>12.00612557</v>
      </c>
      <c r="P32">
        <v>3</v>
      </c>
    </row>
    <row r="33" spans="1:16" x14ac:dyDescent="0.35">
      <c r="A33" t="s">
        <v>96</v>
      </c>
      <c r="B33">
        <v>45604</v>
      </c>
      <c r="C33" t="s">
        <v>97</v>
      </c>
      <c r="D33">
        <v>38</v>
      </c>
      <c r="E33" t="s">
        <v>23</v>
      </c>
      <c r="F33" t="s">
        <v>50</v>
      </c>
      <c r="G33" t="s">
        <v>25</v>
      </c>
      <c r="H33" t="s">
        <v>26</v>
      </c>
      <c r="I33">
        <v>1582.87</v>
      </c>
      <c r="J33">
        <v>18161</v>
      </c>
      <c r="K33">
        <v>3759</v>
      </c>
      <c r="L33">
        <v>384</v>
      </c>
      <c r="M33">
        <v>2</v>
      </c>
      <c r="N33">
        <v>20.69819944</v>
      </c>
      <c r="O33">
        <v>10.21548284</v>
      </c>
      <c r="P33">
        <v>2</v>
      </c>
    </row>
    <row r="34" spans="1:16" x14ac:dyDescent="0.35">
      <c r="A34" t="s">
        <v>98</v>
      </c>
      <c r="B34">
        <v>45493</v>
      </c>
      <c r="C34" t="s">
        <v>90</v>
      </c>
      <c r="D34">
        <v>26</v>
      </c>
      <c r="E34" t="s">
        <v>35</v>
      </c>
      <c r="F34" t="s">
        <v>24</v>
      </c>
      <c r="G34" t="s">
        <v>25</v>
      </c>
      <c r="H34" t="s">
        <v>36</v>
      </c>
      <c r="I34">
        <v>688.82</v>
      </c>
      <c r="J34">
        <v>44318</v>
      </c>
      <c r="K34">
        <v>2759</v>
      </c>
      <c r="L34">
        <v>389</v>
      </c>
      <c r="M34">
        <v>3</v>
      </c>
      <c r="N34">
        <v>6.225461438</v>
      </c>
      <c r="O34">
        <v>14.09931134</v>
      </c>
      <c r="P34">
        <v>3</v>
      </c>
    </row>
    <row r="35" spans="1:16" x14ac:dyDescent="0.35">
      <c r="A35" t="s">
        <v>99</v>
      </c>
      <c r="B35">
        <v>45330</v>
      </c>
      <c r="C35" t="s">
        <v>100</v>
      </c>
      <c r="D35">
        <v>41</v>
      </c>
      <c r="E35" t="s">
        <v>35</v>
      </c>
      <c r="F35" t="s">
        <v>45</v>
      </c>
      <c r="G35" t="s">
        <v>61</v>
      </c>
      <c r="H35" t="s">
        <v>36</v>
      </c>
      <c r="I35">
        <v>1079.1400000000001</v>
      </c>
      <c r="J35">
        <v>48566</v>
      </c>
      <c r="K35">
        <v>610</v>
      </c>
      <c r="L35">
        <v>85</v>
      </c>
      <c r="N35">
        <v>1.2560227319999999</v>
      </c>
      <c r="O35">
        <v>13.93442623</v>
      </c>
      <c r="P35">
        <v>3</v>
      </c>
    </row>
    <row r="36" spans="1:16" x14ac:dyDescent="0.35">
      <c r="A36" t="s">
        <v>101</v>
      </c>
      <c r="B36">
        <v>45552</v>
      </c>
      <c r="C36" t="s">
        <v>102</v>
      </c>
      <c r="D36">
        <v>64</v>
      </c>
      <c r="E36" t="s">
        <v>35</v>
      </c>
      <c r="F36" t="s">
        <v>50</v>
      </c>
      <c r="G36" t="s">
        <v>31</v>
      </c>
      <c r="H36" t="s">
        <v>32</v>
      </c>
      <c r="I36">
        <v>1823.94</v>
      </c>
      <c r="J36">
        <v>22377</v>
      </c>
      <c r="K36">
        <v>803</v>
      </c>
      <c r="L36">
        <v>72</v>
      </c>
      <c r="M36">
        <v>3</v>
      </c>
      <c r="N36">
        <v>3.5885060549999999</v>
      </c>
      <c r="O36">
        <v>8.9663760900000007</v>
      </c>
      <c r="P36">
        <v>3</v>
      </c>
    </row>
    <row r="37" spans="1:16" x14ac:dyDescent="0.35">
      <c r="A37" t="s">
        <v>103</v>
      </c>
      <c r="B37">
        <v>45429</v>
      </c>
      <c r="C37" t="s">
        <v>59</v>
      </c>
      <c r="D37">
        <v>45</v>
      </c>
      <c r="E37" t="s">
        <v>23</v>
      </c>
      <c r="F37" t="s">
        <v>45</v>
      </c>
      <c r="G37" t="s">
        <v>61</v>
      </c>
      <c r="H37" t="s">
        <v>32</v>
      </c>
      <c r="I37">
        <v>654.80999999999995</v>
      </c>
      <c r="J37">
        <v>38824</v>
      </c>
      <c r="K37">
        <v>1908</v>
      </c>
      <c r="L37">
        <v>68</v>
      </c>
      <c r="M37">
        <v>5</v>
      </c>
      <c r="N37">
        <v>4.9144858850000004</v>
      </c>
      <c r="O37">
        <v>3.5639413000000002</v>
      </c>
      <c r="P37">
        <v>5</v>
      </c>
    </row>
    <row r="38" spans="1:16" x14ac:dyDescent="0.35">
      <c r="A38" t="s">
        <v>104</v>
      </c>
      <c r="B38">
        <v>45635</v>
      </c>
      <c r="C38" t="s">
        <v>105</v>
      </c>
      <c r="D38">
        <v>53</v>
      </c>
      <c r="E38" t="s">
        <v>35</v>
      </c>
      <c r="F38" t="s">
        <v>30</v>
      </c>
      <c r="G38" t="s">
        <v>61</v>
      </c>
      <c r="H38" t="s">
        <v>62</v>
      </c>
      <c r="I38">
        <v>1182.54</v>
      </c>
      <c r="J38">
        <v>26747</v>
      </c>
      <c r="K38">
        <v>100</v>
      </c>
      <c r="L38">
        <v>348</v>
      </c>
      <c r="M38">
        <v>4</v>
      </c>
      <c r="N38">
        <v>0.373873705</v>
      </c>
      <c r="O38">
        <v>348</v>
      </c>
      <c r="P38">
        <v>4</v>
      </c>
    </row>
    <row r="39" spans="1:16" x14ac:dyDescent="0.35">
      <c r="A39" t="s">
        <v>106</v>
      </c>
      <c r="B39">
        <v>45487</v>
      </c>
      <c r="C39" t="s">
        <v>107</v>
      </c>
      <c r="E39" t="s">
        <v>35</v>
      </c>
      <c r="F39" t="s">
        <v>771</v>
      </c>
      <c r="G39" t="s">
        <v>25</v>
      </c>
      <c r="H39" t="s">
        <v>32</v>
      </c>
      <c r="I39">
        <v>1871.43</v>
      </c>
      <c r="J39">
        <v>43985</v>
      </c>
      <c r="K39">
        <v>2058</v>
      </c>
      <c r="L39">
        <v>237</v>
      </c>
      <c r="N39">
        <v>4.6788677959999996</v>
      </c>
      <c r="O39">
        <v>11.51603499</v>
      </c>
      <c r="P39">
        <v>3</v>
      </c>
    </row>
    <row r="40" spans="1:16" x14ac:dyDescent="0.35">
      <c r="A40" t="s">
        <v>108</v>
      </c>
      <c r="B40">
        <v>45364</v>
      </c>
      <c r="C40" t="s">
        <v>109</v>
      </c>
      <c r="D40">
        <v>40</v>
      </c>
      <c r="E40" t="s">
        <v>29</v>
      </c>
      <c r="F40" t="s">
        <v>24</v>
      </c>
      <c r="G40" t="s">
        <v>31</v>
      </c>
      <c r="H40" t="s">
        <v>32</v>
      </c>
      <c r="I40">
        <v>1909.57</v>
      </c>
      <c r="J40">
        <v>38605</v>
      </c>
      <c r="K40">
        <v>1277</v>
      </c>
      <c r="L40">
        <v>345</v>
      </c>
      <c r="N40">
        <v>3.3078616759999999</v>
      </c>
      <c r="O40">
        <v>27.016444790000001</v>
      </c>
      <c r="P40">
        <v>3</v>
      </c>
    </row>
    <row r="41" spans="1:16" x14ac:dyDescent="0.35">
      <c r="A41" t="s">
        <v>110</v>
      </c>
      <c r="B41">
        <v>45631</v>
      </c>
      <c r="C41" t="s">
        <v>111</v>
      </c>
      <c r="D41">
        <v>43</v>
      </c>
      <c r="E41" t="s">
        <v>29</v>
      </c>
      <c r="F41" t="s">
        <v>24</v>
      </c>
      <c r="G41" t="s">
        <v>42</v>
      </c>
      <c r="H41" t="s">
        <v>36</v>
      </c>
      <c r="I41">
        <v>1376.17</v>
      </c>
      <c r="J41">
        <v>15902</v>
      </c>
      <c r="K41">
        <v>526</v>
      </c>
      <c r="L41">
        <v>289</v>
      </c>
      <c r="M41">
        <v>5</v>
      </c>
      <c r="N41">
        <v>3.3077600299999999</v>
      </c>
      <c r="O41">
        <v>54.942965780000002</v>
      </c>
      <c r="P41">
        <v>5</v>
      </c>
    </row>
    <row r="42" spans="1:16" x14ac:dyDescent="0.35">
      <c r="A42" t="s">
        <v>112</v>
      </c>
      <c r="B42">
        <v>45549</v>
      </c>
      <c r="C42" t="s">
        <v>113</v>
      </c>
      <c r="D42">
        <v>43</v>
      </c>
      <c r="E42" t="s">
        <v>23</v>
      </c>
      <c r="F42" t="s">
        <v>50</v>
      </c>
      <c r="G42" t="s">
        <v>31</v>
      </c>
      <c r="H42" t="s">
        <v>32</v>
      </c>
      <c r="I42">
        <v>1962.25</v>
      </c>
      <c r="J42">
        <v>37012</v>
      </c>
      <c r="K42">
        <v>4018</v>
      </c>
      <c r="L42">
        <v>70</v>
      </c>
      <c r="M42">
        <v>1</v>
      </c>
      <c r="N42">
        <v>10.855938610000001</v>
      </c>
      <c r="O42">
        <v>1.7421602789999999</v>
      </c>
      <c r="P42">
        <v>1</v>
      </c>
    </row>
    <row r="43" spans="1:16" x14ac:dyDescent="0.35">
      <c r="A43" t="s">
        <v>114</v>
      </c>
      <c r="B43">
        <v>45484</v>
      </c>
      <c r="C43" t="s">
        <v>115</v>
      </c>
      <c r="D43">
        <v>64</v>
      </c>
      <c r="E43" t="s">
        <v>35</v>
      </c>
      <c r="F43" t="s">
        <v>57</v>
      </c>
      <c r="G43" t="s">
        <v>25</v>
      </c>
      <c r="H43" t="s">
        <v>62</v>
      </c>
      <c r="I43">
        <v>1563.06</v>
      </c>
      <c r="J43">
        <v>41009</v>
      </c>
      <c r="K43">
        <v>2687</v>
      </c>
      <c r="L43">
        <v>126</v>
      </c>
      <c r="N43">
        <v>6.5522202439999999</v>
      </c>
      <c r="O43">
        <v>4.6892445110000001</v>
      </c>
      <c r="P43">
        <v>3</v>
      </c>
    </row>
    <row r="44" spans="1:16" x14ac:dyDescent="0.35">
      <c r="A44" t="s">
        <v>116</v>
      </c>
      <c r="B44">
        <v>45641</v>
      </c>
      <c r="C44" t="s">
        <v>117</v>
      </c>
      <c r="D44">
        <v>48</v>
      </c>
      <c r="E44" t="s">
        <v>23</v>
      </c>
      <c r="F44" t="s">
        <v>24</v>
      </c>
      <c r="G44" t="s">
        <v>25</v>
      </c>
      <c r="H44" t="s">
        <v>36</v>
      </c>
      <c r="I44">
        <v>1949.17</v>
      </c>
      <c r="J44">
        <v>7283</v>
      </c>
      <c r="K44">
        <v>4633</v>
      </c>
      <c r="L44">
        <v>399</v>
      </c>
      <c r="M44">
        <v>3</v>
      </c>
      <c r="N44">
        <v>63.613895370000002</v>
      </c>
      <c r="O44">
        <v>8.6121303690000008</v>
      </c>
      <c r="P44">
        <v>3</v>
      </c>
    </row>
    <row r="45" spans="1:16" x14ac:dyDescent="0.35">
      <c r="A45" t="s">
        <v>118</v>
      </c>
      <c r="B45">
        <v>45384</v>
      </c>
      <c r="C45" t="s">
        <v>119</v>
      </c>
      <c r="D45">
        <v>60</v>
      </c>
      <c r="E45" t="s">
        <v>35</v>
      </c>
      <c r="F45" t="s">
        <v>30</v>
      </c>
      <c r="G45" t="s">
        <v>46</v>
      </c>
      <c r="H45" t="s">
        <v>62</v>
      </c>
      <c r="I45">
        <v>1359.28</v>
      </c>
      <c r="J45">
        <v>3809</v>
      </c>
      <c r="K45">
        <v>831</v>
      </c>
      <c r="L45">
        <v>263</v>
      </c>
      <c r="M45">
        <v>4</v>
      </c>
      <c r="N45">
        <v>21.8167498</v>
      </c>
      <c r="O45">
        <v>31.648616130000001</v>
      </c>
      <c r="P45">
        <v>4</v>
      </c>
    </row>
    <row r="46" spans="1:16" x14ac:dyDescent="0.35">
      <c r="A46" t="s">
        <v>120</v>
      </c>
      <c r="B46">
        <v>45544</v>
      </c>
      <c r="C46" t="s">
        <v>121</v>
      </c>
      <c r="D46">
        <v>30</v>
      </c>
      <c r="E46" t="s">
        <v>23</v>
      </c>
      <c r="F46" t="s">
        <v>45</v>
      </c>
      <c r="G46" t="s">
        <v>61</v>
      </c>
      <c r="H46" t="s">
        <v>26</v>
      </c>
      <c r="I46">
        <v>1323.7</v>
      </c>
      <c r="J46">
        <v>42287</v>
      </c>
      <c r="K46">
        <v>2796</v>
      </c>
      <c r="L46">
        <v>285</v>
      </c>
      <c r="M46">
        <v>5</v>
      </c>
      <c r="N46">
        <v>6.6119611230000004</v>
      </c>
      <c r="O46">
        <v>10.19313305</v>
      </c>
      <c r="P46">
        <v>5</v>
      </c>
    </row>
    <row r="47" spans="1:16" x14ac:dyDescent="0.35">
      <c r="A47" t="s">
        <v>122</v>
      </c>
      <c r="B47">
        <v>45363</v>
      </c>
      <c r="C47" t="s">
        <v>123</v>
      </c>
      <c r="D47">
        <v>64</v>
      </c>
      <c r="E47" t="s">
        <v>35</v>
      </c>
      <c r="F47" t="s">
        <v>57</v>
      </c>
      <c r="G47" t="s">
        <v>61</v>
      </c>
      <c r="H47" t="s">
        <v>36</v>
      </c>
      <c r="I47">
        <v>162.71</v>
      </c>
      <c r="J47">
        <v>28327</v>
      </c>
      <c r="K47">
        <v>3653</v>
      </c>
      <c r="L47">
        <v>341</v>
      </c>
      <c r="M47">
        <v>5</v>
      </c>
      <c r="N47">
        <v>12.89582377</v>
      </c>
      <c r="O47">
        <v>9.3347933209999994</v>
      </c>
      <c r="P47">
        <v>5</v>
      </c>
    </row>
    <row r="48" spans="1:16" x14ac:dyDescent="0.35">
      <c r="A48" t="s">
        <v>124</v>
      </c>
      <c r="B48">
        <v>45571</v>
      </c>
      <c r="C48" t="s">
        <v>85</v>
      </c>
      <c r="D48">
        <v>63</v>
      </c>
      <c r="E48" t="s">
        <v>35</v>
      </c>
      <c r="F48" t="s">
        <v>24</v>
      </c>
      <c r="G48" t="s">
        <v>42</v>
      </c>
      <c r="H48" t="s">
        <v>62</v>
      </c>
      <c r="I48">
        <v>1004.84</v>
      </c>
      <c r="J48">
        <v>38048</v>
      </c>
      <c r="K48">
        <v>1079</v>
      </c>
      <c r="L48">
        <v>77</v>
      </c>
      <c r="M48">
        <v>4</v>
      </c>
      <c r="N48">
        <v>2.8358915050000002</v>
      </c>
      <c r="O48">
        <v>7.1362372570000003</v>
      </c>
      <c r="P48">
        <v>4</v>
      </c>
    </row>
    <row r="49" spans="1:16" x14ac:dyDescent="0.35">
      <c r="A49" t="s">
        <v>125</v>
      </c>
      <c r="B49">
        <v>45302</v>
      </c>
      <c r="C49" t="s">
        <v>126</v>
      </c>
      <c r="D49">
        <v>41</v>
      </c>
      <c r="E49" t="s">
        <v>35</v>
      </c>
      <c r="F49" t="s">
        <v>30</v>
      </c>
      <c r="G49" t="s">
        <v>46</v>
      </c>
      <c r="H49" t="s">
        <v>26</v>
      </c>
      <c r="I49">
        <v>694.66</v>
      </c>
      <c r="J49">
        <v>30529</v>
      </c>
      <c r="K49">
        <v>26</v>
      </c>
      <c r="L49">
        <v>96</v>
      </c>
      <c r="M49">
        <v>2</v>
      </c>
      <c r="N49">
        <v>8.5164925000000002E-2</v>
      </c>
      <c r="O49">
        <v>369.2307692</v>
      </c>
      <c r="P49">
        <v>2</v>
      </c>
    </row>
    <row r="50" spans="1:16" x14ac:dyDescent="0.35">
      <c r="A50" t="s">
        <v>127</v>
      </c>
      <c r="B50">
        <v>45525</v>
      </c>
      <c r="C50" t="s">
        <v>128</v>
      </c>
      <c r="D50">
        <v>56</v>
      </c>
      <c r="E50" t="s">
        <v>23</v>
      </c>
      <c r="F50" t="s">
        <v>50</v>
      </c>
      <c r="G50" t="s">
        <v>31</v>
      </c>
      <c r="H50" t="s">
        <v>26</v>
      </c>
      <c r="I50">
        <v>138.05000000000001</v>
      </c>
      <c r="J50">
        <v>17610</v>
      </c>
      <c r="K50">
        <v>4239</v>
      </c>
      <c r="L50">
        <v>114</v>
      </c>
      <c r="M50">
        <v>2</v>
      </c>
      <c r="N50">
        <v>24.071550259999999</v>
      </c>
      <c r="O50">
        <v>2.689313517</v>
      </c>
      <c r="P50">
        <v>2</v>
      </c>
    </row>
    <row r="51" spans="1:16" x14ac:dyDescent="0.35">
      <c r="A51" t="s">
        <v>129</v>
      </c>
      <c r="B51">
        <v>45583</v>
      </c>
      <c r="C51" t="s">
        <v>130</v>
      </c>
      <c r="D51">
        <v>42</v>
      </c>
      <c r="E51" t="s">
        <v>23</v>
      </c>
      <c r="F51" t="s">
        <v>24</v>
      </c>
      <c r="G51" t="s">
        <v>31</v>
      </c>
      <c r="H51" t="s">
        <v>32</v>
      </c>
      <c r="I51">
        <v>1288.67</v>
      </c>
      <c r="J51">
        <v>33696</v>
      </c>
      <c r="K51">
        <v>3552</v>
      </c>
      <c r="L51">
        <v>279</v>
      </c>
      <c r="M51">
        <v>1</v>
      </c>
      <c r="N51">
        <v>10.54131054</v>
      </c>
      <c r="O51">
        <v>7.8547297299999999</v>
      </c>
      <c r="P51">
        <v>1</v>
      </c>
    </row>
    <row r="52" spans="1:16" x14ac:dyDescent="0.35">
      <c r="A52" t="s">
        <v>131</v>
      </c>
      <c r="B52">
        <v>45609</v>
      </c>
      <c r="C52" t="s">
        <v>132</v>
      </c>
      <c r="D52">
        <v>40</v>
      </c>
      <c r="E52" t="s">
        <v>35</v>
      </c>
      <c r="F52" t="s">
        <v>41</v>
      </c>
      <c r="G52" t="s">
        <v>46</v>
      </c>
      <c r="H52" t="s">
        <v>26</v>
      </c>
      <c r="I52">
        <v>1943.85</v>
      </c>
      <c r="J52">
        <v>46596</v>
      </c>
      <c r="K52">
        <v>3817</v>
      </c>
      <c r="L52">
        <v>121</v>
      </c>
      <c r="M52">
        <v>1</v>
      </c>
      <c r="N52">
        <v>8.1916902740000008</v>
      </c>
      <c r="O52">
        <v>3.170028818</v>
      </c>
      <c r="P52">
        <v>1</v>
      </c>
    </row>
    <row r="53" spans="1:16" x14ac:dyDescent="0.35">
      <c r="A53" t="s">
        <v>133</v>
      </c>
      <c r="B53">
        <v>45443</v>
      </c>
      <c r="C53" t="s">
        <v>134</v>
      </c>
      <c r="D53">
        <v>45</v>
      </c>
      <c r="E53" t="s">
        <v>23</v>
      </c>
      <c r="F53" t="s">
        <v>50</v>
      </c>
      <c r="G53" t="s">
        <v>31</v>
      </c>
      <c r="H53" t="s">
        <v>32</v>
      </c>
      <c r="I53">
        <v>1164.96</v>
      </c>
      <c r="J53">
        <v>28535</v>
      </c>
      <c r="K53">
        <v>2338</v>
      </c>
      <c r="L53">
        <v>326</v>
      </c>
      <c r="M53">
        <v>2</v>
      </c>
      <c r="N53">
        <v>8.1934466439999998</v>
      </c>
      <c r="O53">
        <v>13.943541489999999</v>
      </c>
      <c r="P53">
        <v>2</v>
      </c>
    </row>
    <row r="54" spans="1:16" x14ac:dyDescent="0.35">
      <c r="A54" t="s">
        <v>135</v>
      </c>
      <c r="B54">
        <v>45384</v>
      </c>
      <c r="C54" t="s">
        <v>136</v>
      </c>
      <c r="D54">
        <v>20</v>
      </c>
      <c r="E54" t="s">
        <v>35</v>
      </c>
      <c r="F54" t="s">
        <v>57</v>
      </c>
      <c r="G54" t="s">
        <v>46</v>
      </c>
      <c r="H54" t="s">
        <v>36</v>
      </c>
      <c r="I54">
        <v>741.59</v>
      </c>
      <c r="J54">
        <v>2451</v>
      </c>
      <c r="K54">
        <v>3558</v>
      </c>
      <c r="L54">
        <v>296</v>
      </c>
      <c r="M54">
        <v>3</v>
      </c>
      <c r="N54">
        <v>145.1652387</v>
      </c>
      <c r="O54">
        <v>8.3192804949999992</v>
      </c>
      <c r="P54">
        <v>3</v>
      </c>
    </row>
    <row r="55" spans="1:16" x14ac:dyDescent="0.35">
      <c r="A55" t="s">
        <v>137</v>
      </c>
      <c r="B55">
        <v>45539</v>
      </c>
      <c r="C55" t="s">
        <v>138</v>
      </c>
      <c r="D55">
        <v>36</v>
      </c>
      <c r="E55" t="s">
        <v>35</v>
      </c>
      <c r="F55" t="s">
        <v>45</v>
      </c>
      <c r="G55" t="s">
        <v>31</v>
      </c>
      <c r="H55" t="s">
        <v>36</v>
      </c>
      <c r="I55">
        <v>1892.73</v>
      </c>
      <c r="J55">
        <v>21272</v>
      </c>
      <c r="K55">
        <v>1201</v>
      </c>
      <c r="L55">
        <v>365</v>
      </c>
      <c r="M55">
        <v>4</v>
      </c>
      <c r="N55">
        <v>5.6459195190000004</v>
      </c>
      <c r="O55">
        <v>30.391340549999999</v>
      </c>
      <c r="P55">
        <v>4</v>
      </c>
    </row>
    <row r="56" spans="1:16" x14ac:dyDescent="0.35">
      <c r="A56" t="s">
        <v>139</v>
      </c>
      <c r="B56">
        <v>45516</v>
      </c>
      <c r="C56" t="s">
        <v>140</v>
      </c>
      <c r="D56">
        <v>61</v>
      </c>
      <c r="E56" t="s">
        <v>23</v>
      </c>
      <c r="F56" t="s">
        <v>57</v>
      </c>
      <c r="G56" t="s">
        <v>46</v>
      </c>
      <c r="H56" t="s">
        <v>36</v>
      </c>
      <c r="I56">
        <v>1379.45</v>
      </c>
      <c r="J56">
        <v>724</v>
      </c>
      <c r="K56">
        <v>229</v>
      </c>
      <c r="L56">
        <v>157</v>
      </c>
      <c r="N56">
        <v>31.629834249999998</v>
      </c>
      <c r="O56">
        <v>68.558951969999995</v>
      </c>
      <c r="P56">
        <v>3</v>
      </c>
    </row>
    <row r="57" spans="1:16" x14ac:dyDescent="0.35">
      <c r="A57" t="s">
        <v>141</v>
      </c>
      <c r="B57">
        <v>45441</v>
      </c>
      <c r="C57" t="s">
        <v>142</v>
      </c>
      <c r="D57">
        <v>55</v>
      </c>
      <c r="E57" t="s">
        <v>23</v>
      </c>
      <c r="F57" t="s">
        <v>30</v>
      </c>
      <c r="G57" t="s">
        <v>61</v>
      </c>
      <c r="H57" t="s">
        <v>26</v>
      </c>
      <c r="I57">
        <v>355.66</v>
      </c>
      <c r="J57">
        <v>1683</v>
      </c>
      <c r="K57">
        <v>547</v>
      </c>
      <c r="L57">
        <v>299</v>
      </c>
      <c r="M57">
        <v>1</v>
      </c>
      <c r="N57">
        <v>32.501485440000003</v>
      </c>
      <c r="O57">
        <v>54.66179159</v>
      </c>
      <c r="P57">
        <v>1</v>
      </c>
    </row>
    <row r="58" spans="1:16" x14ac:dyDescent="0.35">
      <c r="A58" t="s">
        <v>143</v>
      </c>
      <c r="B58">
        <v>45648</v>
      </c>
      <c r="C58" t="s">
        <v>144</v>
      </c>
      <c r="D58">
        <v>35</v>
      </c>
      <c r="E58" t="s">
        <v>29</v>
      </c>
      <c r="F58" t="s">
        <v>41</v>
      </c>
      <c r="G58" t="s">
        <v>46</v>
      </c>
      <c r="H58" t="s">
        <v>36</v>
      </c>
      <c r="I58">
        <v>1233.05</v>
      </c>
      <c r="J58">
        <v>43478</v>
      </c>
      <c r="K58">
        <v>1045</v>
      </c>
      <c r="L58">
        <v>301</v>
      </c>
      <c r="M58">
        <v>2</v>
      </c>
      <c r="N58">
        <v>2.4035144210000001</v>
      </c>
      <c r="O58">
        <v>28.80382775</v>
      </c>
      <c r="P58">
        <v>2</v>
      </c>
    </row>
    <row r="59" spans="1:16" x14ac:dyDescent="0.35">
      <c r="A59" t="s">
        <v>145</v>
      </c>
      <c r="B59">
        <v>45359</v>
      </c>
      <c r="C59" t="s">
        <v>138</v>
      </c>
      <c r="D59">
        <v>35</v>
      </c>
      <c r="E59" t="s">
        <v>35</v>
      </c>
      <c r="F59" t="s">
        <v>50</v>
      </c>
      <c r="G59" t="s">
        <v>61</v>
      </c>
      <c r="H59" t="s">
        <v>62</v>
      </c>
      <c r="I59">
        <v>1720.54</v>
      </c>
      <c r="J59">
        <v>15509</v>
      </c>
      <c r="K59">
        <v>1482</v>
      </c>
      <c r="L59">
        <v>356</v>
      </c>
      <c r="M59">
        <v>3</v>
      </c>
      <c r="N59">
        <v>9.5557418270000003</v>
      </c>
      <c r="O59">
        <v>24.021592439999999</v>
      </c>
      <c r="P59">
        <v>3</v>
      </c>
    </row>
    <row r="60" spans="1:16" x14ac:dyDescent="0.35">
      <c r="A60" t="s">
        <v>146</v>
      </c>
      <c r="B60">
        <v>45511</v>
      </c>
      <c r="C60" t="s">
        <v>147</v>
      </c>
      <c r="D60">
        <v>22</v>
      </c>
      <c r="E60" t="s">
        <v>35</v>
      </c>
      <c r="F60" t="s">
        <v>24</v>
      </c>
      <c r="G60" t="s">
        <v>46</v>
      </c>
      <c r="H60" t="s">
        <v>36</v>
      </c>
      <c r="I60">
        <v>1566.16</v>
      </c>
      <c r="J60">
        <v>28529</v>
      </c>
      <c r="K60">
        <v>839</v>
      </c>
      <c r="L60">
        <v>361</v>
      </c>
      <c r="M60">
        <v>1</v>
      </c>
      <c r="N60">
        <v>2.9408671879999999</v>
      </c>
      <c r="O60">
        <v>43.027413590000002</v>
      </c>
      <c r="P60">
        <v>1</v>
      </c>
    </row>
    <row r="61" spans="1:16" x14ac:dyDescent="0.35">
      <c r="A61" t="s">
        <v>148</v>
      </c>
      <c r="B61">
        <v>45311</v>
      </c>
      <c r="C61" t="s">
        <v>83</v>
      </c>
      <c r="D61">
        <v>43</v>
      </c>
      <c r="E61" t="s">
        <v>23</v>
      </c>
      <c r="F61" t="s">
        <v>45</v>
      </c>
      <c r="G61" t="s">
        <v>42</v>
      </c>
      <c r="H61" t="s">
        <v>36</v>
      </c>
      <c r="I61">
        <v>1018.6</v>
      </c>
      <c r="J61">
        <v>2989</v>
      </c>
      <c r="K61">
        <v>713</v>
      </c>
      <c r="L61">
        <v>105</v>
      </c>
      <c r="M61">
        <v>5</v>
      </c>
      <c r="N61">
        <v>23.854131819999999</v>
      </c>
      <c r="O61">
        <v>14.72650771</v>
      </c>
      <c r="P61">
        <v>5</v>
      </c>
    </row>
    <row r="62" spans="1:16" x14ac:dyDescent="0.35">
      <c r="A62" t="s">
        <v>149</v>
      </c>
      <c r="B62">
        <v>45296</v>
      </c>
      <c r="C62" t="s">
        <v>150</v>
      </c>
      <c r="D62">
        <v>47</v>
      </c>
      <c r="E62" t="s">
        <v>29</v>
      </c>
      <c r="F62" t="s">
        <v>30</v>
      </c>
      <c r="G62" t="s">
        <v>61</v>
      </c>
      <c r="H62" t="s">
        <v>26</v>
      </c>
      <c r="I62">
        <v>1383.45</v>
      </c>
      <c r="J62">
        <v>38648</v>
      </c>
      <c r="K62">
        <v>2706</v>
      </c>
      <c r="L62">
        <v>393</v>
      </c>
      <c r="M62">
        <v>2</v>
      </c>
      <c r="N62">
        <v>7.001655972</v>
      </c>
      <c r="O62">
        <v>14.523281600000001</v>
      </c>
      <c r="P62">
        <v>2</v>
      </c>
    </row>
    <row r="63" spans="1:16" x14ac:dyDescent="0.35">
      <c r="A63" t="s">
        <v>151</v>
      </c>
      <c r="B63">
        <v>45567</v>
      </c>
      <c r="C63" t="s">
        <v>152</v>
      </c>
      <c r="D63">
        <v>29</v>
      </c>
      <c r="E63" t="s">
        <v>23</v>
      </c>
      <c r="F63" t="s">
        <v>57</v>
      </c>
      <c r="G63" t="s">
        <v>25</v>
      </c>
      <c r="H63" t="s">
        <v>26</v>
      </c>
      <c r="I63">
        <v>1772.21</v>
      </c>
      <c r="J63">
        <v>38917</v>
      </c>
      <c r="K63">
        <v>4997</v>
      </c>
      <c r="L63">
        <v>57</v>
      </c>
      <c r="M63">
        <v>1</v>
      </c>
      <c r="N63">
        <v>12.84014698</v>
      </c>
      <c r="O63">
        <v>1.1406844110000001</v>
      </c>
      <c r="P63">
        <v>1</v>
      </c>
    </row>
    <row r="64" spans="1:16" x14ac:dyDescent="0.35">
      <c r="A64" t="s">
        <v>153</v>
      </c>
      <c r="B64">
        <v>45325</v>
      </c>
      <c r="C64" t="s">
        <v>136</v>
      </c>
      <c r="D64">
        <v>55</v>
      </c>
      <c r="E64" t="s">
        <v>35</v>
      </c>
      <c r="F64" t="s">
        <v>30</v>
      </c>
      <c r="G64" t="s">
        <v>61</v>
      </c>
      <c r="H64" t="s">
        <v>32</v>
      </c>
      <c r="I64">
        <v>1493.49</v>
      </c>
      <c r="J64">
        <v>624</v>
      </c>
      <c r="K64">
        <v>2762</v>
      </c>
      <c r="L64">
        <v>119</v>
      </c>
      <c r="M64">
        <v>4</v>
      </c>
      <c r="N64">
        <v>442.6282051</v>
      </c>
      <c r="O64">
        <v>4.3084721220000004</v>
      </c>
      <c r="P64">
        <v>4</v>
      </c>
    </row>
    <row r="65" spans="1:16" x14ac:dyDescent="0.35">
      <c r="A65" t="s">
        <v>154</v>
      </c>
      <c r="B65">
        <v>45415</v>
      </c>
      <c r="C65" t="s">
        <v>155</v>
      </c>
      <c r="D65">
        <v>49</v>
      </c>
      <c r="E65" t="s">
        <v>29</v>
      </c>
      <c r="F65" t="s">
        <v>45</v>
      </c>
      <c r="G65" t="s">
        <v>46</v>
      </c>
      <c r="H65" t="s">
        <v>32</v>
      </c>
      <c r="I65">
        <v>1154.26</v>
      </c>
      <c r="J65">
        <v>1058</v>
      </c>
      <c r="K65">
        <v>2216</v>
      </c>
      <c r="L65">
        <v>260</v>
      </c>
      <c r="N65">
        <v>209.45179580000001</v>
      </c>
      <c r="O65">
        <v>11.73285199</v>
      </c>
      <c r="P65">
        <v>3</v>
      </c>
    </row>
    <row r="66" spans="1:16" x14ac:dyDescent="0.35">
      <c r="A66" t="s">
        <v>156</v>
      </c>
      <c r="B66">
        <v>45578</v>
      </c>
      <c r="C66" t="s">
        <v>157</v>
      </c>
      <c r="D66">
        <v>21</v>
      </c>
      <c r="E66" t="s">
        <v>35</v>
      </c>
      <c r="F66" t="s">
        <v>50</v>
      </c>
      <c r="G66" t="s">
        <v>25</v>
      </c>
      <c r="H66" t="s">
        <v>62</v>
      </c>
      <c r="I66">
        <v>1956.26</v>
      </c>
      <c r="J66">
        <v>37867</v>
      </c>
      <c r="K66">
        <v>3402</v>
      </c>
      <c r="L66">
        <v>382</v>
      </c>
      <c r="M66">
        <v>5</v>
      </c>
      <c r="N66">
        <v>8.9840758439999995</v>
      </c>
      <c r="O66">
        <v>11.22868901</v>
      </c>
      <c r="P66">
        <v>5</v>
      </c>
    </row>
    <row r="67" spans="1:16" x14ac:dyDescent="0.35">
      <c r="A67" t="s">
        <v>158</v>
      </c>
      <c r="B67">
        <v>45477</v>
      </c>
      <c r="C67" t="s">
        <v>64</v>
      </c>
      <c r="D67">
        <v>48</v>
      </c>
      <c r="E67" t="s">
        <v>23</v>
      </c>
      <c r="F67" t="s">
        <v>30</v>
      </c>
      <c r="G67" t="s">
        <v>42</v>
      </c>
      <c r="H67" t="s">
        <v>26</v>
      </c>
      <c r="I67">
        <v>168.77</v>
      </c>
      <c r="J67">
        <v>27081</v>
      </c>
      <c r="K67">
        <v>2077</v>
      </c>
      <c r="L67">
        <v>32</v>
      </c>
      <c r="N67">
        <v>7.6695838409999997</v>
      </c>
      <c r="O67">
        <v>1.5406836779999999</v>
      </c>
      <c r="P67">
        <v>3</v>
      </c>
    </row>
    <row r="68" spans="1:16" x14ac:dyDescent="0.35">
      <c r="A68" t="s">
        <v>159</v>
      </c>
      <c r="B68">
        <v>45521</v>
      </c>
      <c r="C68" t="s">
        <v>160</v>
      </c>
      <c r="D68">
        <v>31</v>
      </c>
      <c r="E68" t="s">
        <v>23</v>
      </c>
      <c r="F68" t="s">
        <v>41</v>
      </c>
      <c r="G68" t="s">
        <v>42</v>
      </c>
      <c r="H68" t="s">
        <v>62</v>
      </c>
      <c r="I68">
        <v>661.87</v>
      </c>
      <c r="J68">
        <v>11233</v>
      </c>
      <c r="K68">
        <v>824</v>
      </c>
      <c r="L68">
        <v>10</v>
      </c>
      <c r="M68">
        <v>2</v>
      </c>
      <c r="N68">
        <v>7.3355292439999999</v>
      </c>
      <c r="O68">
        <v>1.213592233</v>
      </c>
      <c r="P68">
        <v>2</v>
      </c>
    </row>
    <row r="69" spans="1:16" x14ac:dyDescent="0.35">
      <c r="A69" t="s">
        <v>161</v>
      </c>
      <c r="B69">
        <v>45621</v>
      </c>
      <c r="C69" t="s">
        <v>162</v>
      </c>
      <c r="D69">
        <v>23</v>
      </c>
      <c r="E69" t="s">
        <v>35</v>
      </c>
      <c r="F69" t="s">
        <v>57</v>
      </c>
      <c r="G69" t="s">
        <v>25</v>
      </c>
      <c r="H69" t="s">
        <v>62</v>
      </c>
      <c r="I69">
        <v>1911.99</v>
      </c>
      <c r="J69">
        <v>25029</v>
      </c>
      <c r="K69">
        <v>4641</v>
      </c>
      <c r="L69">
        <v>169</v>
      </c>
      <c r="M69">
        <v>3</v>
      </c>
      <c r="N69">
        <v>18.542490709999999</v>
      </c>
      <c r="O69">
        <v>3.6414565830000001</v>
      </c>
      <c r="P69">
        <v>3</v>
      </c>
    </row>
    <row r="70" spans="1:16" x14ac:dyDescent="0.35">
      <c r="A70" t="s">
        <v>163</v>
      </c>
      <c r="B70">
        <v>45422</v>
      </c>
      <c r="C70" t="s">
        <v>81</v>
      </c>
      <c r="D70">
        <v>57</v>
      </c>
      <c r="E70" t="s">
        <v>23</v>
      </c>
      <c r="F70" t="s">
        <v>24</v>
      </c>
      <c r="G70" t="s">
        <v>46</v>
      </c>
      <c r="H70" t="s">
        <v>36</v>
      </c>
      <c r="I70">
        <v>110.41</v>
      </c>
      <c r="J70">
        <v>5090</v>
      </c>
      <c r="K70">
        <v>3051</v>
      </c>
      <c r="L70">
        <v>27</v>
      </c>
      <c r="M70">
        <v>5</v>
      </c>
      <c r="N70">
        <v>59.941060899999997</v>
      </c>
      <c r="O70">
        <v>0.88495575199999998</v>
      </c>
      <c r="P70">
        <v>5</v>
      </c>
    </row>
    <row r="71" spans="1:16" x14ac:dyDescent="0.35">
      <c r="A71" t="s">
        <v>164</v>
      </c>
      <c r="B71">
        <v>45375</v>
      </c>
      <c r="C71" t="s">
        <v>160</v>
      </c>
      <c r="D71">
        <v>18</v>
      </c>
      <c r="E71" t="s">
        <v>29</v>
      </c>
      <c r="F71" t="s">
        <v>24</v>
      </c>
      <c r="G71" t="s">
        <v>31</v>
      </c>
      <c r="H71" t="s">
        <v>36</v>
      </c>
      <c r="I71">
        <v>1409.27</v>
      </c>
      <c r="J71">
        <v>37239</v>
      </c>
      <c r="K71">
        <v>2554</v>
      </c>
      <c r="L71">
        <v>347</v>
      </c>
      <c r="N71">
        <v>6.8584011389999997</v>
      </c>
      <c r="O71">
        <v>13.58653093</v>
      </c>
      <c r="P71">
        <v>3</v>
      </c>
    </row>
    <row r="72" spans="1:16" x14ac:dyDescent="0.35">
      <c r="A72" t="s">
        <v>165</v>
      </c>
      <c r="B72">
        <v>45313</v>
      </c>
      <c r="C72" t="s">
        <v>166</v>
      </c>
      <c r="D72">
        <v>60</v>
      </c>
      <c r="E72" t="s">
        <v>23</v>
      </c>
      <c r="F72" t="s">
        <v>57</v>
      </c>
      <c r="G72" t="s">
        <v>46</v>
      </c>
      <c r="H72" t="s">
        <v>32</v>
      </c>
      <c r="I72">
        <v>1082.1300000000001</v>
      </c>
      <c r="J72">
        <v>13277</v>
      </c>
      <c r="K72">
        <v>4785</v>
      </c>
      <c r="L72">
        <v>252</v>
      </c>
      <c r="M72">
        <v>1</v>
      </c>
      <c r="N72">
        <v>36.039768019999997</v>
      </c>
      <c r="O72">
        <v>5.2664576800000003</v>
      </c>
      <c r="P72">
        <v>1</v>
      </c>
    </row>
    <row r="73" spans="1:16" x14ac:dyDescent="0.35">
      <c r="A73" t="s">
        <v>167</v>
      </c>
      <c r="B73">
        <v>45411</v>
      </c>
      <c r="C73" t="s">
        <v>92</v>
      </c>
      <c r="D73">
        <v>62</v>
      </c>
      <c r="E73" t="s">
        <v>29</v>
      </c>
      <c r="F73" t="s">
        <v>50</v>
      </c>
      <c r="G73" t="s">
        <v>61</v>
      </c>
      <c r="H73" t="s">
        <v>62</v>
      </c>
      <c r="I73">
        <v>1211.99</v>
      </c>
      <c r="J73">
        <v>42354</v>
      </c>
      <c r="K73">
        <v>2551</v>
      </c>
      <c r="L73">
        <v>8</v>
      </c>
      <c r="N73">
        <v>6.0230438680000002</v>
      </c>
      <c r="O73">
        <v>0.31360250899999997</v>
      </c>
      <c r="P73">
        <v>3</v>
      </c>
    </row>
    <row r="74" spans="1:16" x14ac:dyDescent="0.35">
      <c r="A74" t="s">
        <v>168</v>
      </c>
      <c r="B74">
        <v>45359</v>
      </c>
      <c r="C74" t="s">
        <v>109</v>
      </c>
      <c r="D74">
        <v>33</v>
      </c>
      <c r="E74" t="s">
        <v>23</v>
      </c>
      <c r="F74" t="s">
        <v>57</v>
      </c>
      <c r="G74" t="s">
        <v>25</v>
      </c>
      <c r="H74" t="s">
        <v>26</v>
      </c>
      <c r="I74">
        <v>191.91</v>
      </c>
      <c r="J74">
        <v>7346</v>
      </c>
      <c r="K74">
        <v>3172</v>
      </c>
      <c r="L74">
        <v>137</v>
      </c>
      <c r="M74">
        <v>5</v>
      </c>
      <c r="N74">
        <v>43.17996188</v>
      </c>
      <c r="O74">
        <v>4.3190416139999996</v>
      </c>
      <c r="P74">
        <v>5</v>
      </c>
    </row>
    <row r="75" spans="1:16" x14ac:dyDescent="0.35">
      <c r="A75" t="s">
        <v>169</v>
      </c>
      <c r="B75">
        <v>45495</v>
      </c>
      <c r="C75" t="s">
        <v>170</v>
      </c>
      <c r="E75" t="s">
        <v>35</v>
      </c>
      <c r="F75" t="s">
        <v>771</v>
      </c>
      <c r="G75" t="s">
        <v>46</v>
      </c>
      <c r="H75" t="s">
        <v>32</v>
      </c>
      <c r="I75">
        <v>65.67</v>
      </c>
      <c r="J75">
        <v>4948</v>
      </c>
      <c r="K75">
        <v>524</v>
      </c>
      <c r="L75">
        <v>10</v>
      </c>
      <c r="N75">
        <v>10.59013743</v>
      </c>
      <c r="O75">
        <v>1.908396947</v>
      </c>
      <c r="P75">
        <v>3</v>
      </c>
    </row>
    <row r="76" spans="1:16" x14ac:dyDescent="0.35">
      <c r="A76" t="s">
        <v>171</v>
      </c>
      <c r="B76">
        <v>45339</v>
      </c>
      <c r="C76" t="s">
        <v>157</v>
      </c>
      <c r="D76">
        <v>62</v>
      </c>
      <c r="E76" t="s">
        <v>23</v>
      </c>
      <c r="F76" t="s">
        <v>57</v>
      </c>
      <c r="G76" t="s">
        <v>61</v>
      </c>
      <c r="H76" t="s">
        <v>62</v>
      </c>
      <c r="I76">
        <v>676.43</v>
      </c>
      <c r="J76">
        <v>14970</v>
      </c>
      <c r="K76">
        <v>1249</v>
      </c>
      <c r="L76">
        <v>22</v>
      </c>
      <c r="M76">
        <v>5</v>
      </c>
      <c r="N76">
        <v>8.3433533729999994</v>
      </c>
      <c r="O76">
        <v>1.7614091270000001</v>
      </c>
      <c r="P76">
        <v>5</v>
      </c>
    </row>
    <row r="77" spans="1:16" x14ac:dyDescent="0.35">
      <c r="A77" t="s">
        <v>172</v>
      </c>
      <c r="B77">
        <v>45564</v>
      </c>
      <c r="C77" t="s">
        <v>52</v>
      </c>
      <c r="D77">
        <v>31</v>
      </c>
      <c r="E77" t="s">
        <v>29</v>
      </c>
      <c r="F77" t="s">
        <v>30</v>
      </c>
      <c r="G77" t="s">
        <v>61</v>
      </c>
      <c r="H77" t="s">
        <v>32</v>
      </c>
      <c r="I77">
        <v>830.1</v>
      </c>
      <c r="J77">
        <v>19575</v>
      </c>
      <c r="K77">
        <v>1786</v>
      </c>
      <c r="L77">
        <v>265</v>
      </c>
      <c r="M77">
        <v>4</v>
      </c>
      <c r="N77">
        <v>9.1238825030000008</v>
      </c>
      <c r="O77">
        <v>14.83762598</v>
      </c>
      <c r="P77">
        <v>4</v>
      </c>
    </row>
    <row r="78" spans="1:16" x14ac:dyDescent="0.35">
      <c r="A78" t="s">
        <v>173</v>
      </c>
      <c r="B78">
        <v>45304</v>
      </c>
      <c r="C78" t="s">
        <v>22</v>
      </c>
      <c r="D78">
        <v>50</v>
      </c>
      <c r="E78" t="s">
        <v>29</v>
      </c>
      <c r="F78" t="s">
        <v>57</v>
      </c>
      <c r="G78" t="s">
        <v>46</v>
      </c>
      <c r="H78" t="s">
        <v>26</v>
      </c>
      <c r="I78">
        <v>1279.9100000000001</v>
      </c>
      <c r="J78">
        <v>22927</v>
      </c>
      <c r="K78">
        <v>4900</v>
      </c>
      <c r="L78">
        <v>375</v>
      </c>
      <c r="M78">
        <v>5</v>
      </c>
      <c r="N78">
        <v>21.372181269999999</v>
      </c>
      <c r="O78">
        <v>7.653061224</v>
      </c>
      <c r="P78">
        <v>5</v>
      </c>
    </row>
    <row r="79" spans="1:16" x14ac:dyDescent="0.35">
      <c r="A79" t="s">
        <v>174</v>
      </c>
      <c r="B79">
        <v>45641</v>
      </c>
      <c r="C79" t="s">
        <v>175</v>
      </c>
      <c r="D79">
        <v>50</v>
      </c>
      <c r="E79" t="s">
        <v>35</v>
      </c>
      <c r="F79" t="s">
        <v>57</v>
      </c>
      <c r="G79" t="s">
        <v>46</v>
      </c>
      <c r="H79" t="s">
        <v>26</v>
      </c>
      <c r="I79">
        <v>1108.8599999999999</v>
      </c>
      <c r="J79">
        <v>35586</v>
      </c>
      <c r="K79">
        <v>3331</v>
      </c>
      <c r="L79">
        <v>170</v>
      </c>
      <c r="M79">
        <v>2</v>
      </c>
      <c r="N79">
        <v>9.3604226379999993</v>
      </c>
      <c r="O79">
        <v>5.1035725010000004</v>
      </c>
      <c r="P79">
        <v>2</v>
      </c>
    </row>
    <row r="80" spans="1:16" x14ac:dyDescent="0.35">
      <c r="A80" t="s">
        <v>176</v>
      </c>
      <c r="B80">
        <v>45399</v>
      </c>
      <c r="C80" t="s">
        <v>126</v>
      </c>
      <c r="D80">
        <v>29</v>
      </c>
      <c r="E80" t="s">
        <v>35</v>
      </c>
      <c r="F80" t="s">
        <v>45</v>
      </c>
      <c r="G80" t="s">
        <v>61</v>
      </c>
      <c r="H80" t="s">
        <v>32</v>
      </c>
      <c r="I80">
        <v>166.91</v>
      </c>
      <c r="J80">
        <v>22637</v>
      </c>
      <c r="K80">
        <v>410</v>
      </c>
      <c r="L80">
        <v>109</v>
      </c>
      <c r="N80">
        <v>1.8111940630000001</v>
      </c>
      <c r="O80">
        <v>26.585365849999999</v>
      </c>
      <c r="P80">
        <v>3</v>
      </c>
    </row>
    <row r="81" spans="1:16" x14ac:dyDescent="0.35">
      <c r="A81" t="s">
        <v>177</v>
      </c>
      <c r="B81">
        <v>45525</v>
      </c>
      <c r="C81" t="s">
        <v>178</v>
      </c>
      <c r="D81">
        <v>61</v>
      </c>
      <c r="E81" t="s">
        <v>35</v>
      </c>
      <c r="F81" t="s">
        <v>41</v>
      </c>
      <c r="G81" t="s">
        <v>25</v>
      </c>
      <c r="H81" t="s">
        <v>62</v>
      </c>
      <c r="I81">
        <v>154.5</v>
      </c>
      <c r="J81">
        <v>3795</v>
      </c>
      <c r="K81">
        <v>3554</v>
      </c>
      <c r="L81">
        <v>121</v>
      </c>
      <c r="N81">
        <v>93.649538870000001</v>
      </c>
      <c r="O81">
        <v>3.4046145189999999</v>
      </c>
      <c r="P81">
        <v>3</v>
      </c>
    </row>
    <row r="82" spans="1:16" x14ac:dyDescent="0.35">
      <c r="A82" t="s">
        <v>179</v>
      </c>
      <c r="B82">
        <v>45624</v>
      </c>
      <c r="C82" t="s">
        <v>138</v>
      </c>
      <c r="E82" t="s">
        <v>23</v>
      </c>
      <c r="F82" t="s">
        <v>771</v>
      </c>
      <c r="G82" t="s">
        <v>25</v>
      </c>
      <c r="H82" t="s">
        <v>26</v>
      </c>
      <c r="I82">
        <v>1350.27</v>
      </c>
      <c r="J82">
        <v>39417</v>
      </c>
      <c r="K82">
        <v>3112</v>
      </c>
      <c r="L82">
        <v>135</v>
      </c>
      <c r="N82">
        <v>7.8950706549999996</v>
      </c>
      <c r="O82">
        <v>4.3380462719999997</v>
      </c>
      <c r="P82">
        <v>3</v>
      </c>
    </row>
    <row r="83" spans="1:16" x14ac:dyDescent="0.35">
      <c r="A83" t="s">
        <v>180</v>
      </c>
      <c r="B83">
        <v>45615</v>
      </c>
      <c r="C83" t="s">
        <v>181</v>
      </c>
      <c r="D83">
        <v>50</v>
      </c>
      <c r="E83" t="s">
        <v>29</v>
      </c>
      <c r="F83" t="s">
        <v>57</v>
      </c>
      <c r="G83" t="s">
        <v>61</v>
      </c>
      <c r="H83" t="s">
        <v>32</v>
      </c>
      <c r="I83">
        <v>1695.07</v>
      </c>
      <c r="J83">
        <v>20373</v>
      </c>
      <c r="K83">
        <v>3361</v>
      </c>
      <c r="L83">
        <v>137</v>
      </c>
      <c r="N83">
        <v>16.497324890000002</v>
      </c>
      <c r="O83">
        <v>4.076167807</v>
      </c>
      <c r="P83">
        <v>3</v>
      </c>
    </row>
    <row r="84" spans="1:16" x14ac:dyDescent="0.35">
      <c r="A84" t="s">
        <v>182</v>
      </c>
      <c r="B84">
        <v>45402</v>
      </c>
      <c r="C84" t="s">
        <v>95</v>
      </c>
      <c r="D84">
        <v>57</v>
      </c>
      <c r="E84" t="s">
        <v>29</v>
      </c>
      <c r="F84" t="s">
        <v>41</v>
      </c>
      <c r="G84" t="s">
        <v>31</v>
      </c>
      <c r="H84" t="s">
        <v>36</v>
      </c>
      <c r="I84">
        <v>998.2</v>
      </c>
      <c r="J84">
        <v>25603</v>
      </c>
      <c r="K84">
        <v>1337</v>
      </c>
      <c r="L84">
        <v>45</v>
      </c>
      <c r="N84">
        <v>5.2220442919999996</v>
      </c>
      <c r="O84">
        <v>3.3657442030000002</v>
      </c>
      <c r="P84">
        <v>3</v>
      </c>
    </row>
    <row r="85" spans="1:16" x14ac:dyDescent="0.35">
      <c r="A85" t="s">
        <v>183</v>
      </c>
      <c r="B85">
        <v>45434</v>
      </c>
      <c r="C85" t="s">
        <v>184</v>
      </c>
      <c r="D85">
        <v>24</v>
      </c>
      <c r="E85" t="s">
        <v>23</v>
      </c>
      <c r="F85" t="s">
        <v>30</v>
      </c>
      <c r="G85" t="s">
        <v>31</v>
      </c>
      <c r="H85" t="s">
        <v>32</v>
      </c>
      <c r="I85">
        <v>512.29999999999995</v>
      </c>
      <c r="J85">
        <v>45407</v>
      </c>
      <c r="K85">
        <v>609</v>
      </c>
      <c r="L85">
        <v>196</v>
      </c>
      <c r="M85">
        <v>2</v>
      </c>
      <c r="N85">
        <v>1.3412028979999999</v>
      </c>
      <c r="O85">
        <v>32.183908049999999</v>
      </c>
      <c r="P85">
        <v>2</v>
      </c>
    </row>
    <row r="86" spans="1:16" x14ac:dyDescent="0.35">
      <c r="A86" t="s">
        <v>185</v>
      </c>
      <c r="B86">
        <v>45416</v>
      </c>
      <c r="C86" t="s">
        <v>186</v>
      </c>
      <c r="D86">
        <v>21</v>
      </c>
      <c r="E86" t="s">
        <v>35</v>
      </c>
      <c r="F86" t="s">
        <v>30</v>
      </c>
      <c r="G86" t="s">
        <v>42</v>
      </c>
      <c r="H86" t="s">
        <v>36</v>
      </c>
      <c r="I86">
        <v>826.62</v>
      </c>
      <c r="J86">
        <v>32518</v>
      </c>
      <c r="K86">
        <v>3074</v>
      </c>
      <c r="L86">
        <v>169</v>
      </c>
      <c r="M86">
        <v>3</v>
      </c>
      <c r="N86">
        <v>9.4532259060000001</v>
      </c>
      <c r="O86">
        <v>5.4977228370000004</v>
      </c>
      <c r="P86">
        <v>3</v>
      </c>
    </row>
    <row r="87" spans="1:16" x14ac:dyDescent="0.35">
      <c r="A87" t="s">
        <v>187</v>
      </c>
      <c r="B87">
        <v>45568</v>
      </c>
      <c r="C87" t="s">
        <v>188</v>
      </c>
      <c r="D87">
        <v>56</v>
      </c>
      <c r="E87" t="s">
        <v>35</v>
      </c>
      <c r="F87" t="s">
        <v>45</v>
      </c>
      <c r="G87" t="s">
        <v>46</v>
      </c>
      <c r="H87" t="s">
        <v>62</v>
      </c>
      <c r="I87">
        <v>162.76</v>
      </c>
      <c r="J87">
        <v>26231</v>
      </c>
      <c r="K87">
        <v>2329</v>
      </c>
      <c r="L87">
        <v>82</v>
      </c>
      <c r="M87">
        <v>3</v>
      </c>
      <c r="N87">
        <v>8.8788075180000003</v>
      </c>
      <c r="O87">
        <v>3.5208243879999999</v>
      </c>
      <c r="P87">
        <v>3</v>
      </c>
    </row>
    <row r="88" spans="1:16" x14ac:dyDescent="0.35">
      <c r="A88" t="s">
        <v>189</v>
      </c>
      <c r="B88">
        <v>45601</v>
      </c>
      <c r="C88" t="s">
        <v>175</v>
      </c>
      <c r="D88">
        <v>48</v>
      </c>
      <c r="E88" t="s">
        <v>29</v>
      </c>
      <c r="F88" t="s">
        <v>50</v>
      </c>
      <c r="G88" t="s">
        <v>46</v>
      </c>
      <c r="H88" t="s">
        <v>32</v>
      </c>
      <c r="I88">
        <v>1452.05</v>
      </c>
      <c r="J88">
        <v>32061</v>
      </c>
      <c r="K88">
        <v>1216</v>
      </c>
      <c r="L88">
        <v>93</v>
      </c>
      <c r="M88">
        <v>5</v>
      </c>
      <c r="N88">
        <v>3.792770032</v>
      </c>
      <c r="O88">
        <v>7.6480263160000002</v>
      </c>
      <c r="P88">
        <v>5</v>
      </c>
    </row>
    <row r="89" spans="1:16" x14ac:dyDescent="0.35">
      <c r="A89" t="s">
        <v>190</v>
      </c>
      <c r="B89">
        <v>45607</v>
      </c>
      <c r="C89" t="s">
        <v>191</v>
      </c>
      <c r="E89" t="s">
        <v>35</v>
      </c>
      <c r="F89" t="s">
        <v>771</v>
      </c>
      <c r="G89" t="s">
        <v>31</v>
      </c>
      <c r="H89" t="s">
        <v>36</v>
      </c>
      <c r="I89">
        <v>488.2</v>
      </c>
      <c r="J89">
        <v>32198</v>
      </c>
      <c r="K89">
        <v>2749</v>
      </c>
      <c r="L89">
        <v>105</v>
      </c>
      <c r="N89">
        <v>8.5377973790000006</v>
      </c>
      <c r="O89">
        <v>3.8195707529999998</v>
      </c>
      <c r="P89">
        <v>3</v>
      </c>
    </row>
    <row r="90" spans="1:16" x14ac:dyDescent="0.35">
      <c r="A90" t="s">
        <v>192</v>
      </c>
      <c r="B90">
        <v>45327</v>
      </c>
      <c r="C90" t="s">
        <v>193</v>
      </c>
      <c r="D90">
        <v>45</v>
      </c>
      <c r="E90" t="s">
        <v>35</v>
      </c>
      <c r="F90" t="s">
        <v>41</v>
      </c>
      <c r="G90" t="s">
        <v>46</v>
      </c>
      <c r="H90" t="s">
        <v>62</v>
      </c>
      <c r="I90">
        <v>976.33</v>
      </c>
      <c r="J90">
        <v>34635</v>
      </c>
      <c r="K90">
        <v>472</v>
      </c>
      <c r="L90">
        <v>74</v>
      </c>
      <c r="M90">
        <v>4</v>
      </c>
      <c r="N90">
        <v>1.3627833119999999</v>
      </c>
      <c r="O90">
        <v>15.677966100000001</v>
      </c>
      <c r="P90">
        <v>4</v>
      </c>
    </row>
    <row r="91" spans="1:16" x14ac:dyDescent="0.35">
      <c r="A91" t="s">
        <v>194</v>
      </c>
      <c r="B91">
        <v>45596</v>
      </c>
      <c r="C91" t="s">
        <v>195</v>
      </c>
      <c r="D91">
        <v>58</v>
      </c>
      <c r="E91" t="s">
        <v>29</v>
      </c>
      <c r="F91" t="s">
        <v>45</v>
      </c>
      <c r="G91" t="s">
        <v>42</v>
      </c>
      <c r="H91" t="s">
        <v>26</v>
      </c>
      <c r="I91">
        <v>615.13</v>
      </c>
      <c r="J91">
        <v>23387</v>
      </c>
      <c r="K91">
        <v>744</v>
      </c>
      <c r="L91">
        <v>275</v>
      </c>
      <c r="M91">
        <v>5</v>
      </c>
      <c r="N91">
        <v>3.1812545430000001</v>
      </c>
      <c r="O91">
        <v>36.962365589999997</v>
      </c>
      <c r="P91">
        <v>5</v>
      </c>
    </row>
    <row r="92" spans="1:16" x14ac:dyDescent="0.35">
      <c r="A92" t="s">
        <v>196</v>
      </c>
      <c r="B92">
        <v>45552</v>
      </c>
      <c r="C92" t="s">
        <v>64</v>
      </c>
      <c r="D92">
        <v>48</v>
      </c>
      <c r="E92" t="s">
        <v>35</v>
      </c>
      <c r="F92" t="s">
        <v>45</v>
      </c>
      <c r="G92" t="s">
        <v>61</v>
      </c>
      <c r="H92" t="s">
        <v>26</v>
      </c>
      <c r="I92">
        <v>770.28</v>
      </c>
      <c r="J92">
        <v>44596</v>
      </c>
      <c r="K92">
        <v>1852</v>
      </c>
      <c r="L92">
        <v>172</v>
      </c>
      <c r="M92">
        <v>5</v>
      </c>
      <c r="N92">
        <v>4.1528388200000004</v>
      </c>
      <c r="O92">
        <v>9.2872570190000001</v>
      </c>
      <c r="P92">
        <v>5</v>
      </c>
    </row>
    <row r="93" spans="1:16" x14ac:dyDescent="0.35">
      <c r="A93" t="s">
        <v>197</v>
      </c>
      <c r="B93">
        <v>45591</v>
      </c>
      <c r="C93" t="s">
        <v>181</v>
      </c>
      <c r="D93">
        <v>44</v>
      </c>
      <c r="E93" t="s">
        <v>35</v>
      </c>
      <c r="F93" t="s">
        <v>30</v>
      </c>
      <c r="G93" t="s">
        <v>42</v>
      </c>
      <c r="H93" t="s">
        <v>26</v>
      </c>
      <c r="I93">
        <v>1041.72</v>
      </c>
      <c r="J93">
        <v>44592</v>
      </c>
      <c r="K93">
        <v>3671</v>
      </c>
      <c r="L93">
        <v>166</v>
      </c>
      <c r="M93">
        <v>4</v>
      </c>
      <c r="N93">
        <v>8.2324183709999996</v>
      </c>
      <c r="O93">
        <v>4.5219286299999997</v>
      </c>
      <c r="P93">
        <v>4</v>
      </c>
    </row>
    <row r="94" spans="1:16" x14ac:dyDescent="0.35">
      <c r="A94" t="s">
        <v>198</v>
      </c>
      <c r="B94">
        <v>45542</v>
      </c>
      <c r="C94" t="s">
        <v>199</v>
      </c>
      <c r="D94">
        <v>64</v>
      </c>
      <c r="E94" t="s">
        <v>29</v>
      </c>
      <c r="F94" t="s">
        <v>41</v>
      </c>
      <c r="G94" t="s">
        <v>46</v>
      </c>
      <c r="H94" t="s">
        <v>32</v>
      </c>
      <c r="I94">
        <v>421.11</v>
      </c>
      <c r="J94">
        <v>31096</v>
      </c>
      <c r="K94">
        <v>4306</v>
      </c>
      <c r="L94">
        <v>203</v>
      </c>
      <c r="M94">
        <v>5</v>
      </c>
      <c r="N94">
        <v>13.84744019</v>
      </c>
      <c r="O94">
        <v>4.7143520670000001</v>
      </c>
      <c r="P94">
        <v>5</v>
      </c>
    </row>
    <row r="95" spans="1:16" x14ac:dyDescent="0.35">
      <c r="A95" t="s">
        <v>200</v>
      </c>
      <c r="B95">
        <v>45346</v>
      </c>
      <c r="C95" t="s">
        <v>201</v>
      </c>
      <c r="D95">
        <v>59</v>
      </c>
      <c r="E95" t="s">
        <v>29</v>
      </c>
      <c r="F95" t="s">
        <v>41</v>
      </c>
      <c r="G95" t="s">
        <v>25</v>
      </c>
      <c r="H95" t="s">
        <v>36</v>
      </c>
      <c r="I95">
        <v>1468.02</v>
      </c>
      <c r="J95">
        <v>24815</v>
      </c>
      <c r="K95">
        <v>3456</v>
      </c>
      <c r="L95">
        <v>76</v>
      </c>
      <c r="M95">
        <v>2</v>
      </c>
      <c r="N95">
        <v>13.92706025</v>
      </c>
      <c r="O95">
        <v>2.1990740739999999</v>
      </c>
      <c r="P95">
        <v>2</v>
      </c>
    </row>
    <row r="96" spans="1:16" x14ac:dyDescent="0.35">
      <c r="A96" t="s">
        <v>202</v>
      </c>
      <c r="B96">
        <v>45335</v>
      </c>
      <c r="C96" t="s">
        <v>203</v>
      </c>
      <c r="D96">
        <v>44</v>
      </c>
      <c r="E96" t="s">
        <v>35</v>
      </c>
      <c r="F96" t="s">
        <v>24</v>
      </c>
      <c r="G96" t="s">
        <v>25</v>
      </c>
      <c r="H96" t="s">
        <v>36</v>
      </c>
      <c r="I96">
        <v>259.36</v>
      </c>
      <c r="J96">
        <v>40912</v>
      </c>
      <c r="K96">
        <v>3299</v>
      </c>
      <c r="L96">
        <v>371</v>
      </c>
      <c r="M96">
        <v>3</v>
      </c>
      <c r="N96">
        <v>8.0636488069999999</v>
      </c>
      <c r="O96">
        <v>11.245832070000001</v>
      </c>
      <c r="P96">
        <v>3</v>
      </c>
    </row>
    <row r="97" spans="1:16" x14ac:dyDescent="0.35">
      <c r="A97" t="s">
        <v>204</v>
      </c>
      <c r="B97">
        <v>45507</v>
      </c>
      <c r="C97" t="s">
        <v>205</v>
      </c>
      <c r="D97">
        <v>45</v>
      </c>
      <c r="E97" t="s">
        <v>35</v>
      </c>
      <c r="F97" t="s">
        <v>24</v>
      </c>
      <c r="G97" t="s">
        <v>46</v>
      </c>
      <c r="H97" t="s">
        <v>36</v>
      </c>
      <c r="I97">
        <v>1526.56</v>
      </c>
      <c r="J97">
        <v>41500</v>
      </c>
      <c r="K97">
        <v>2791</v>
      </c>
      <c r="L97">
        <v>315</v>
      </c>
      <c r="M97">
        <v>5</v>
      </c>
      <c r="N97">
        <v>6.7253012050000001</v>
      </c>
      <c r="O97">
        <v>11.28627732</v>
      </c>
      <c r="P97">
        <v>5</v>
      </c>
    </row>
    <row r="98" spans="1:16" x14ac:dyDescent="0.35">
      <c r="A98" t="s">
        <v>206</v>
      </c>
      <c r="B98">
        <v>45331</v>
      </c>
      <c r="C98" t="s">
        <v>207</v>
      </c>
      <c r="D98">
        <v>43</v>
      </c>
      <c r="E98" t="s">
        <v>35</v>
      </c>
      <c r="F98" t="s">
        <v>24</v>
      </c>
      <c r="G98" t="s">
        <v>25</v>
      </c>
      <c r="H98" t="s">
        <v>36</v>
      </c>
      <c r="I98">
        <v>140.01</v>
      </c>
      <c r="J98">
        <v>42074</v>
      </c>
      <c r="K98">
        <v>2387</v>
      </c>
      <c r="L98">
        <v>299</v>
      </c>
      <c r="M98">
        <v>3</v>
      </c>
      <c r="N98">
        <v>5.6733374530000003</v>
      </c>
      <c r="O98">
        <v>12.526183489999999</v>
      </c>
      <c r="P98">
        <v>3</v>
      </c>
    </row>
    <row r="99" spans="1:16" x14ac:dyDescent="0.35">
      <c r="A99" t="s">
        <v>208</v>
      </c>
      <c r="B99">
        <v>45423</v>
      </c>
      <c r="C99" t="s">
        <v>111</v>
      </c>
      <c r="D99">
        <v>20</v>
      </c>
      <c r="E99" t="s">
        <v>35</v>
      </c>
      <c r="F99" t="s">
        <v>30</v>
      </c>
      <c r="G99" t="s">
        <v>31</v>
      </c>
      <c r="H99" t="s">
        <v>26</v>
      </c>
      <c r="I99">
        <v>993.51</v>
      </c>
      <c r="J99">
        <v>19930</v>
      </c>
      <c r="K99">
        <v>1681</v>
      </c>
      <c r="L99">
        <v>299</v>
      </c>
      <c r="N99">
        <v>8.4345208229999997</v>
      </c>
      <c r="O99">
        <v>17.78703153</v>
      </c>
      <c r="P99">
        <v>3</v>
      </c>
    </row>
    <row r="100" spans="1:16" x14ac:dyDescent="0.35">
      <c r="A100" t="s">
        <v>209</v>
      </c>
      <c r="B100">
        <v>45627</v>
      </c>
      <c r="C100" t="s">
        <v>210</v>
      </c>
      <c r="D100">
        <v>39</v>
      </c>
      <c r="E100" t="s">
        <v>35</v>
      </c>
      <c r="F100" t="s">
        <v>57</v>
      </c>
      <c r="G100" t="s">
        <v>61</v>
      </c>
      <c r="H100" t="s">
        <v>36</v>
      </c>
      <c r="I100">
        <v>1203.5</v>
      </c>
      <c r="J100">
        <v>39872</v>
      </c>
      <c r="K100">
        <v>1246</v>
      </c>
      <c r="L100">
        <v>157</v>
      </c>
      <c r="M100">
        <v>2</v>
      </c>
      <c r="N100">
        <v>3.125</v>
      </c>
      <c r="O100">
        <v>12.60032103</v>
      </c>
      <c r="P100">
        <v>2</v>
      </c>
    </row>
    <row r="101" spans="1:16" x14ac:dyDescent="0.35">
      <c r="A101" t="s">
        <v>211</v>
      </c>
      <c r="B101">
        <v>45577</v>
      </c>
      <c r="C101" t="s">
        <v>212</v>
      </c>
      <c r="D101">
        <v>62</v>
      </c>
      <c r="E101" t="s">
        <v>23</v>
      </c>
      <c r="F101" t="s">
        <v>24</v>
      </c>
      <c r="G101" t="s">
        <v>61</v>
      </c>
      <c r="H101" t="s">
        <v>36</v>
      </c>
      <c r="I101">
        <v>482.54</v>
      </c>
      <c r="J101">
        <v>10172</v>
      </c>
      <c r="K101">
        <v>2686</v>
      </c>
      <c r="L101">
        <v>254</v>
      </c>
      <c r="M101">
        <v>3</v>
      </c>
      <c r="N101">
        <v>26.405819900000001</v>
      </c>
      <c r="O101">
        <v>9.4564408039999996</v>
      </c>
      <c r="P101">
        <v>3</v>
      </c>
    </row>
    <row r="102" spans="1:16" x14ac:dyDescent="0.35">
      <c r="A102" t="s">
        <v>213</v>
      </c>
      <c r="B102">
        <v>45428</v>
      </c>
      <c r="C102" t="s">
        <v>160</v>
      </c>
      <c r="D102">
        <v>38</v>
      </c>
      <c r="E102" t="s">
        <v>23</v>
      </c>
      <c r="F102" t="s">
        <v>24</v>
      </c>
      <c r="G102" t="s">
        <v>25</v>
      </c>
      <c r="H102" t="s">
        <v>26</v>
      </c>
      <c r="I102">
        <v>114.47</v>
      </c>
      <c r="J102">
        <v>38970</v>
      </c>
      <c r="K102">
        <v>4808</v>
      </c>
      <c r="L102">
        <v>89</v>
      </c>
      <c r="M102">
        <v>1</v>
      </c>
      <c r="N102">
        <v>12.33769566</v>
      </c>
      <c r="O102">
        <v>1.8510815309999999</v>
      </c>
      <c r="P102">
        <v>1</v>
      </c>
    </row>
    <row r="103" spans="1:16" x14ac:dyDescent="0.35">
      <c r="A103" t="s">
        <v>214</v>
      </c>
      <c r="B103">
        <v>45346</v>
      </c>
      <c r="C103" t="s">
        <v>132</v>
      </c>
      <c r="D103">
        <v>28</v>
      </c>
      <c r="E103" t="s">
        <v>23</v>
      </c>
      <c r="F103" t="s">
        <v>41</v>
      </c>
      <c r="G103" t="s">
        <v>25</v>
      </c>
      <c r="H103" t="s">
        <v>36</v>
      </c>
      <c r="I103">
        <v>1426.75</v>
      </c>
      <c r="J103">
        <v>36303</v>
      </c>
      <c r="K103">
        <v>3298</v>
      </c>
      <c r="L103">
        <v>316</v>
      </c>
      <c r="M103">
        <v>2</v>
      </c>
      <c r="N103">
        <v>9.0846486520000003</v>
      </c>
      <c r="O103">
        <v>9.5815645850000006</v>
      </c>
      <c r="P103">
        <v>2</v>
      </c>
    </row>
    <row r="104" spans="1:16" x14ac:dyDescent="0.35">
      <c r="A104" t="s">
        <v>215</v>
      </c>
      <c r="B104">
        <v>45458</v>
      </c>
      <c r="C104" t="s">
        <v>115</v>
      </c>
      <c r="D104">
        <v>51</v>
      </c>
      <c r="E104" t="s">
        <v>35</v>
      </c>
      <c r="F104" t="s">
        <v>24</v>
      </c>
      <c r="G104" t="s">
        <v>61</v>
      </c>
      <c r="H104" t="s">
        <v>32</v>
      </c>
      <c r="I104">
        <v>1402.89</v>
      </c>
      <c r="J104">
        <v>2432</v>
      </c>
      <c r="K104">
        <v>2653</v>
      </c>
      <c r="L104">
        <v>26</v>
      </c>
      <c r="M104">
        <v>1</v>
      </c>
      <c r="N104">
        <v>109.08717110000001</v>
      </c>
      <c r="O104">
        <v>0.98002261599999996</v>
      </c>
      <c r="P104">
        <v>1</v>
      </c>
    </row>
    <row r="105" spans="1:16" x14ac:dyDescent="0.35">
      <c r="A105" t="s">
        <v>216</v>
      </c>
      <c r="B105">
        <v>45490</v>
      </c>
      <c r="C105" t="s">
        <v>217</v>
      </c>
      <c r="D105">
        <v>55</v>
      </c>
      <c r="E105" t="s">
        <v>23</v>
      </c>
      <c r="F105" t="s">
        <v>45</v>
      </c>
      <c r="G105" t="s">
        <v>46</v>
      </c>
      <c r="H105" t="s">
        <v>62</v>
      </c>
      <c r="I105">
        <v>107.97</v>
      </c>
      <c r="J105">
        <v>35959</v>
      </c>
      <c r="K105">
        <v>1021</v>
      </c>
      <c r="L105">
        <v>38</v>
      </c>
      <c r="M105">
        <v>5</v>
      </c>
      <c r="N105">
        <v>2.839344809</v>
      </c>
      <c r="O105">
        <v>3.7218413319999999</v>
      </c>
      <c r="P105">
        <v>5</v>
      </c>
    </row>
    <row r="106" spans="1:16" x14ac:dyDescent="0.35">
      <c r="A106" t="s">
        <v>218</v>
      </c>
      <c r="B106">
        <v>45441</v>
      </c>
      <c r="C106" t="s">
        <v>142</v>
      </c>
      <c r="D106">
        <v>62</v>
      </c>
      <c r="E106" t="s">
        <v>35</v>
      </c>
      <c r="F106" t="s">
        <v>50</v>
      </c>
      <c r="G106" t="s">
        <v>61</v>
      </c>
      <c r="H106" t="s">
        <v>36</v>
      </c>
      <c r="I106">
        <v>384.4</v>
      </c>
      <c r="J106">
        <v>37506</v>
      </c>
      <c r="K106">
        <v>3461</v>
      </c>
      <c r="L106">
        <v>118</v>
      </c>
      <c r="M106">
        <v>3</v>
      </c>
      <c r="N106">
        <v>9.2278568760000006</v>
      </c>
      <c r="O106">
        <v>3.4094192429999999</v>
      </c>
      <c r="P106">
        <v>3</v>
      </c>
    </row>
    <row r="107" spans="1:16" x14ac:dyDescent="0.35">
      <c r="A107" t="s">
        <v>219</v>
      </c>
      <c r="B107">
        <v>45336</v>
      </c>
      <c r="C107" t="s">
        <v>220</v>
      </c>
      <c r="D107">
        <v>36</v>
      </c>
      <c r="E107" t="s">
        <v>29</v>
      </c>
      <c r="F107" t="s">
        <v>30</v>
      </c>
      <c r="G107" t="s">
        <v>42</v>
      </c>
      <c r="H107" t="s">
        <v>32</v>
      </c>
      <c r="I107">
        <v>334.17</v>
      </c>
      <c r="J107">
        <v>38386</v>
      </c>
      <c r="K107">
        <v>2395</v>
      </c>
      <c r="L107">
        <v>121</v>
      </c>
      <c r="M107">
        <v>4</v>
      </c>
      <c r="N107">
        <v>6.239253895</v>
      </c>
      <c r="O107">
        <v>5.052192067</v>
      </c>
      <c r="P107">
        <v>4</v>
      </c>
    </row>
    <row r="108" spans="1:16" x14ac:dyDescent="0.35">
      <c r="A108" t="s">
        <v>221</v>
      </c>
      <c r="B108">
        <v>45427</v>
      </c>
      <c r="C108" t="s">
        <v>222</v>
      </c>
      <c r="D108">
        <v>63</v>
      </c>
      <c r="E108" t="s">
        <v>23</v>
      </c>
      <c r="F108" t="s">
        <v>30</v>
      </c>
      <c r="G108" t="s">
        <v>42</v>
      </c>
      <c r="H108" t="s">
        <v>62</v>
      </c>
      <c r="I108">
        <v>725.13</v>
      </c>
      <c r="J108">
        <v>810</v>
      </c>
      <c r="K108">
        <v>4954</v>
      </c>
      <c r="L108">
        <v>141</v>
      </c>
      <c r="M108">
        <v>4</v>
      </c>
      <c r="N108">
        <v>611.60493829999996</v>
      </c>
      <c r="O108">
        <v>2.846184901</v>
      </c>
      <c r="P108">
        <v>4</v>
      </c>
    </row>
    <row r="109" spans="1:16" x14ac:dyDescent="0.35">
      <c r="A109" t="s">
        <v>223</v>
      </c>
      <c r="B109">
        <v>45501</v>
      </c>
      <c r="C109" t="s">
        <v>224</v>
      </c>
      <c r="D109">
        <v>35</v>
      </c>
      <c r="E109" t="s">
        <v>29</v>
      </c>
      <c r="F109" t="s">
        <v>24</v>
      </c>
      <c r="G109" t="s">
        <v>46</v>
      </c>
      <c r="H109" t="s">
        <v>26</v>
      </c>
      <c r="I109">
        <v>361.56</v>
      </c>
      <c r="J109">
        <v>3589</v>
      </c>
      <c r="K109">
        <v>1477</v>
      </c>
      <c r="L109">
        <v>391</v>
      </c>
      <c r="M109">
        <v>3</v>
      </c>
      <c r="N109">
        <v>41.153524660000002</v>
      </c>
      <c r="O109">
        <v>26.472579549999999</v>
      </c>
      <c r="P109">
        <v>3</v>
      </c>
    </row>
    <row r="110" spans="1:16" x14ac:dyDescent="0.35">
      <c r="A110" t="s">
        <v>225</v>
      </c>
      <c r="B110">
        <v>45489</v>
      </c>
      <c r="C110" t="s">
        <v>170</v>
      </c>
      <c r="D110">
        <v>64</v>
      </c>
      <c r="E110" t="s">
        <v>23</v>
      </c>
      <c r="F110" t="s">
        <v>45</v>
      </c>
      <c r="G110" t="s">
        <v>46</v>
      </c>
      <c r="H110" t="s">
        <v>26</v>
      </c>
      <c r="I110">
        <v>893.1</v>
      </c>
      <c r="J110">
        <v>7956</v>
      </c>
      <c r="K110">
        <v>2295</v>
      </c>
      <c r="L110">
        <v>133</v>
      </c>
      <c r="M110">
        <v>4</v>
      </c>
      <c r="N110">
        <v>28.84615385</v>
      </c>
      <c r="O110">
        <v>5.7952069719999999</v>
      </c>
      <c r="P110">
        <v>4</v>
      </c>
    </row>
    <row r="111" spans="1:16" x14ac:dyDescent="0.35">
      <c r="A111" t="s">
        <v>226</v>
      </c>
      <c r="B111">
        <v>45392</v>
      </c>
      <c r="C111" t="s">
        <v>227</v>
      </c>
      <c r="D111">
        <v>35</v>
      </c>
      <c r="E111" t="s">
        <v>23</v>
      </c>
      <c r="F111" t="s">
        <v>30</v>
      </c>
      <c r="G111" t="s">
        <v>25</v>
      </c>
      <c r="H111" t="s">
        <v>36</v>
      </c>
      <c r="I111">
        <v>1463.5</v>
      </c>
      <c r="J111">
        <v>42994</v>
      </c>
      <c r="K111">
        <v>1143</v>
      </c>
      <c r="L111">
        <v>63</v>
      </c>
      <c r="N111">
        <v>2.6585104899999998</v>
      </c>
      <c r="O111">
        <v>5.511811024</v>
      </c>
      <c r="P111">
        <v>3</v>
      </c>
    </row>
    <row r="112" spans="1:16" x14ac:dyDescent="0.35">
      <c r="A112" t="s">
        <v>228</v>
      </c>
      <c r="B112">
        <v>45472</v>
      </c>
      <c r="C112" t="s">
        <v>132</v>
      </c>
      <c r="D112">
        <v>52</v>
      </c>
      <c r="E112" t="s">
        <v>35</v>
      </c>
      <c r="F112" t="s">
        <v>57</v>
      </c>
      <c r="G112" t="s">
        <v>31</v>
      </c>
      <c r="H112" t="s">
        <v>32</v>
      </c>
      <c r="I112">
        <v>1633.86</v>
      </c>
      <c r="J112">
        <v>24294</v>
      </c>
      <c r="K112">
        <v>4522</v>
      </c>
      <c r="L112">
        <v>82</v>
      </c>
      <c r="M112">
        <v>4</v>
      </c>
      <c r="N112">
        <v>18.613649460000001</v>
      </c>
      <c r="O112">
        <v>1.8133569220000001</v>
      </c>
      <c r="P112">
        <v>4</v>
      </c>
    </row>
    <row r="113" spans="1:16" x14ac:dyDescent="0.35">
      <c r="A113" t="s">
        <v>229</v>
      </c>
      <c r="B113">
        <v>45461</v>
      </c>
      <c r="C113" t="s">
        <v>230</v>
      </c>
      <c r="D113">
        <v>26</v>
      </c>
      <c r="E113" t="s">
        <v>29</v>
      </c>
      <c r="F113" t="s">
        <v>50</v>
      </c>
      <c r="G113" t="s">
        <v>46</v>
      </c>
      <c r="H113" t="s">
        <v>26</v>
      </c>
      <c r="I113">
        <v>1683.74</v>
      </c>
      <c r="J113">
        <v>49199</v>
      </c>
      <c r="K113">
        <v>1206</v>
      </c>
      <c r="L113">
        <v>143</v>
      </c>
      <c r="M113">
        <v>1</v>
      </c>
      <c r="N113">
        <v>2.4512693350000001</v>
      </c>
      <c r="O113">
        <v>11.85737977</v>
      </c>
      <c r="P113">
        <v>1</v>
      </c>
    </row>
    <row r="114" spans="1:16" x14ac:dyDescent="0.35">
      <c r="A114" t="s">
        <v>231</v>
      </c>
      <c r="B114">
        <v>45321</v>
      </c>
      <c r="C114" t="s">
        <v>232</v>
      </c>
      <c r="E114" t="s">
        <v>35</v>
      </c>
      <c r="F114" t="s">
        <v>771</v>
      </c>
      <c r="G114" t="s">
        <v>25</v>
      </c>
      <c r="H114" t="s">
        <v>36</v>
      </c>
      <c r="I114">
        <v>520.96</v>
      </c>
      <c r="J114">
        <v>31499</v>
      </c>
      <c r="K114">
        <v>2032</v>
      </c>
      <c r="L114">
        <v>53</v>
      </c>
      <c r="N114">
        <v>6.4509984439999997</v>
      </c>
      <c r="O114">
        <v>2.6082677169999999</v>
      </c>
      <c r="P114">
        <v>3</v>
      </c>
    </row>
    <row r="115" spans="1:16" x14ac:dyDescent="0.35">
      <c r="A115" t="s">
        <v>233</v>
      </c>
      <c r="B115">
        <v>45574</v>
      </c>
      <c r="C115" t="s">
        <v>234</v>
      </c>
      <c r="D115">
        <v>23</v>
      </c>
      <c r="E115" t="s">
        <v>23</v>
      </c>
      <c r="F115" t="s">
        <v>57</v>
      </c>
      <c r="G115" t="s">
        <v>46</v>
      </c>
      <c r="H115" t="s">
        <v>26</v>
      </c>
      <c r="I115">
        <v>1012.19</v>
      </c>
      <c r="J115">
        <v>49830</v>
      </c>
      <c r="K115">
        <v>4377</v>
      </c>
      <c r="L115">
        <v>47</v>
      </c>
      <c r="M115">
        <v>4</v>
      </c>
      <c r="N115">
        <v>8.7838651409999997</v>
      </c>
      <c r="O115">
        <v>1.0737948369999999</v>
      </c>
      <c r="P115">
        <v>4</v>
      </c>
    </row>
    <row r="116" spans="1:16" x14ac:dyDescent="0.35">
      <c r="A116" t="s">
        <v>235</v>
      </c>
      <c r="B116">
        <v>45612</v>
      </c>
      <c r="C116" t="s">
        <v>157</v>
      </c>
      <c r="D116">
        <v>40</v>
      </c>
      <c r="E116" t="s">
        <v>29</v>
      </c>
      <c r="F116" t="s">
        <v>45</v>
      </c>
      <c r="G116" t="s">
        <v>42</v>
      </c>
      <c r="H116" t="s">
        <v>26</v>
      </c>
      <c r="I116">
        <v>1670.57</v>
      </c>
      <c r="J116">
        <v>6743</v>
      </c>
      <c r="K116">
        <v>4490</v>
      </c>
      <c r="L116">
        <v>267</v>
      </c>
      <c r="M116">
        <v>1</v>
      </c>
      <c r="N116">
        <v>66.587572300000005</v>
      </c>
      <c r="O116">
        <v>5.9465478840000001</v>
      </c>
      <c r="P116">
        <v>1</v>
      </c>
    </row>
    <row r="117" spans="1:16" x14ac:dyDescent="0.35">
      <c r="A117" t="s">
        <v>236</v>
      </c>
      <c r="B117">
        <v>45544</v>
      </c>
      <c r="C117" t="s">
        <v>178</v>
      </c>
      <c r="D117">
        <v>58</v>
      </c>
      <c r="E117" t="s">
        <v>29</v>
      </c>
      <c r="F117" t="s">
        <v>45</v>
      </c>
      <c r="G117" t="s">
        <v>42</v>
      </c>
      <c r="H117" t="s">
        <v>32</v>
      </c>
      <c r="I117">
        <v>1827.49</v>
      </c>
      <c r="J117">
        <v>24691</v>
      </c>
      <c r="K117">
        <v>2290</v>
      </c>
      <c r="L117">
        <v>231</v>
      </c>
      <c r="M117">
        <v>4</v>
      </c>
      <c r="N117">
        <v>9.2746344819999997</v>
      </c>
      <c r="O117">
        <v>10.087336240000001</v>
      </c>
      <c r="P117">
        <v>4</v>
      </c>
    </row>
    <row r="118" spans="1:16" x14ac:dyDescent="0.35">
      <c r="A118" t="s">
        <v>237</v>
      </c>
      <c r="B118">
        <v>45482</v>
      </c>
      <c r="C118" t="s">
        <v>238</v>
      </c>
      <c r="D118">
        <v>36</v>
      </c>
      <c r="E118" t="s">
        <v>23</v>
      </c>
      <c r="F118" t="s">
        <v>24</v>
      </c>
      <c r="G118" t="s">
        <v>42</v>
      </c>
      <c r="H118" t="s">
        <v>62</v>
      </c>
      <c r="I118">
        <v>1461.83</v>
      </c>
      <c r="J118">
        <v>37177</v>
      </c>
      <c r="K118">
        <v>2771</v>
      </c>
      <c r="L118">
        <v>158</v>
      </c>
      <c r="N118">
        <v>7.4535330980000003</v>
      </c>
      <c r="O118">
        <v>5.7019126670000002</v>
      </c>
      <c r="P118">
        <v>3</v>
      </c>
    </row>
    <row r="119" spans="1:16" x14ac:dyDescent="0.35">
      <c r="A119" t="s">
        <v>239</v>
      </c>
      <c r="B119">
        <v>45506</v>
      </c>
      <c r="C119" t="s">
        <v>90</v>
      </c>
      <c r="D119">
        <v>19</v>
      </c>
      <c r="E119" t="s">
        <v>29</v>
      </c>
      <c r="F119" t="s">
        <v>57</v>
      </c>
      <c r="G119" t="s">
        <v>61</v>
      </c>
      <c r="H119" t="s">
        <v>32</v>
      </c>
      <c r="I119">
        <v>982.76</v>
      </c>
      <c r="J119">
        <v>37435</v>
      </c>
      <c r="K119">
        <v>4776</v>
      </c>
      <c r="L119">
        <v>312</v>
      </c>
      <c r="N119">
        <v>12.75811406</v>
      </c>
      <c r="O119">
        <v>6.5326633169999999</v>
      </c>
      <c r="P119">
        <v>3</v>
      </c>
    </row>
    <row r="120" spans="1:16" x14ac:dyDescent="0.35">
      <c r="A120" t="s">
        <v>240</v>
      </c>
      <c r="B120">
        <v>45518</v>
      </c>
      <c r="C120" t="s">
        <v>241</v>
      </c>
      <c r="D120">
        <v>63</v>
      </c>
      <c r="E120" t="s">
        <v>35</v>
      </c>
      <c r="F120" t="s">
        <v>41</v>
      </c>
      <c r="G120" t="s">
        <v>25</v>
      </c>
      <c r="H120" t="s">
        <v>32</v>
      </c>
      <c r="I120">
        <v>366.7</v>
      </c>
      <c r="J120">
        <v>3377</v>
      </c>
      <c r="K120">
        <v>1408</v>
      </c>
      <c r="L120">
        <v>95</v>
      </c>
      <c r="M120">
        <v>1</v>
      </c>
      <c r="N120">
        <v>41.693811070000002</v>
      </c>
      <c r="O120">
        <v>6.7471590910000003</v>
      </c>
      <c r="P120">
        <v>1</v>
      </c>
    </row>
    <row r="121" spans="1:16" x14ac:dyDescent="0.35">
      <c r="A121" t="s">
        <v>242</v>
      </c>
      <c r="B121">
        <v>45304</v>
      </c>
      <c r="C121" t="s">
        <v>243</v>
      </c>
      <c r="D121">
        <v>50</v>
      </c>
      <c r="E121" t="s">
        <v>23</v>
      </c>
      <c r="F121" t="s">
        <v>45</v>
      </c>
      <c r="G121" t="s">
        <v>25</v>
      </c>
      <c r="H121" t="s">
        <v>36</v>
      </c>
      <c r="I121">
        <v>1592.51</v>
      </c>
      <c r="J121">
        <v>39679</v>
      </c>
      <c r="K121">
        <v>4507</v>
      </c>
      <c r="L121">
        <v>282</v>
      </c>
      <c r="M121">
        <v>4</v>
      </c>
      <c r="N121">
        <v>11.35865319</v>
      </c>
      <c r="O121">
        <v>6.2569336590000004</v>
      </c>
      <c r="P121">
        <v>4</v>
      </c>
    </row>
    <row r="122" spans="1:16" x14ac:dyDescent="0.35">
      <c r="A122" t="s">
        <v>244</v>
      </c>
      <c r="B122">
        <v>45426</v>
      </c>
      <c r="C122" t="s">
        <v>245</v>
      </c>
      <c r="D122">
        <v>25</v>
      </c>
      <c r="E122" t="s">
        <v>35</v>
      </c>
      <c r="F122" t="s">
        <v>57</v>
      </c>
      <c r="G122" t="s">
        <v>42</v>
      </c>
      <c r="H122" t="s">
        <v>36</v>
      </c>
      <c r="I122">
        <v>606.88</v>
      </c>
      <c r="J122">
        <v>23642</v>
      </c>
      <c r="K122">
        <v>2061</v>
      </c>
      <c r="L122">
        <v>334</v>
      </c>
      <c r="M122">
        <v>5</v>
      </c>
      <c r="N122">
        <v>8.7175365869999997</v>
      </c>
      <c r="O122">
        <v>16.205725380000001</v>
      </c>
      <c r="P122">
        <v>5</v>
      </c>
    </row>
    <row r="123" spans="1:16" x14ac:dyDescent="0.35">
      <c r="A123" t="s">
        <v>246</v>
      </c>
      <c r="B123">
        <v>45398</v>
      </c>
      <c r="C123" t="s">
        <v>38</v>
      </c>
      <c r="D123">
        <v>22</v>
      </c>
      <c r="E123" t="s">
        <v>29</v>
      </c>
      <c r="F123" t="s">
        <v>57</v>
      </c>
      <c r="G123" t="s">
        <v>46</v>
      </c>
      <c r="H123" t="s">
        <v>36</v>
      </c>
      <c r="I123">
        <v>371.95</v>
      </c>
      <c r="J123">
        <v>31624</v>
      </c>
      <c r="K123">
        <v>1475</v>
      </c>
      <c r="L123">
        <v>103</v>
      </c>
      <c r="M123">
        <v>5</v>
      </c>
      <c r="N123">
        <v>4.6641791039999996</v>
      </c>
      <c r="O123">
        <v>6.9830508470000003</v>
      </c>
      <c r="P123">
        <v>5</v>
      </c>
    </row>
    <row r="124" spans="1:16" x14ac:dyDescent="0.35">
      <c r="A124" t="s">
        <v>247</v>
      </c>
      <c r="B124">
        <v>45402</v>
      </c>
      <c r="C124" t="s">
        <v>40</v>
      </c>
      <c r="D124">
        <v>47</v>
      </c>
      <c r="E124" t="s">
        <v>29</v>
      </c>
      <c r="F124" t="s">
        <v>45</v>
      </c>
      <c r="G124" t="s">
        <v>61</v>
      </c>
      <c r="H124" t="s">
        <v>26</v>
      </c>
      <c r="I124">
        <v>406.11</v>
      </c>
      <c r="J124">
        <v>6274</v>
      </c>
      <c r="K124">
        <v>4683</v>
      </c>
      <c r="L124">
        <v>300</v>
      </c>
      <c r="M124">
        <v>1</v>
      </c>
      <c r="N124">
        <v>74.641377109999993</v>
      </c>
      <c r="O124">
        <v>6.4061499040000003</v>
      </c>
      <c r="P124">
        <v>1</v>
      </c>
    </row>
    <row r="125" spans="1:16" x14ac:dyDescent="0.35">
      <c r="A125" t="s">
        <v>248</v>
      </c>
      <c r="B125">
        <v>45641</v>
      </c>
      <c r="C125" t="s">
        <v>34</v>
      </c>
      <c r="D125">
        <v>30</v>
      </c>
      <c r="E125" t="s">
        <v>29</v>
      </c>
      <c r="F125" t="s">
        <v>30</v>
      </c>
      <c r="G125" t="s">
        <v>61</v>
      </c>
      <c r="H125" t="s">
        <v>62</v>
      </c>
      <c r="I125">
        <v>1414.99</v>
      </c>
      <c r="J125">
        <v>36111</v>
      </c>
      <c r="K125">
        <v>1260</v>
      </c>
      <c r="L125">
        <v>176</v>
      </c>
      <c r="M125">
        <v>1</v>
      </c>
      <c r="N125">
        <v>3.4892415049999999</v>
      </c>
      <c r="O125">
        <v>13.968253969999999</v>
      </c>
      <c r="P125">
        <v>1</v>
      </c>
    </row>
    <row r="126" spans="1:16" x14ac:dyDescent="0.35">
      <c r="A126" t="s">
        <v>249</v>
      </c>
      <c r="B126">
        <v>45526</v>
      </c>
      <c r="C126" t="s">
        <v>100</v>
      </c>
      <c r="D126">
        <v>54</v>
      </c>
      <c r="E126" t="s">
        <v>35</v>
      </c>
      <c r="F126" t="s">
        <v>50</v>
      </c>
      <c r="G126" t="s">
        <v>42</v>
      </c>
      <c r="H126" t="s">
        <v>62</v>
      </c>
      <c r="I126">
        <v>1846.41</v>
      </c>
      <c r="J126">
        <v>37794</v>
      </c>
      <c r="K126">
        <v>2188</v>
      </c>
      <c r="L126">
        <v>245</v>
      </c>
      <c r="N126">
        <v>5.7892787209999996</v>
      </c>
      <c r="O126">
        <v>11.197440589999999</v>
      </c>
      <c r="P126">
        <v>3</v>
      </c>
    </row>
    <row r="127" spans="1:16" x14ac:dyDescent="0.35">
      <c r="A127" t="s">
        <v>250</v>
      </c>
      <c r="B127">
        <v>45309</v>
      </c>
      <c r="C127" t="s">
        <v>251</v>
      </c>
      <c r="D127">
        <v>18</v>
      </c>
      <c r="E127" t="s">
        <v>35</v>
      </c>
      <c r="F127" t="s">
        <v>30</v>
      </c>
      <c r="G127" t="s">
        <v>25</v>
      </c>
      <c r="H127" t="s">
        <v>26</v>
      </c>
      <c r="I127">
        <v>311.69</v>
      </c>
      <c r="J127">
        <v>43403</v>
      </c>
      <c r="K127">
        <v>2605</v>
      </c>
      <c r="L127">
        <v>101</v>
      </c>
      <c r="M127">
        <v>3</v>
      </c>
      <c r="N127">
        <v>6.0018892700000004</v>
      </c>
      <c r="O127">
        <v>3.8771593090000001</v>
      </c>
      <c r="P127">
        <v>3</v>
      </c>
    </row>
    <row r="128" spans="1:16" x14ac:dyDescent="0.35">
      <c r="A128" t="s">
        <v>252</v>
      </c>
      <c r="B128">
        <v>45297</v>
      </c>
      <c r="C128" t="s">
        <v>253</v>
      </c>
      <c r="E128" t="s">
        <v>23</v>
      </c>
      <c r="F128" t="s">
        <v>771</v>
      </c>
      <c r="G128" t="s">
        <v>42</v>
      </c>
      <c r="H128" t="s">
        <v>32</v>
      </c>
      <c r="I128">
        <v>1961.14</v>
      </c>
      <c r="J128">
        <v>25099</v>
      </c>
      <c r="K128">
        <v>4902</v>
      </c>
      <c r="L128">
        <v>85</v>
      </c>
      <c r="N128">
        <v>19.530658590000002</v>
      </c>
      <c r="O128">
        <v>1.733986128</v>
      </c>
      <c r="P128">
        <v>3</v>
      </c>
    </row>
    <row r="129" spans="1:16" x14ac:dyDescent="0.35">
      <c r="A129" t="s">
        <v>254</v>
      </c>
      <c r="B129">
        <v>45627</v>
      </c>
      <c r="C129" t="s">
        <v>251</v>
      </c>
      <c r="D129">
        <v>20</v>
      </c>
      <c r="E129" t="s">
        <v>29</v>
      </c>
      <c r="F129" t="s">
        <v>45</v>
      </c>
      <c r="G129" t="s">
        <v>61</v>
      </c>
      <c r="H129" t="s">
        <v>62</v>
      </c>
      <c r="I129">
        <v>1555.39</v>
      </c>
      <c r="J129">
        <v>31478</v>
      </c>
      <c r="K129">
        <v>4363</v>
      </c>
      <c r="L129">
        <v>34</v>
      </c>
      <c r="M129">
        <v>5</v>
      </c>
      <c r="N129">
        <v>13.86047398</v>
      </c>
      <c r="O129">
        <v>0.77928031200000003</v>
      </c>
      <c r="P129">
        <v>5</v>
      </c>
    </row>
    <row r="130" spans="1:16" x14ac:dyDescent="0.35">
      <c r="A130" t="s">
        <v>255</v>
      </c>
      <c r="B130">
        <v>45341</v>
      </c>
      <c r="C130" t="s">
        <v>256</v>
      </c>
      <c r="D130">
        <v>39</v>
      </c>
      <c r="E130" t="s">
        <v>29</v>
      </c>
      <c r="F130" t="s">
        <v>24</v>
      </c>
      <c r="G130" t="s">
        <v>42</v>
      </c>
      <c r="H130" t="s">
        <v>32</v>
      </c>
      <c r="I130">
        <v>731.27</v>
      </c>
      <c r="J130">
        <v>12521</v>
      </c>
      <c r="K130">
        <v>4634</v>
      </c>
      <c r="L130">
        <v>372</v>
      </c>
      <c r="M130">
        <v>5</v>
      </c>
      <c r="N130">
        <v>37.009823500000003</v>
      </c>
      <c r="O130">
        <v>8.027621925</v>
      </c>
      <c r="P130">
        <v>5</v>
      </c>
    </row>
    <row r="131" spans="1:16" x14ac:dyDescent="0.35">
      <c r="A131" t="s">
        <v>257</v>
      </c>
      <c r="B131">
        <v>45624</v>
      </c>
      <c r="C131" t="s">
        <v>121</v>
      </c>
      <c r="D131">
        <v>40</v>
      </c>
      <c r="E131" t="s">
        <v>29</v>
      </c>
      <c r="F131" t="s">
        <v>30</v>
      </c>
      <c r="G131" t="s">
        <v>31</v>
      </c>
      <c r="H131" t="s">
        <v>36</v>
      </c>
      <c r="I131">
        <v>178.21</v>
      </c>
      <c r="J131">
        <v>10056</v>
      </c>
      <c r="K131">
        <v>1992</v>
      </c>
      <c r="L131">
        <v>322</v>
      </c>
      <c r="M131">
        <v>1</v>
      </c>
      <c r="N131">
        <v>19.809069210000001</v>
      </c>
      <c r="O131">
        <v>16.164658630000002</v>
      </c>
      <c r="P131">
        <v>1</v>
      </c>
    </row>
    <row r="132" spans="1:16" x14ac:dyDescent="0.35">
      <c r="A132" t="s">
        <v>258</v>
      </c>
      <c r="B132">
        <v>45397</v>
      </c>
      <c r="C132" t="s">
        <v>259</v>
      </c>
      <c r="E132" t="s">
        <v>35</v>
      </c>
      <c r="F132" t="s">
        <v>771</v>
      </c>
      <c r="G132" t="s">
        <v>61</v>
      </c>
      <c r="H132" t="s">
        <v>32</v>
      </c>
      <c r="I132">
        <v>858.1</v>
      </c>
      <c r="J132">
        <v>16509</v>
      </c>
      <c r="K132">
        <v>1411</v>
      </c>
      <c r="L132">
        <v>139</v>
      </c>
      <c r="N132">
        <v>8.5468532320000001</v>
      </c>
      <c r="O132">
        <v>9.8511693830000002</v>
      </c>
      <c r="P132">
        <v>3</v>
      </c>
    </row>
    <row r="133" spans="1:16" x14ac:dyDescent="0.35">
      <c r="A133" t="s">
        <v>260</v>
      </c>
      <c r="B133">
        <v>45474</v>
      </c>
      <c r="C133" t="s">
        <v>261</v>
      </c>
      <c r="D133">
        <v>48</v>
      </c>
      <c r="E133" t="s">
        <v>29</v>
      </c>
      <c r="F133" t="s">
        <v>45</v>
      </c>
      <c r="G133" t="s">
        <v>31</v>
      </c>
      <c r="H133" t="s">
        <v>36</v>
      </c>
      <c r="I133">
        <v>1106.97</v>
      </c>
      <c r="J133">
        <v>23254</v>
      </c>
      <c r="K133">
        <v>4996</v>
      </c>
      <c r="L133">
        <v>131</v>
      </c>
      <c r="M133">
        <v>3</v>
      </c>
      <c r="N133">
        <v>21.484475790000001</v>
      </c>
      <c r="O133">
        <v>2.6220976779999998</v>
      </c>
      <c r="P133">
        <v>3</v>
      </c>
    </row>
    <row r="134" spans="1:16" x14ac:dyDescent="0.35">
      <c r="A134" t="s">
        <v>262</v>
      </c>
      <c r="B134">
        <v>45467</v>
      </c>
      <c r="C134" t="s">
        <v>95</v>
      </c>
      <c r="D134">
        <v>40</v>
      </c>
      <c r="E134" t="s">
        <v>29</v>
      </c>
      <c r="F134" t="s">
        <v>24</v>
      </c>
      <c r="G134" t="s">
        <v>25</v>
      </c>
      <c r="H134" t="s">
        <v>36</v>
      </c>
      <c r="I134">
        <v>732.38</v>
      </c>
      <c r="J134">
        <v>9318</v>
      </c>
      <c r="K134">
        <v>108</v>
      </c>
      <c r="L134">
        <v>280</v>
      </c>
      <c r="M134">
        <v>2</v>
      </c>
      <c r="N134">
        <v>1.159047006</v>
      </c>
      <c r="O134">
        <v>259.2592593</v>
      </c>
      <c r="P134">
        <v>2</v>
      </c>
    </row>
    <row r="135" spans="1:16" x14ac:dyDescent="0.35">
      <c r="A135" t="s">
        <v>263</v>
      </c>
      <c r="B135">
        <v>45379</v>
      </c>
      <c r="C135" t="s">
        <v>212</v>
      </c>
      <c r="D135">
        <v>41</v>
      </c>
      <c r="E135" t="s">
        <v>23</v>
      </c>
      <c r="F135" t="s">
        <v>57</v>
      </c>
      <c r="G135" t="s">
        <v>42</v>
      </c>
      <c r="H135" t="s">
        <v>62</v>
      </c>
      <c r="I135">
        <v>1635.18</v>
      </c>
      <c r="J135">
        <v>33244</v>
      </c>
      <c r="K135">
        <v>1876</v>
      </c>
      <c r="L135">
        <v>83</v>
      </c>
      <c r="M135">
        <v>4</v>
      </c>
      <c r="N135">
        <v>5.6431235710000003</v>
      </c>
      <c r="O135">
        <v>4.4243070360000001</v>
      </c>
      <c r="P135">
        <v>4</v>
      </c>
    </row>
    <row r="136" spans="1:16" x14ac:dyDescent="0.35">
      <c r="A136" t="s">
        <v>264</v>
      </c>
      <c r="B136">
        <v>45441</v>
      </c>
      <c r="C136" t="s">
        <v>259</v>
      </c>
      <c r="D136">
        <v>61</v>
      </c>
      <c r="E136" t="s">
        <v>23</v>
      </c>
      <c r="F136" t="s">
        <v>41</v>
      </c>
      <c r="G136" t="s">
        <v>61</v>
      </c>
      <c r="H136" t="s">
        <v>26</v>
      </c>
      <c r="I136">
        <v>785.86</v>
      </c>
      <c r="J136">
        <v>35340</v>
      </c>
      <c r="K136">
        <v>2350</v>
      </c>
      <c r="L136">
        <v>367</v>
      </c>
      <c r="M136">
        <v>4</v>
      </c>
      <c r="N136">
        <v>6.649688738</v>
      </c>
      <c r="O136">
        <v>15.617021279999999</v>
      </c>
      <c r="P136">
        <v>4</v>
      </c>
    </row>
    <row r="137" spans="1:16" x14ac:dyDescent="0.35">
      <c r="A137" t="s">
        <v>265</v>
      </c>
      <c r="B137">
        <v>45552</v>
      </c>
      <c r="C137" t="s">
        <v>147</v>
      </c>
      <c r="D137">
        <v>28</v>
      </c>
      <c r="E137" t="s">
        <v>35</v>
      </c>
      <c r="F137" t="s">
        <v>50</v>
      </c>
      <c r="G137" t="s">
        <v>31</v>
      </c>
      <c r="H137" t="s">
        <v>36</v>
      </c>
      <c r="I137">
        <v>1086.05</v>
      </c>
      <c r="J137">
        <v>6621</v>
      </c>
      <c r="K137">
        <v>720</v>
      </c>
      <c r="L137">
        <v>329</v>
      </c>
      <c r="M137">
        <v>4</v>
      </c>
      <c r="N137">
        <v>10.87449026</v>
      </c>
      <c r="O137">
        <v>45.694444439999998</v>
      </c>
      <c r="P137">
        <v>4</v>
      </c>
    </row>
    <row r="138" spans="1:16" x14ac:dyDescent="0.35">
      <c r="A138" t="s">
        <v>266</v>
      </c>
      <c r="B138">
        <v>45368</v>
      </c>
      <c r="C138" t="s">
        <v>92</v>
      </c>
      <c r="D138">
        <v>26</v>
      </c>
      <c r="E138" t="s">
        <v>23</v>
      </c>
      <c r="F138" t="s">
        <v>24</v>
      </c>
      <c r="G138" t="s">
        <v>31</v>
      </c>
      <c r="H138" t="s">
        <v>36</v>
      </c>
      <c r="I138">
        <v>1176.19</v>
      </c>
      <c r="J138">
        <v>26486</v>
      </c>
      <c r="K138">
        <v>3603</v>
      </c>
      <c r="L138">
        <v>38</v>
      </c>
      <c r="M138">
        <v>1</v>
      </c>
      <c r="N138">
        <v>13.603413120000001</v>
      </c>
      <c r="O138">
        <v>1.054676658</v>
      </c>
      <c r="P138">
        <v>1</v>
      </c>
    </row>
    <row r="139" spans="1:16" x14ac:dyDescent="0.35">
      <c r="A139" t="s">
        <v>267</v>
      </c>
      <c r="B139">
        <v>45525</v>
      </c>
      <c r="C139" t="s">
        <v>64</v>
      </c>
      <c r="D139">
        <v>29</v>
      </c>
      <c r="E139" t="s">
        <v>35</v>
      </c>
      <c r="F139" t="s">
        <v>24</v>
      </c>
      <c r="G139" t="s">
        <v>42</v>
      </c>
      <c r="H139" t="s">
        <v>62</v>
      </c>
      <c r="I139">
        <v>1581.66</v>
      </c>
      <c r="J139">
        <v>42855</v>
      </c>
      <c r="K139">
        <v>236</v>
      </c>
      <c r="L139">
        <v>38</v>
      </c>
      <c r="M139">
        <v>4</v>
      </c>
      <c r="N139">
        <v>0.55069420099999999</v>
      </c>
      <c r="O139">
        <v>16.10169492</v>
      </c>
      <c r="P139">
        <v>4</v>
      </c>
    </row>
    <row r="140" spans="1:16" x14ac:dyDescent="0.35">
      <c r="A140" t="s">
        <v>268</v>
      </c>
      <c r="B140">
        <v>45623</v>
      </c>
      <c r="C140" t="s">
        <v>256</v>
      </c>
      <c r="D140">
        <v>57</v>
      </c>
      <c r="E140" t="s">
        <v>23</v>
      </c>
      <c r="F140" t="s">
        <v>57</v>
      </c>
      <c r="G140" t="s">
        <v>46</v>
      </c>
      <c r="H140" t="s">
        <v>32</v>
      </c>
      <c r="I140">
        <v>236.13</v>
      </c>
      <c r="J140">
        <v>47941</v>
      </c>
      <c r="K140">
        <v>1296</v>
      </c>
      <c r="L140">
        <v>304</v>
      </c>
      <c r="M140">
        <v>3</v>
      </c>
      <c r="N140">
        <v>2.7033228340000002</v>
      </c>
      <c r="O140">
        <v>23.456790120000001</v>
      </c>
      <c r="P140">
        <v>3</v>
      </c>
    </row>
    <row r="141" spans="1:16" x14ac:dyDescent="0.35">
      <c r="A141" t="s">
        <v>269</v>
      </c>
      <c r="B141">
        <v>45554</v>
      </c>
      <c r="C141" t="s">
        <v>270</v>
      </c>
      <c r="D141">
        <v>21</v>
      </c>
      <c r="E141" t="s">
        <v>23</v>
      </c>
      <c r="F141" t="s">
        <v>30</v>
      </c>
      <c r="G141" t="s">
        <v>31</v>
      </c>
      <c r="H141" t="s">
        <v>36</v>
      </c>
      <c r="I141">
        <v>1679.21</v>
      </c>
      <c r="J141">
        <v>514</v>
      </c>
      <c r="K141">
        <v>4015</v>
      </c>
      <c r="L141">
        <v>292</v>
      </c>
      <c r="M141">
        <v>4</v>
      </c>
      <c r="N141">
        <v>781.12840470000003</v>
      </c>
      <c r="O141">
        <v>7.2727272730000001</v>
      </c>
      <c r="P141">
        <v>4</v>
      </c>
    </row>
    <row r="142" spans="1:16" x14ac:dyDescent="0.35">
      <c r="A142" t="s">
        <v>271</v>
      </c>
      <c r="B142">
        <v>45517</v>
      </c>
      <c r="C142" t="s">
        <v>142</v>
      </c>
      <c r="D142">
        <v>25</v>
      </c>
      <c r="E142" t="s">
        <v>23</v>
      </c>
      <c r="F142" t="s">
        <v>50</v>
      </c>
      <c r="G142" t="s">
        <v>25</v>
      </c>
      <c r="H142" t="s">
        <v>26</v>
      </c>
      <c r="I142">
        <v>1194.81</v>
      </c>
      <c r="J142">
        <v>27254</v>
      </c>
      <c r="K142">
        <v>2450</v>
      </c>
      <c r="L142">
        <v>306</v>
      </c>
      <c r="M142">
        <v>5</v>
      </c>
      <c r="N142">
        <v>8.9895061280000004</v>
      </c>
      <c r="O142">
        <v>12.489795920000001</v>
      </c>
      <c r="P142">
        <v>5</v>
      </c>
    </row>
    <row r="143" spans="1:16" x14ac:dyDescent="0.35">
      <c r="A143" t="s">
        <v>272</v>
      </c>
      <c r="B143">
        <v>45377</v>
      </c>
      <c r="C143" t="s">
        <v>243</v>
      </c>
      <c r="D143">
        <v>34</v>
      </c>
      <c r="E143" t="s">
        <v>23</v>
      </c>
      <c r="F143" t="s">
        <v>41</v>
      </c>
      <c r="G143" t="s">
        <v>61</v>
      </c>
      <c r="H143" t="s">
        <v>62</v>
      </c>
      <c r="I143">
        <v>1672.02</v>
      </c>
      <c r="J143">
        <v>21176</v>
      </c>
      <c r="K143">
        <v>4692</v>
      </c>
      <c r="L143">
        <v>80</v>
      </c>
      <c r="M143">
        <v>3</v>
      </c>
      <c r="N143">
        <v>22.157159050000001</v>
      </c>
      <c r="O143">
        <v>1.705029838</v>
      </c>
      <c r="P143">
        <v>3</v>
      </c>
    </row>
    <row r="144" spans="1:16" x14ac:dyDescent="0.35">
      <c r="A144" t="s">
        <v>273</v>
      </c>
      <c r="B144">
        <v>45450</v>
      </c>
      <c r="C144" t="s">
        <v>274</v>
      </c>
      <c r="D144">
        <v>24</v>
      </c>
      <c r="E144" t="s">
        <v>29</v>
      </c>
      <c r="F144" t="s">
        <v>24</v>
      </c>
      <c r="G144" t="s">
        <v>46</v>
      </c>
      <c r="H144" t="s">
        <v>62</v>
      </c>
      <c r="I144">
        <v>1023.46</v>
      </c>
      <c r="J144">
        <v>9697</v>
      </c>
      <c r="K144">
        <v>2536</v>
      </c>
      <c r="L144">
        <v>376</v>
      </c>
      <c r="M144">
        <v>4</v>
      </c>
      <c r="N144">
        <v>26.152418269999998</v>
      </c>
      <c r="O144">
        <v>14.82649842</v>
      </c>
      <c r="P144">
        <v>4</v>
      </c>
    </row>
    <row r="145" spans="1:16" x14ac:dyDescent="0.35">
      <c r="A145" t="s">
        <v>275</v>
      </c>
      <c r="B145">
        <v>45655</v>
      </c>
      <c r="C145" t="s">
        <v>75</v>
      </c>
      <c r="D145">
        <v>25</v>
      </c>
      <c r="E145" t="s">
        <v>29</v>
      </c>
      <c r="F145" t="s">
        <v>45</v>
      </c>
      <c r="G145" t="s">
        <v>31</v>
      </c>
      <c r="H145" t="s">
        <v>62</v>
      </c>
      <c r="I145">
        <v>1146.9000000000001</v>
      </c>
      <c r="J145">
        <v>22595</v>
      </c>
      <c r="K145">
        <v>3499</v>
      </c>
      <c r="L145">
        <v>373</v>
      </c>
      <c r="M145">
        <v>1</v>
      </c>
      <c r="N145">
        <v>15.48572693</v>
      </c>
      <c r="O145">
        <v>10.66018863</v>
      </c>
      <c r="P145">
        <v>1</v>
      </c>
    </row>
    <row r="146" spans="1:16" x14ac:dyDescent="0.35">
      <c r="A146" t="s">
        <v>276</v>
      </c>
      <c r="B146">
        <v>45604</v>
      </c>
      <c r="C146" t="s">
        <v>186</v>
      </c>
      <c r="D146">
        <v>31</v>
      </c>
      <c r="E146" t="s">
        <v>29</v>
      </c>
      <c r="F146" t="s">
        <v>50</v>
      </c>
      <c r="G146" t="s">
        <v>31</v>
      </c>
      <c r="H146" t="s">
        <v>62</v>
      </c>
      <c r="I146">
        <v>1868.56</v>
      </c>
      <c r="J146">
        <v>23299</v>
      </c>
      <c r="K146">
        <v>3404</v>
      </c>
      <c r="L146">
        <v>125</v>
      </c>
      <c r="M146">
        <v>4</v>
      </c>
      <c r="N146">
        <v>14.6100691</v>
      </c>
      <c r="O146">
        <v>3.6721504110000001</v>
      </c>
      <c r="P146">
        <v>4</v>
      </c>
    </row>
    <row r="147" spans="1:16" x14ac:dyDescent="0.35">
      <c r="A147" t="s">
        <v>277</v>
      </c>
      <c r="B147">
        <v>45599</v>
      </c>
      <c r="C147" t="s">
        <v>48</v>
      </c>
      <c r="D147">
        <v>34</v>
      </c>
      <c r="E147" t="s">
        <v>29</v>
      </c>
      <c r="F147" t="s">
        <v>24</v>
      </c>
      <c r="G147" t="s">
        <v>25</v>
      </c>
      <c r="H147" t="s">
        <v>26</v>
      </c>
      <c r="I147">
        <v>1263.78</v>
      </c>
      <c r="J147">
        <v>34090</v>
      </c>
      <c r="K147">
        <v>2015</v>
      </c>
      <c r="L147">
        <v>14</v>
      </c>
      <c r="M147">
        <v>3</v>
      </c>
      <c r="N147">
        <v>5.9108242889999998</v>
      </c>
      <c r="O147">
        <v>0.694789082</v>
      </c>
      <c r="P147">
        <v>3</v>
      </c>
    </row>
    <row r="148" spans="1:16" x14ac:dyDescent="0.35">
      <c r="A148" t="s">
        <v>278</v>
      </c>
      <c r="B148">
        <v>45539</v>
      </c>
      <c r="C148" t="s">
        <v>279</v>
      </c>
      <c r="D148">
        <v>20</v>
      </c>
      <c r="E148" t="s">
        <v>23</v>
      </c>
      <c r="F148" t="s">
        <v>50</v>
      </c>
      <c r="G148" t="s">
        <v>61</v>
      </c>
      <c r="H148" t="s">
        <v>32</v>
      </c>
      <c r="I148">
        <v>1308.43</v>
      </c>
      <c r="J148">
        <v>18719</v>
      </c>
      <c r="K148">
        <v>894</v>
      </c>
      <c r="L148">
        <v>173</v>
      </c>
      <c r="M148">
        <v>4</v>
      </c>
      <c r="N148">
        <v>4.7758961480000002</v>
      </c>
      <c r="O148">
        <v>19.351230430000001</v>
      </c>
      <c r="P148">
        <v>4</v>
      </c>
    </row>
    <row r="149" spans="1:16" x14ac:dyDescent="0.35">
      <c r="A149" t="s">
        <v>280</v>
      </c>
      <c r="B149">
        <v>45475</v>
      </c>
      <c r="C149" t="s">
        <v>281</v>
      </c>
      <c r="D149">
        <v>57</v>
      </c>
      <c r="E149" t="s">
        <v>29</v>
      </c>
      <c r="F149" t="s">
        <v>24</v>
      </c>
      <c r="G149" t="s">
        <v>31</v>
      </c>
      <c r="H149" t="s">
        <v>26</v>
      </c>
      <c r="I149">
        <v>1682.99</v>
      </c>
      <c r="J149">
        <v>11667</v>
      </c>
      <c r="K149">
        <v>779</v>
      </c>
      <c r="L149">
        <v>301</v>
      </c>
      <c r="M149">
        <v>1</v>
      </c>
      <c r="N149">
        <v>6.6769520870000001</v>
      </c>
      <c r="O149">
        <v>38.639281130000001</v>
      </c>
      <c r="P149">
        <v>1</v>
      </c>
    </row>
    <row r="150" spans="1:16" x14ac:dyDescent="0.35">
      <c r="A150" t="s">
        <v>282</v>
      </c>
      <c r="B150">
        <v>45413</v>
      </c>
      <c r="C150" t="s">
        <v>283</v>
      </c>
      <c r="D150">
        <v>22</v>
      </c>
      <c r="E150" t="s">
        <v>29</v>
      </c>
      <c r="F150" t="s">
        <v>50</v>
      </c>
      <c r="G150" t="s">
        <v>61</v>
      </c>
      <c r="H150" t="s">
        <v>62</v>
      </c>
      <c r="I150">
        <v>1821.16</v>
      </c>
      <c r="J150">
        <v>48120</v>
      </c>
      <c r="K150">
        <v>3814</v>
      </c>
      <c r="L150">
        <v>380</v>
      </c>
      <c r="M150">
        <v>2</v>
      </c>
      <c r="N150">
        <v>7.9260182879999999</v>
      </c>
      <c r="O150">
        <v>9.9632931310000004</v>
      </c>
      <c r="P150">
        <v>2</v>
      </c>
    </row>
    <row r="151" spans="1:16" x14ac:dyDescent="0.35">
      <c r="A151" t="s">
        <v>284</v>
      </c>
      <c r="B151">
        <v>45368</v>
      </c>
      <c r="C151" t="s">
        <v>97</v>
      </c>
      <c r="D151">
        <v>20</v>
      </c>
      <c r="E151" t="s">
        <v>23</v>
      </c>
      <c r="F151" t="s">
        <v>24</v>
      </c>
      <c r="G151" t="s">
        <v>61</v>
      </c>
      <c r="H151" t="s">
        <v>62</v>
      </c>
      <c r="I151">
        <v>525.1</v>
      </c>
      <c r="J151">
        <v>28975</v>
      </c>
      <c r="K151">
        <v>3451</v>
      </c>
      <c r="L151">
        <v>226</v>
      </c>
      <c r="M151">
        <v>3</v>
      </c>
      <c r="N151">
        <v>11.910267470000001</v>
      </c>
      <c r="O151">
        <v>6.5488264269999998</v>
      </c>
      <c r="P151">
        <v>3</v>
      </c>
    </row>
    <row r="152" spans="1:16" x14ac:dyDescent="0.35">
      <c r="A152" t="s">
        <v>285</v>
      </c>
      <c r="B152">
        <v>45491</v>
      </c>
      <c r="C152" t="s">
        <v>286</v>
      </c>
      <c r="D152">
        <v>47</v>
      </c>
      <c r="E152" t="s">
        <v>35</v>
      </c>
      <c r="F152" t="s">
        <v>24</v>
      </c>
      <c r="G152" t="s">
        <v>61</v>
      </c>
      <c r="H152" t="s">
        <v>62</v>
      </c>
      <c r="I152">
        <v>1341.12</v>
      </c>
      <c r="J152">
        <v>44838</v>
      </c>
      <c r="K152">
        <v>513</v>
      </c>
      <c r="L152">
        <v>116</v>
      </c>
      <c r="M152">
        <v>3</v>
      </c>
      <c r="N152">
        <v>1.1441188280000001</v>
      </c>
      <c r="O152">
        <v>22.61208577</v>
      </c>
      <c r="P152">
        <v>3</v>
      </c>
    </row>
    <row r="153" spans="1:16" x14ac:dyDescent="0.35">
      <c r="A153" t="s">
        <v>287</v>
      </c>
      <c r="B153">
        <v>45377</v>
      </c>
      <c r="C153" t="s">
        <v>138</v>
      </c>
      <c r="D153">
        <v>55</v>
      </c>
      <c r="E153" t="s">
        <v>23</v>
      </c>
      <c r="F153" t="s">
        <v>50</v>
      </c>
      <c r="G153" t="s">
        <v>42</v>
      </c>
      <c r="H153" t="s">
        <v>32</v>
      </c>
      <c r="I153">
        <v>284.70999999999998</v>
      </c>
      <c r="J153">
        <v>14614</v>
      </c>
      <c r="K153">
        <v>4094</v>
      </c>
      <c r="L153">
        <v>350</v>
      </c>
      <c r="M153">
        <v>1</v>
      </c>
      <c r="N153">
        <v>28.014232929999999</v>
      </c>
      <c r="O153">
        <v>8.5490962380000006</v>
      </c>
      <c r="P153">
        <v>1</v>
      </c>
    </row>
    <row r="154" spans="1:16" x14ac:dyDescent="0.35">
      <c r="A154" t="s">
        <v>288</v>
      </c>
      <c r="B154">
        <v>45478</v>
      </c>
      <c r="C154" t="s">
        <v>289</v>
      </c>
      <c r="D154">
        <v>31</v>
      </c>
      <c r="E154" t="s">
        <v>23</v>
      </c>
      <c r="F154" t="s">
        <v>50</v>
      </c>
      <c r="G154" t="s">
        <v>42</v>
      </c>
      <c r="H154" t="s">
        <v>26</v>
      </c>
      <c r="I154">
        <v>177.34</v>
      </c>
      <c r="J154">
        <v>46988</v>
      </c>
      <c r="K154">
        <v>1878</v>
      </c>
      <c r="L154">
        <v>165</v>
      </c>
      <c r="M154">
        <v>1</v>
      </c>
      <c r="N154">
        <v>3.9967651320000002</v>
      </c>
      <c r="O154">
        <v>8.7859424920000002</v>
      </c>
      <c r="P154">
        <v>1</v>
      </c>
    </row>
    <row r="155" spans="1:16" x14ac:dyDescent="0.35">
      <c r="A155" t="s">
        <v>290</v>
      </c>
      <c r="B155">
        <v>45589</v>
      </c>
      <c r="C155" t="s">
        <v>38</v>
      </c>
      <c r="E155" t="s">
        <v>35</v>
      </c>
      <c r="F155" t="s">
        <v>771</v>
      </c>
      <c r="G155" t="s">
        <v>46</v>
      </c>
      <c r="H155" t="s">
        <v>32</v>
      </c>
      <c r="I155">
        <v>1292.6099999999999</v>
      </c>
      <c r="J155">
        <v>5323</v>
      </c>
      <c r="K155">
        <v>874</v>
      </c>
      <c r="L155">
        <v>48</v>
      </c>
      <c r="N155">
        <v>16.419312420000001</v>
      </c>
      <c r="O155">
        <v>5.4919908470000003</v>
      </c>
      <c r="P155">
        <v>3</v>
      </c>
    </row>
    <row r="156" spans="1:16" x14ac:dyDescent="0.35">
      <c r="A156" t="s">
        <v>291</v>
      </c>
      <c r="B156">
        <v>45522</v>
      </c>
      <c r="C156" t="s">
        <v>292</v>
      </c>
      <c r="D156">
        <v>18</v>
      </c>
      <c r="E156" t="s">
        <v>29</v>
      </c>
      <c r="F156" t="s">
        <v>30</v>
      </c>
      <c r="G156" t="s">
        <v>46</v>
      </c>
      <c r="H156" t="s">
        <v>62</v>
      </c>
      <c r="I156">
        <v>1005.88</v>
      </c>
      <c r="J156">
        <v>2393</v>
      </c>
      <c r="K156">
        <v>478</v>
      </c>
      <c r="L156">
        <v>251</v>
      </c>
      <c r="M156">
        <v>3</v>
      </c>
      <c r="N156">
        <v>19.974926870000001</v>
      </c>
      <c r="O156">
        <v>52.510460250000001</v>
      </c>
      <c r="P156">
        <v>3</v>
      </c>
    </row>
    <row r="157" spans="1:16" x14ac:dyDescent="0.35">
      <c r="A157" t="s">
        <v>293</v>
      </c>
      <c r="B157">
        <v>45591</v>
      </c>
      <c r="C157" t="s">
        <v>170</v>
      </c>
      <c r="D157">
        <v>39</v>
      </c>
      <c r="E157" t="s">
        <v>29</v>
      </c>
      <c r="F157" t="s">
        <v>57</v>
      </c>
      <c r="G157" t="s">
        <v>25</v>
      </c>
      <c r="H157" t="s">
        <v>26</v>
      </c>
      <c r="I157">
        <v>1768.56</v>
      </c>
      <c r="J157">
        <v>33373</v>
      </c>
      <c r="K157">
        <v>4445</v>
      </c>
      <c r="L157">
        <v>17</v>
      </c>
      <c r="M157">
        <v>1</v>
      </c>
      <c r="N157">
        <v>13.31915021</v>
      </c>
      <c r="O157">
        <v>0.382452193</v>
      </c>
      <c r="P157">
        <v>1</v>
      </c>
    </row>
    <row r="158" spans="1:16" x14ac:dyDescent="0.35">
      <c r="A158" t="s">
        <v>294</v>
      </c>
      <c r="B158">
        <v>45607</v>
      </c>
      <c r="C158" t="s">
        <v>295</v>
      </c>
      <c r="D158">
        <v>53</v>
      </c>
      <c r="E158" t="s">
        <v>23</v>
      </c>
      <c r="F158" t="s">
        <v>50</v>
      </c>
      <c r="G158" t="s">
        <v>31</v>
      </c>
      <c r="H158" t="s">
        <v>26</v>
      </c>
      <c r="I158">
        <v>769.37</v>
      </c>
      <c r="J158">
        <v>10164</v>
      </c>
      <c r="K158">
        <v>2399</v>
      </c>
      <c r="L158">
        <v>81</v>
      </c>
      <c r="M158">
        <v>3</v>
      </c>
      <c r="N158">
        <v>23.602912239999998</v>
      </c>
      <c r="O158">
        <v>3.3764068360000001</v>
      </c>
      <c r="P158">
        <v>3</v>
      </c>
    </row>
    <row r="159" spans="1:16" x14ac:dyDescent="0.35">
      <c r="A159" t="s">
        <v>296</v>
      </c>
      <c r="B159">
        <v>45630</v>
      </c>
      <c r="C159" t="s">
        <v>297</v>
      </c>
      <c r="E159" t="s">
        <v>29</v>
      </c>
      <c r="F159" t="s">
        <v>771</v>
      </c>
      <c r="G159" t="s">
        <v>42</v>
      </c>
      <c r="H159" t="s">
        <v>26</v>
      </c>
      <c r="I159">
        <v>1716.19</v>
      </c>
      <c r="J159">
        <v>23319</v>
      </c>
      <c r="K159">
        <v>3525</v>
      </c>
      <c r="L159">
        <v>263</v>
      </c>
      <c r="N159">
        <v>15.11642866</v>
      </c>
      <c r="O159">
        <v>7.4609929079999997</v>
      </c>
      <c r="P159">
        <v>3</v>
      </c>
    </row>
    <row r="160" spans="1:16" x14ac:dyDescent="0.35">
      <c r="A160" t="s">
        <v>298</v>
      </c>
      <c r="B160">
        <v>45355</v>
      </c>
      <c r="C160" t="s">
        <v>299</v>
      </c>
      <c r="D160">
        <v>44</v>
      </c>
      <c r="E160" t="s">
        <v>23</v>
      </c>
      <c r="F160" t="s">
        <v>41</v>
      </c>
      <c r="G160" t="s">
        <v>42</v>
      </c>
      <c r="H160" t="s">
        <v>26</v>
      </c>
      <c r="I160">
        <v>1538</v>
      </c>
      <c r="J160">
        <v>44434</v>
      </c>
      <c r="K160">
        <v>4867</v>
      </c>
      <c r="L160">
        <v>300</v>
      </c>
      <c r="N160">
        <v>10.953324029999999</v>
      </c>
      <c r="O160">
        <v>6.1639613730000002</v>
      </c>
      <c r="P160">
        <v>3</v>
      </c>
    </row>
    <row r="161" spans="1:16" x14ac:dyDescent="0.35">
      <c r="A161" t="s">
        <v>300</v>
      </c>
      <c r="B161">
        <v>45327</v>
      </c>
      <c r="C161" t="s">
        <v>286</v>
      </c>
      <c r="D161">
        <v>47</v>
      </c>
      <c r="E161" t="s">
        <v>23</v>
      </c>
      <c r="F161" t="s">
        <v>41</v>
      </c>
      <c r="G161" t="s">
        <v>46</v>
      </c>
      <c r="H161" t="s">
        <v>62</v>
      </c>
      <c r="I161">
        <v>684.45</v>
      </c>
      <c r="J161">
        <v>30615</v>
      </c>
      <c r="K161">
        <v>4526</v>
      </c>
      <c r="L161">
        <v>325</v>
      </c>
      <c r="N161">
        <v>14.78360281</v>
      </c>
      <c r="O161">
        <v>7.1807335400000003</v>
      </c>
      <c r="P161">
        <v>3</v>
      </c>
    </row>
    <row r="162" spans="1:16" x14ac:dyDescent="0.35">
      <c r="A162" t="s">
        <v>301</v>
      </c>
      <c r="B162">
        <v>45369</v>
      </c>
      <c r="C162" t="s">
        <v>302</v>
      </c>
      <c r="D162">
        <v>33</v>
      </c>
      <c r="E162" t="s">
        <v>29</v>
      </c>
      <c r="F162" t="s">
        <v>41</v>
      </c>
      <c r="G162" t="s">
        <v>31</v>
      </c>
      <c r="H162" t="s">
        <v>26</v>
      </c>
      <c r="I162">
        <v>592.63</v>
      </c>
      <c r="J162">
        <v>17339</v>
      </c>
      <c r="K162">
        <v>3613</v>
      </c>
      <c r="L162">
        <v>72</v>
      </c>
      <c r="N162">
        <v>20.837418540000002</v>
      </c>
      <c r="O162">
        <v>1.992803764</v>
      </c>
      <c r="P162">
        <v>3</v>
      </c>
    </row>
    <row r="163" spans="1:16" x14ac:dyDescent="0.35">
      <c r="A163" t="s">
        <v>303</v>
      </c>
      <c r="B163">
        <v>45580</v>
      </c>
      <c r="C163" t="s">
        <v>111</v>
      </c>
      <c r="D163">
        <v>22</v>
      </c>
      <c r="E163" t="s">
        <v>29</v>
      </c>
      <c r="F163" t="s">
        <v>57</v>
      </c>
      <c r="G163" t="s">
        <v>42</v>
      </c>
      <c r="H163" t="s">
        <v>26</v>
      </c>
      <c r="I163">
        <v>1433.46</v>
      </c>
      <c r="J163">
        <v>42777</v>
      </c>
      <c r="K163">
        <v>2839</v>
      </c>
      <c r="L163">
        <v>264</v>
      </c>
      <c r="M163">
        <v>3</v>
      </c>
      <c r="N163">
        <v>6.6367440450000004</v>
      </c>
      <c r="O163">
        <v>9.2990489610000004</v>
      </c>
      <c r="P163">
        <v>3</v>
      </c>
    </row>
    <row r="164" spans="1:16" x14ac:dyDescent="0.35">
      <c r="A164" t="s">
        <v>304</v>
      </c>
      <c r="B164">
        <v>45409</v>
      </c>
      <c r="C164" t="s">
        <v>77</v>
      </c>
      <c r="D164">
        <v>39</v>
      </c>
      <c r="E164" t="s">
        <v>29</v>
      </c>
      <c r="F164" t="s">
        <v>41</v>
      </c>
      <c r="G164" t="s">
        <v>31</v>
      </c>
      <c r="H164" t="s">
        <v>26</v>
      </c>
      <c r="I164">
        <v>1562.84</v>
      </c>
      <c r="J164">
        <v>36265</v>
      </c>
      <c r="K164">
        <v>2424</v>
      </c>
      <c r="L164">
        <v>343</v>
      </c>
      <c r="M164">
        <v>1</v>
      </c>
      <c r="N164">
        <v>6.6841307050000003</v>
      </c>
      <c r="O164">
        <v>14.150165019999999</v>
      </c>
      <c r="P164">
        <v>1</v>
      </c>
    </row>
    <row r="165" spans="1:16" x14ac:dyDescent="0.35">
      <c r="A165" t="s">
        <v>305</v>
      </c>
      <c r="B165">
        <v>45507</v>
      </c>
      <c r="C165" t="s">
        <v>212</v>
      </c>
      <c r="D165">
        <v>64</v>
      </c>
      <c r="E165" t="s">
        <v>23</v>
      </c>
      <c r="F165" t="s">
        <v>45</v>
      </c>
      <c r="G165" t="s">
        <v>31</v>
      </c>
      <c r="H165" t="s">
        <v>32</v>
      </c>
      <c r="I165">
        <v>1173.8699999999999</v>
      </c>
      <c r="J165">
        <v>21220</v>
      </c>
      <c r="K165">
        <v>4446</v>
      </c>
      <c r="L165">
        <v>247</v>
      </c>
      <c r="N165">
        <v>20.95193214</v>
      </c>
      <c r="O165">
        <v>5.5555555559999998</v>
      </c>
      <c r="P165">
        <v>3</v>
      </c>
    </row>
    <row r="166" spans="1:16" x14ac:dyDescent="0.35">
      <c r="A166" t="s">
        <v>306</v>
      </c>
      <c r="B166">
        <v>45453</v>
      </c>
      <c r="C166" t="s">
        <v>297</v>
      </c>
      <c r="D166">
        <v>45</v>
      </c>
      <c r="E166" t="s">
        <v>29</v>
      </c>
      <c r="F166" t="s">
        <v>50</v>
      </c>
      <c r="G166" t="s">
        <v>31</v>
      </c>
      <c r="H166" t="s">
        <v>36</v>
      </c>
      <c r="I166">
        <v>316.95999999999998</v>
      </c>
      <c r="J166">
        <v>42898</v>
      </c>
      <c r="K166">
        <v>2113</v>
      </c>
      <c r="L166">
        <v>267</v>
      </c>
      <c r="M166">
        <v>1</v>
      </c>
      <c r="N166">
        <v>4.9256375590000001</v>
      </c>
      <c r="O166">
        <v>12.636062470000001</v>
      </c>
      <c r="P166">
        <v>1</v>
      </c>
    </row>
    <row r="167" spans="1:16" x14ac:dyDescent="0.35">
      <c r="A167" t="s">
        <v>307</v>
      </c>
      <c r="B167">
        <v>45337</v>
      </c>
      <c r="C167" t="s">
        <v>123</v>
      </c>
      <c r="D167">
        <v>62</v>
      </c>
      <c r="E167" t="s">
        <v>29</v>
      </c>
      <c r="F167" t="s">
        <v>41</v>
      </c>
      <c r="G167" t="s">
        <v>25</v>
      </c>
      <c r="H167" t="s">
        <v>62</v>
      </c>
      <c r="I167">
        <v>1607.24</v>
      </c>
      <c r="J167">
        <v>7128</v>
      </c>
      <c r="K167">
        <v>3584</v>
      </c>
      <c r="L167">
        <v>371</v>
      </c>
      <c r="M167">
        <v>2</v>
      </c>
      <c r="N167">
        <v>50.280583610000001</v>
      </c>
      <c r="O167">
        <v>10.3515625</v>
      </c>
      <c r="P167">
        <v>2</v>
      </c>
    </row>
    <row r="168" spans="1:16" x14ac:dyDescent="0.35">
      <c r="A168" t="s">
        <v>308</v>
      </c>
      <c r="B168">
        <v>45408</v>
      </c>
      <c r="C168" t="s">
        <v>160</v>
      </c>
      <c r="D168">
        <v>28</v>
      </c>
      <c r="E168" t="s">
        <v>23</v>
      </c>
      <c r="F168" t="s">
        <v>45</v>
      </c>
      <c r="G168" t="s">
        <v>31</v>
      </c>
      <c r="H168" t="s">
        <v>36</v>
      </c>
      <c r="I168">
        <v>1275.19</v>
      </c>
      <c r="J168">
        <v>30571</v>
      </c>
      <c r="K168">
        <v>1296</v>
      </c>
      <c r="L168">
        <v>132</v>
      </c>
      <c r="M168">
        <v>1</v>
      </c>
      <c r="N168">
        <v>4.2393117660000001</v>
      </c>
      <c r="O168">
        <v>10.18518519</v>
      </c>
      <c r="P168">
        <v>1</v>
      </c>
    </row>
    <row r="169" spans="1:16" x14ac:dyDescent="0.35">
      <c r="A169" t="s">
        <v>309</v>
      </c>
      <c r="B169">
        <v>45337</v>
      </c>
      <c r="C169" t="s">
        <v>253</v>
      </c>
      <c r="D169">
        <v>45</v>
      </c>
      <c r="E169" t="s">
        <v>29</v>
      </c>
      <c r="F169" t="s">
        <v>57</v>
      </c>
      <c r="G169" t="s">
        <v>25</v>
      </c>
      <c r="H169" t="s">
        <v>36</v>
      </c>
      <c r="I169">
        <v>1302.56</v>
      </c>
      <c r="J169">
        <v>45017</v>
      </c>
      <c r="K169">
        <v>251</v>
      </c>
      <c r="L169">
        <v>50</v>
      </c>
      <c r="N169">
        <v>0.55756714100000004</v>
      </c>
      <c r="O169">
        <v>19.920318730000002</v>
      </c>
      <c r="P169">
        <v>3</v>
      </c>
    </row>
    <row r="170" spans="1:16" x14ac:dyDescent="0.35">
      <c r="A170" t="s">
        <v>310</v>
      </c>
      <c r="B170">
        <v>45653</v>
      </c>
      <c r="C170" t="s">
        <v>68</v>
      </c>
      <c r="D170">
        <v>18</v>
      </c>
      <c r="E170" t="s">
        <v>35</v>
      </c>
      <c r="F170" t="s">
        <v>57</v>
      </c>
      <c r="G170" t="s">
        <v>42</v>
      </c>
      <c r="H170" t="s">
        <v>62</v>
      </c>
      <c r="I170">
        <v>1092.58</v>
      </c>
      <c r="J170">
        <v>41758</v>
      </c>
      <c r="K170">
        <v>4051</v>
      </c>
      <c r="L170">
        <v>84</v>
      </c>
      <c r="M170">
        <v>4</v>
      </c>
      <c r="N170">
        <v>9.7011351119999993</v>
      </c>
      <c r="O170">
        <v>2.0735620830000001</v>
      </c>
      <c r="P170">
        <v>4</v>
      </c>
    </row>
    <row r="171" spans="1:16" x14ac:dyDescent="0.35">
      <c r="A171" t="s">
        <v>311</v>
      </c>
      <c r="B171">
        <v>45334</v>
      </c>
      <c r="C171" t="s">
        <v>312</v>
      </c>
      <c r="D171">
        <v>39</v>
      </c>
      <c r="E171" t="s">
        <v>35</v>
      </c>
      <c r="F171" t="s">
        <v>45</v>
      </c>
      <c r="G171" t="s">
        <v>31</v>
      </c>
      <c r="H171" t="s">
        <v>36</v>
      </c>
      <c r="I171">
        <v>835.42</v>
      </c>
      <c r="J171">
        <v>7997</v>
      </c>
      <c r="K171">
        <v>2332</v>
      </c>
      <c r="L171">
        <v>117</v>
      </c>
      <c r="M171">
        <v>1</v>
      </c>
      <c r="N171">
        <v>29.160935349999999</v>
      </c>
      <c r="O171">
        <v>5.0171526589999997</v>
      </c>
      <c r="P171">
        <v>1</v>
      </c>
    </row>
    <row r="172" spans="1:16" x14ac:dyDescent="0.35">
      <c r="A172" t="s">
        <v>313</v>
      </c>
      <c r="B172">
        <v>45644</v>
      </c>
      <c r="C172" t="s">
        <v>77</v>
      </c>
      <c r="E172" t="s">
        <v>35</v>
      </c>
      <c r="F172" t="s">
        <v>771</v>
      </c>
      <c r="G172" t="s">
        <v>61</v>
      </c>
      <c r="H172" t="s">
        <v>36</v>
      </c>
      <c r="I172">
        <v>1636.97</v>
      </c>
      <c r="J172">
        <v>24481</v>
      </c>
      <c r="K172">
        <v>2827</v>
      </c>
      <c r="L172">
        <v>93</v>
      </c>
      <c r="N172">
        <v>11.54773089</v>
      </c>
      <c r="O172">
        <v>3.2897064029999998</v>
      </c>
      <c r="P172">
        <v>3</v>
      </c>
    </row>
    <row r="173" spans="1:16" x14ac:dyDescent="0.35">
      <c r="A173" t="s">
        <v>314</v>
      </c>
      <c r="B173">
        <v>45582</v>
      </c>
      <c r="C173" t="s">
        <v>315</v>
      </c>
      <c r="D173">
        <v>63</v>
      </c>
      <c r="E173" t="s">
        <v>29</v>
      </c>
      <c r="F173" t="s">
        <v>57</v>
      </c>
      <c r="G173" t="s">
        <v>31</v>
      </c>
      <c r="H173" t="s">
        <v>26</v>
      </c>
      <c r="I173">
        <v>1077.04</v>
      </c>
      <c r="J173">
        <v>4347</v>
      </c>
      <c r="K173">
        <v>3382</v>
      </c>
      <c r="L173">
        <v>163</v>
      </c>
      <c r="M173">
        <v>2</v>
      </c>
      <c r="N173">
        <v>77.800782150000003</v>
      </c>
      <c r="O173">
        <v>4.8196333530000004</v>
      </c>
      <c r="P173">
        <v>2</v>
      </c>
    </row>
    <row r="174" spans="1:16" x14ac:dyDescent="0.35">
      <c r="A174" t="s">
        <v>316</v>
      </c>
      <c r="B174">
        <v>45387</v>
      </c>
      <c r="C174" t="s">
        <v>317</v>
      </c>
      <c r="D174">
        <v>21</v>
      </c>
      <c r="E174" t="s">
        <v>29</v>
      </c>
      <c r="F174" t="s">
        <v>45</v>
      </c>
      <c r="G174" t="s">
        <v>42</v>
      </c>
      <c r="H174" t="s">
        <v>36</v>
      </c>
      <c r="I174">
        <v>1509.02</v>
      </c>
      <c r="J174">
        <v>39791</v>
      </c>
      <c r="K174">
        <v>3198</v>
      </c>
      <c r="L174">
        <v>283</v>
      </c>
      <c r="M174">
        <v>2</v>
      </c>
      <c r="N174">
        <v>8.0369932899999998</v>
      </c>
      <c r="O174">
        <v>8.8492808010000008</v>
      </c>
      <c r="P174">
        <v>2</v>
      </c>
    </row>
    <row r="175" spans="1:16" x14ac:dyDescent="0.35">
      <c r="A175" t="s">
        <v>318</v>
      </c>
      <c r="B175">
        <v>45475</v>
      </c>
      <c r="C175" t="s">
        <v>319</v>
      </c>
      <c r="D175">
        <v>23</v>
      </c>
      <c r="E175" t="s">
        <v>29</v>
      </c>
      <c r="F175" t="s">
        <v>50</v>
      </c>
      <c r="G175" t="s">
        <v>25</v>
      </c>
      <c r="H175" t="s">
        <v>36</v>
      </c>
      <c r="I175">
        <v>1057.3399999999999</v>
      </c>
      <c r="J175">
        <v>3895</v>
      </c>
      <c r="K175">
        <v>1298</v>
      </c>
      <c r="L175">
        <v>218</v>
      </c>
      <c r="M175">
        <v>5</v>
      </c>
      <c r="N175">
        <v>33.324775350000003</v>
      </c>
      <c r="O175">
        <v>16.795069340000001</v>
      </c>
      <c r="P175">
        <v>5</v>
      </c>
    </row>
    <row r="176" spans="1:16" x14ac:dyDescent="0.35">
      <c r="A176" t="s">
        <v>320</v>
      </c>
      <c r="B176">
        <v>45522</v>
      </c>
      <c r="C176" t="s">
        <v>279</v>
      </c>
      <c r="D176">
        <v>18</v>
      </c>
      <c r="E176" t="s">
        <v>35</v>
      </c>
      <c r="F176" t="s">
        <v>24</v>
      </c>
      <c r="G176" t="s">
        <v>31</v>
      </c>
      <c r="H176" t="s">
        <v>32</v>
      </c>
      <c r="I176">
        <v>317.67</v>
      </c>
      <c r="J176">
        <v>23696</v>
      </c>
      <c r="K176">
        <v>2329</v>
      </c>
      <c r="L176">
        <v>341</v>
      </c>
      <c r="M176">
        <v>5</v>
      </c>
      <c r="N176">
        <v>9.8286630650000006</v>
      </c>
      <c r="O176">
        <v>14.641477030000001</v>
      </c>
      <c r="P176">
        <v>5</v>
      </c>
    </row>
    <row r="177" spans="1:16" x14ac:dyDescent="0.35">
      <c r="A177" t="s">
        <v>321</v>
      </c>
      <c r="B177">
        <v>45557</v>
      </c>
      <c r="C177" t="s">
        <v>115</v>
      </c>
      <c r="D177">
        <v>63</v>
      </c>
      <c r="E177" t="s">
        <v>29</v>
      </c>
      <c r="F177" t="s">
        <v>57</v>
      </c>
      <c r="G177" t="s">
        <v>31</v>
      </c>
      <c r="H177" t="s">
        <v>26</v>
      </c>
      <c r="I177">
        <v>285.07</v>
      </c>
      <c r="J177">
        <v>38068</v>
      </c>
      <c r="K177">
        <v>2716</v>
      </c>
      <c r="L177">
        <v>243</v>
      </c>
      <c r="M177">
        <v>4</v>
      </c>
      <c r="N177">
        <v>7.1346012400000003</v>
      </c>
      <c r="O177">
        <v>8.9469808539999995</v>
      </c>
      <c r="P177">
        <v>4</v>
      </c>
    </row>
    <row r="178" spans="1:16" x14ac:dyDescent="0.35">
      <c r="A178" t="s">
        <v>322</v>
      </c>
      <c r="B178">
        <v>45561</v>
      </c>
      <c r="C178" t="s">
        <v>302</v>
      </c>
      <c r="D178">
        <v>35</v>
      </c>
      <c r="E178" t="s">
        <v>23</v>
      </c>
      <c r="F178" t="s">
        <v>30</v>
      </c>
      <c r="G178" t="s">
        <v>25</v>
      </c>
      <c r="H178" t="s">
        <v>26</v>
      </c>
      <c r="I178">
        <v>110.33</v>
      </c>
      <c r="J178">
        <v>30034</v>
      </c>
      <c r="K178">
        <v>2366</v>
      </c>
      <c r="L178">
        <v>97</v>
      </c>
      <c r="M178">
        <v>3</v>
      </c>
      <c r="N178">
        <v>7.8777385630000003</v>
      </c>
      <c r="O178">
        <v>4.0997464069999996</v>
      </c>
      <c r="P178">
        <v>3</v>
      </c>
    </row>
    <row r="179" spans="1:16" x14ac:dyDescent="0.35">
      <c r="A179" t="s">
        <v>323</v>
      </c>
      <c r="B179">
        <v>45633</v>
      </c>
      <c r="C179" t="s">
        <v>324</v>
      </c>
      <c r="D179">
        <v>28</v>
      </c>
      <c r="E179" t="s">
        <v>35</v>
      </c>
      <c r="F179" t="s">
        <v>41</v>
      </c>
      <c r="G179" t="s">
        <v>31</v>
      </c>
      <c r="H179" t="s">
        <v>62</v>
      </c>
      <c r="I179">
        <v>641.88</v>
      </c>
      <c r="J179">
        <v>33060</v>
      </c>
      <c r="K179">
        <v>560</v>
      </c>
      <c r="L179">
        <v>331</v>
      </c>
      <c r="M179">
        <v>1</v>
      </c>
      <c r="N179">
        <v>1.693889897</v>
      </c>
      <c r="O179">
        <v>59.107142860000003</v>
      </c>
      <c r="P179">
        <v>1</v>
      </c>
    </row>
    <row r="180" spans="1:16" x14ac:dyDescent="0.35">
      <c r="A180" t="s">
        <v>325</v>
      </c>
      <c r="B180">
        <v>45293</v>
      </c>
      <c r="C180" t="s">
        <v>199</v>
      </c>
      <c r="D180">
        <v>57</v>
      </c>
      <c r="E180" t="s">
        <v>35</v>
      </c>
      <c r="F180" t="s">
        <v>57</v>
      </c>
      <c r="G180" t="s">
        <v>42</v>
      </c>
      <c r="H180" t="s">
        <v>62</v>
      </c>
      <c r="I180">
        <v>304.58999999999997</v>
      </c>
      <c r="J180">
        <v>9742</v>
      </c>
      <c r="K180">
        <v>2808</v>
      </c>
      <c r="L180">
        <v>397</v>
      </c>
      <c r="M180">
        <v>2</v>
      </c>
      <c r="N180">
        <v>28.823650170000001</v>
      </c>
      <c r="O180">
        <v>14.138176639999999</v>
      </c>
      <c r="P180">
        <v>2</v>
      </c>
    </row>
    <row r="181" spans="1:16" x14ac:dyDescent="0.35">
      <c r="A181" t="s">
        <v>326</v>
      </c>
      <c r="B181">
        <v>45579</v>
      </c>
      <c r="C181" t="s">
        <v>327</v>
      </c>
      <c r="E181" t="s">
        <v>29</v>
      </c>
      <c r="F181" t="s">
        <v>771</v>
      </c>
      <c r="G181" t="s">
        <v>61</v>
      </c>
      <c r="H181" t="s">
        <v>26</v>
      </c>
      <c r="I181">
        <v>1625.89</v>
      </c>
      <c r="J181">
        <v>737</v>
      </c>
      <c r="K181">
        <v>1817</v>
      </c>
      <c r="L181">
        <v>42</v>
      </c>
      <c r="N181">
        <v>246.5400271</v>
      </c>
      <c r="O181">
        <v>2.3115024769999999</v>
      </c>
      <c r="P181">
        <v>3</v>
      </c>
    </row>
    <row r="182" spans="1:16" x14ac:dyDescent="0.35">
      <c r="A182" t="s">
        <v>328</v>
      </c>
      <c r="B182">
        <v>45500</v>
      </c>
      <c r="C182" t="s">
        <v>329</v>
      </c>
      <c r="D182">
        <v>57</v>
      </c>
      <c r="E182" t="s">
        <v>23</v>
      </c>
      <c r="F182" t="s">
        <v>30</v>
      </c>
      <c r="G182" t="s">
        <v>46</v>
      </c>
      <c r="H182" t="s">
        <v>32</v>
      </c>
      <c r="I182">
        <v>1031.83</v>
      </c>
      <c r="J182">
        <v>41302</v>
      </c>
      <c r="K182">
        <v>1392</v>
      </c>
      <c r="L182">
        <v>289</v>
      </c>
      <c r="N182">
        <v>3.3702968379999998</v>
      </c>
      <c r="O182">
        <v>20.761494249999998</v>
      </c>
      <c r="P182">
        <v>3</v>
      </c>
    </row>
    <row r="183" spans="1:16" x14ac:dyDescent="0.35">
      <c r="A183" t="s">
        <v>330</v>
      </c>
      <c r="B183">
        <v>45340</v>
      </c>
      <c r="C183" t="s">
        <v>119</v>
      </c>
      <c r="D183">
        <v>20</v>
      </c>
      <c r="E183" t="s">
        <v>23</v>
      </c>
      <c r="F183" t="s">
        <v>41</v>
      </c>
      <c r="G183" t="s">
        <v>46</v>
      </c>
      <c r="H183" t="s">
        <v>26</v>
      </c>
      <c r="I183">
        <v>1164.83</v>
      </c>
      <c r="J183">
        <v>27872</v>
      </c>
      <c r="K183">
        <v>3872</v>
      </c>
      <c r="L183">
        <v>354</v>
      </c>
      <c r="M183">
        <v>2</v>
      </c>
      <c r="N183">
        <v>13.89207807</v>
      </c>
      <c r="O183">
        <v>9.1425619830000002</v>
      </c>
      <c r="P183">
        <v>2</v>
      </c>
    </row>
    <row r="184" spans="1:16" x14ac:dyDescent="0.35">
      <c r="A184" t="s">
        <v>331</v>
      </c>
      <c r="B184">
        <v>45445</v>
      </c>
      <c r="C184" t="s">
        <v>332</v>
      </c>
      <c r="D184">
        <v>37</v>
      </c>
      <c r="E184" t="s">
        <v>35</v>
      </c>
      <c r="F184" t="s">
        <v>24</v>
      </c>
      <c r="G184" t="s">
        <v>31</v>
      </c>
      <c r="H184" t="s">
        <v>62</v>
      </c>
      <c r="I184">
        <v>945.56</v>
      </c>
      <c r="J184">
        <v>11853</v>
      </c>
      <c r="K184">
        <v>81</v>
      </c>
      <c r="L184">
        <v>206</v>
      </c>
      <c r="N184">
        <v>0.68337129799999996</v>
      </c>
      <c r="O184">
        <v>254.32098769999999</v>
      </c>
      <c r="P184">
        <v>3</v>
      </c>
    </row>
    <row r="185" spans="1:16" x14ac:dyDescent="0.35">
      <c r="A185" t="s">
        <v>333</v>
      </c>
      <c r="B185">
        <v>45453</v>
      </c>
      <c r="C185" t="s">
        <v>334</v>
      </c>
      <c r="D185">
        <v>40</v>
      </c>
      <c r="E185" t="s">
        <v>29</v>
      </c>
      <c r="F185" t="s">
        <v>30</v>
      </c>
      <c r="G185" t="s">
        <v>61</v>
      </c>
      <c r="H185" t="s">
        <v>36</v>
      </c>
      <c r="I185">
        <v>1340.52</v>
      </c>
      <c r="J185">
        <v>49606</v>
      </c>
      <c r="K185">
        <v>2365</v>
      </c>
      <c r="L185">
        <v>10</v>
      </c>
      <c r="M185">
        <v>2</v>
      </c>
      <c r="N185">
        <v>4.7675684389999997</v>
      </c>
      <c r="O185">
        <v>0.422832981</v>
      </c>
      <c r="P185">
        <v>2</v>
      </c>
    </row>
    <row r="186" spans="1:16" x14ac:dyDescent="0.35">
      <c r="A186" t="s">
        <v>335</v>
      </c>
      <c r="B186">
        <v>45547</v>
      </c>
      <c r="C186" t="s">
        <v>336</v>
      </c>
      <c r="D186">
        <v>30</v>
      </c>
      <c r="E186" t="s">
        <v>23</v>
      </c>
      <c r="F186" t="s">
        <v>30</v>
      </c>
      <c r="G186" t="s">
        <v>42</v>
      </c>
      <c r="H186" t="s">
        <v>36</v>
      </c>
      <c r="I186">
        <v>1071.8800000000001</v>
      </c>
      <c r="J186">
        <v>19159</v>
      </c>
      <c r="K186">
        <v>4763</v>
      </c>
      <c r="L186">
        <v>302</v>
      </c>
      <c r="N186">
        <v>24.86037893</v>
      </c>
      <c r="O186">
        <v>6.3405416749999999</v>
      </c>
      <c r="P186">
        <v>3</v>
      </c>
    </row>
    <row r="187" spans="1:16" x14ac:dyDescent="0.35">
      <c r="A187" t="s">
        <v>337</v>
      </c>
      <c r="B187">
        <v>45630</v>
      </c>
      <c r="C187" t="s">
        <v>338</v>
      </c>
      <c r="D187">
        <v>42</v>
      </c>
      <c r="E187" t="s">
        <v>23</v>
      </c>
      <c r="F187" t="s">
        <v>24</v>
      </c>
      <c r="G187" t="s">
        <v>31</v>
      </c>
      <c r="H187" t="s">
        <v>36</v>
      </c>
      <c r="I187">
        <v>1871.86</v>
      </c>
      <c r="J187">
        <v>5843</v>
      </c>
      <c r="K187">
        <v>4548</v>
      </c>
      <c r="L187">
        <v>317</v>
      </c>
      <c r="M187">
        <v>5</v>
      </c>
      <c r="N187">
        <v>77.836727710000005</v>
      </c>
      <c r="O187">
        <v>6.9700967460000003</v>
      </c>
      <c r="P187">
        <v>5</v>
      </c>
    </row>
    <row r="188" spans="1:16" x14ac:dyDescent="0.35">
      <c r="A188" t="s">
        <v>339</v>
      </c>
      <c r="B188">
        <v>45356</v>
      </c>
      <c r="C188" t="s">
        <v>40</v>
      </c>
      <c r="D188">
        <v>20</v>
      </c>
      <c r="E188" t="s">
        <v>23</v>
      </c>
      <c r="F188" t="s">
        <v>24</v>
      </c>
      <c r="G188" t="s">
        <v>42</v>
      </c>
      <c r="H188" t="s">
        <v>32</v>
      </c>
      <c r="I188">
        <v>1691.24</v>
      </c>
      <c r="J188">
        <v>32091</v>
      </c>
      <c r="K188">
        <v>2988</v>
      </c>
      <c r="L188">
        <v>222</v>
      </c>
      <c r="N188">
        <v>9.3110217819999992</v>
      </c>
      <c r="O188">
        <v>7.4297188759999999</v>
      </c>
      <c r="P188">
        <v>3</v>
      </c>
    </row>
    <row r="189" spans="1:16" x14ac:dyDescent="0.35">
      <c r="A189" t="s">
        <v>340</v>
      </c>
      <c r="B189">
        <v>45606</v>
      </c>
      <c r="C189" t="s">
        <v>40</v>
      </c>
      <c r="D189">
        <v>25</v>
      </c>
      <c r="E189" t="s">
        <v>29</v>
      </c>
      <c r="F189" t="s">
        <v>50</v>
      </c>
      <c r="G189" t="s">
        <v>46</v>
      </c>
      <c r="H189" t="s">
        <v>32</v>
      </c>
      <c r="I189">
        <v>412</v>
      </c>
      <c r="J189">
        <v>40238</v>
      </c>
      <c r="K189">
        <v>4935</v>
      </c>
      <c r="L189">
        <v>376</v>
      </c>
      <c r="M189">
        <v>4</v>
      </c>
      <c r="N189">
        <v>12.264526070000001</v>
      </c>
      <c r="O189">
        <v>7.6190476189999998</v>
      </c>
      <c r="P189">
        <v>4</v>
      </c>
    </row>
    <row r="190" spans="1:16" x14ac:dyDescent="0.35">
      <c r="A190" t="s">
        <v>341</v>
      </c>
      <c r="B190">
        <v>45558</v>
      </c>
      <c r="C190" t="s">
        <v>297</v>
      </c>
      <c r="D190">
        <v>46</v>
      </c>
      <c r="E190" t="s">
        <v>35</v>
      </c>
      <c r="F190" t="s">
        <v>50</v>
      </c>
      <c r="G190" t="s">
        <v>25</v>
      </c>
      <c r="H190" t="s">
        <v>36</v>
      </c>
      <c r="I190">
        <v>1753.45</v>
      </c>
      <c r="J190">
        <v>46250</v>
      </c>
      <c r="K190">
        <v>243</v>
      </c>
      <c r="L190">
        <v>87</v>
      </c>
      <c r="M190">
        <v>5</v>
      </c>
      <c r="N190">
        <v>0.52540540499999999</v>
      </c>
      <c r="O190">
        <v>35.802469139999999</v>
      </c>
      <c r="P190">
        <v>5</v>
      </c>
    </row>
    <row r="191" spans="1:16" x14ac:dyDescent="0.35">
      <c r="A191" t="s">
        <v>342</v>
      </c>
      <c r="B191">
        <v>45319</v>
      </c>
      <c r="C191" t="s">
        <v>343</v>
      </c>
      <c r="D191">
        <v>55</v>
      </c>
      <c r="E191" t="s">
        <v>29</v>
      </c>
      <c r="F191" t="s">
        <v>45</v>
      </c>
      <c r="G191" t="s">
        <v>42</v>
      </c>
      <c r="H191" t="s">
        <v>32</v>
      </c>
      <c r="I191">
        <v>965.48</v>
      </c>
      <c r="J191">
        <v>7358</v>
      </c>
      <c r="K191">
        <v>1985</v>
      </c>
      <c r="L191">
        <v>57</v>
      </c>
      <c r="M191">
        <v>4</v>
      </c>
      <c r="N191">
        <v>26.977439520000001</v>
      </c>
      <c r="O191">
        <v>2.8715365240000001</v>
      </c>
      <c r="P191">
        <v>4</v>
      </c>
    </row>
    <row r="192" spans="1:16" x14ac:dyDescent="0.35">
      <c r="A192" t="s">
        <v>344</v>
      </c>
      <c r="B192">
        <v>45448</v>
      </c>
      <c r="C192" t="s">
        <v>329</v>
      </c>
      <c r="D192">
        <v>25</v>
      </c>
      <c r="E192" t="s">
        <v>35</v>
      </c>
      <c r="F192" t="s">
        <v>57</v>
      </c>
      <c r="G192" t="s">
        <v>25</v>
      </c>
      <c r="H192" t="s">
        <v>26</v>
      </c>
      <c r="I192">
        <v>1938.03</v>
      </c>
      <c r="J192">
        <v>40841</v>
      </c>
      <c r="K192">
        <v>32</v>
      </c>
      <c r="L192">
        <v>55</v>
      </c>
      <c r="M192">
        <v>1</v>
      </c>
      <c r="N192">
        <v>7.8352636000000003E-2</v>
      </c>
      <c r="O192">
        <v>171.875</v>
      </c>
      <c r="P192">
        <v>1</v>
      </c>
    </row>
    <row r="193" spans="1:16" x14ac:dyDescent="0.35">
      <c r="A193" t="s">
        <v>345</v>
      </c>
      <c r="B193">
        <v>45300</v>
      </c>
      <c r="C193" t="s">
        <v>152</v>
      </c>
      <c r="E193" t="s">
        <v>29</v>
      </c>
      <c r="F193" t="s">
        <v>771</v>
      </c>
      <c r="G193" t="s">
        <v>25</v>
      </c>
      <c r="H193" t="s">
        <v>36</v>
      </c>
      <c r="I193">
        <v>1216.25</v>
      </c>
      <c r="J193">
        <v>33832</v>
      </c>
      <c r="K193">
        <v>3981</v>
      </c>
      <c r="L193">
        <v>132</v>
      </c>
      <c r="N193">
        <v>11.76696619</v>
      </c>
      <c r="O193">
        <v>3.315749812</v>
      </c>
      <c r="P193">
        <v>3</v>
      </c>
    </row>
    <row r="194" spans="1:16" x14ac:dyDescent="0.35">
      <c r="A194" t="s">
        <v>346</v>
      </c>
      <c r="B194">
        <v>45539</v>
      </c>
      <c r="C194" t="s">
        <v>347</v>
      </c>
      <c r="D194">
        <v>53</v>
      </c>
      <c r="E194" t="s">
        <v>35</v>
      </c>
      <c r="F194" t="s">
        <v>57</v>
      </c>
      <c r="G194" t="s">
        <v>46</v>
      </c>
      <c r="H194" t="s">
        <v>32</v>
      </c>
      <c r="I194">
        <v>50.16</v>
      </c>
      <c r="J194">
        <v>3704</v>
      </c>
      <c r="K194">
        <v>160</v>
      </c>
      <c r="L194">
        <v>246</v>
      </c>
      <c r="M194">
        <v>5</v>
      </c>
      <c r="N194">
        <v>4.3196544279999998</v>
      </c>
      <c r="O194">
        <v>153.75</v>
      </c>
      <c r="P194">
        <v>5</v>
      </c>
    </row>
    <row r="195" spans="1:16" x14ac:dyDescent="0.35">
      <c r="A195" t="s">
        <v>348</v>
      </c>
      <c r="B195">
        <v>45392</v>
      </c>
      <c r="C195" t="s">
        <v>220</v>
      </c>
      <c r="D195">
        <v>50</v>
      </c>
      <c r="E195" t="s">
        <v>29</v>
      </c>
      <c r="F195" t="s">
        <v>24</v>
      </c>
      <c r="G195" t="s">
        <v>61</v>
      </c>
      <c r="H195" t="s">
        <v>26</v>
      </c>
      <c r="I195">
        <v>67.47</v>
      </c>
      <c r="J195">
        <v>26963</v>
      </c>
      <c r="K195">
        <v>4916</v>
      </c>
      <c r="L195">
        <v>303</v>
      </c>
      <c r="M195">
        <v>5</v>
      </c>
      <c r="N195">
        <v>18.232392539999999</v>
      </c>
      <c r="O195">
        <v>6.1635476000000002</v>
      </c>
      <c r="P195">
        <v>5</v>
      </c>
    </row>
    <row r="196" spans="1:16" x14ac:dyDescent="0.35">
      <c r="A196" t="s">
        <v>349</v>
      </c>
      <c r="B196">
        <v>45546</v>
      </c>
      <c r="C196" t="s">
        <v>128</v>
      </c>
      <c r="D196">
        <v>43</v>
      </c>
      <c r="E196" t="s">
        <v>23</v>
      </c>
      <c r="F196" t="s">
        <v>50</v>
      </c>
      <c r="G196" t="s">
        <v>61</v>
      </c>
      <c r="H196" t="s">
        <v>26</v>
      </c>
      <c r="I196">
        <v>575.80999999999995</v>
      </c>
      <c r="J196">
        <v>44295</v>
      </c>
      <c r="K196">
        <v>1494</v>
      </c>
      <c r="L196">
        <v>159</v>
      </c>
      <c r="M196">
        <v>4</v>
      </c>
      <c r="N196">
        <v>3.3728411779999998</v>
      </c>
      <c r="O196">
        <v>10.642570279999999</v>
      </c>
      <c r="P196">
        <v>4</v>
      </c>
    </row>
    <row r="197" spans="1:16" x14ac:dyDescent="0.35">
      <c r="A197" t="s">
        <v>350</v>
      </c>
      <c r="B197">
        <v>45602</v>
      </c>
      <c r="C197" t="s">
        <v>351</v>
      </c>
      <c r="D197">
        <v>59</v>
      </c>
      <c r="E197" t="s">
        <v>35</v>
      </c>
      <c r="F197" t="s">
        <v>41</v>
      </c>
      <c r="G197" t="s">
        <v>31</v>
      </c>
      <c r="H197" t="s">
        <v>32</v>
      </c>
      <c r="I197">
        <v>1655.32</v>
      </c>
      <c r="J197">
        <v>8094</v>
      </c>
      <c r="K197">
        <v>199</v>
      </c>
      <c r="L197">
        <v>396</v>
      </c>
      <c r="N197">
        <v>2.4586113169999999</v>
      </c>
      <c r="O197">
        <v>198.99497489999999</v>
      </c>
      <c r="P197">
        <v>3</v>
      </c>
    </row>
    <row r="198" spans="1:16" x14ac:dyDescent="0.35">
      <c r="A198" t="s">
        <v>352</v>
      </c>
      <c r="B198">
        <v>45590</v>
      </c>
      <c r="C198" t="s">
        <v>295</v>
      </c>
      <c r="D198">
        <v>38</v>
      </c>
      <c r="E198" t="s">
        <v>23</v>
      </c>
      <c r="F198" t="s">
        <v>57</v>
      </c>
      <c r="G198" t="s">
        <v>31</v>
      </c>
      <c r="H198" t="s">
        <v>26</v>
      </c>
      <c r="I198">
        <v>1129.2</v>
      </c>
      <c r="J198">
        <v>45497</v>
      </c>
      <c r="K198">
        <v>4281</v>
      </c>
      <c r="L198">
        <v>186</v>
      </c>
      <c r="M198">
        <v>1</v>
      </c>
      <c r="N198">
        <v>9.4094116099999994</v>
      </c>
      <c r="O198">
        <v>4.3447792569999999</v>
      </c>
      <c r="P198">
        <v>1</v>
      </c>
    </row>
    <row r="199" spans="1:16" x14ac:dyDescent="0.35">
      <c r="A199" t="s">
        <v>353</v>
      </c>
      <c r="B199">
        <v>45640</v>
      </c>
      <c r="C199" t="s">
        <v>354</v>
      </c>
      <c r="D199">
        <v>23</v>
      </c>
      <c r="E199" t="s">
        <v>29</v>
      </c>
      <c r="F199" t="s">
        <v>41</v>
      </c>
      <c r="G199" t="s">
        <v>42</v>
      </c>
      <c r="H199" t="s">
        <v>62</v>
      </c>
      <c r="I199">
        <v>209.89</v>
      </c>
      <c r="J199">
        <v>10841</v>
      </c>
      <c r="K199">
        <v>4314</v>
      </c>
      <c r="L199">
        <v>232</v>
      </c>
      <c r="N199">
        <v>39.793376989999999</v>
      </c>
      <c r="O199">
        <v>5.3778395919999999</v>
      </c>
      <c r="P199">
        <v>3</v>
      </c>
    </row>
    <row r="200" spans="1:16" x14ac:dyDescent="0.35">
      <c r="A200" t="s">
        <v>355</v>
      </c>
      <c r="B200">
        <v>45299</v>
      </c>
      <c r="C200" t="s">
        <v>227</v>
      </c>
      <c r="D200">
        <v>53</v>
      </c>
      <c r="E200" t="s">
        <v>23</v>
      </c>
      <c r="F200" t="s">
        <v>30</v>
      </c>
      <c r="G200" t="s">
        <v>42</v>
      </c>
      <c r="H200" t="s">
        <v>32</v>
      </c>
      <c r="I200">
        <v>1009.29</v>
      </c>
      <c r="J200">
        <v>17431</v>
      </c>
      <c r="K200">
        <v>1641</v>
      </c>
      <c r="L200">
        <v>28</v>
      </c>
      <c r="N200">
        <v>9.414261947</v>
      </c>
      <c r="O200">
        <v>1.706276661</v>
      </c>
      <c r="P200">
        <v>3</v>
      </c>
    </row>
    <row r="201" spans="1:16" x14ac:dyDescent="0.35">
      <c r="A201" t="s">
        <v>356</v>
      </c>
      <c r="B201">
        <v>45533</v>
      </c>
      <c r="C201" t="s">
        <v>83</v>
      </c>
      <c r="D201">
        <v>33</v>
      </c>
      <c r="E201" t="s">
        <v>23</v>
      </c>
      <c r="F201" t="s">
        <v>45</v>
      </c>
      <c r="G201" t="s">
        <v>42</v>
      </c>
      <c r="H201" t="s">
        <v>26</v>
      </c>
      <c r="I201">
        <v>464.01</v>
      </c>
      <c r="J201">
        <v>39208</v>
      </c>
      <c r="K201">
        <v>2198</v>
      </c>
      <c r="L201">
        <v>25</v>
      </c>
      <c r="M201">
        <v>5</v>
      </c>
      <c r="N201">
        <v>5.6059987759999999</v>
      </c>
      <c r="O201">
        <v>1.137397634</v>
      </c>
      <c r="P201">
        <v>5</v>
      </c>
    </row>
    <row r="202" spans="1:16" x14ac:dyDescent="0.35">
      <c r="A202" t="s">
        <v>357</v>
      </c>
      <c r="B202">
        <v>45435</v>
      </c>
      <c r="C202" t="s">
        <v>243</v>
      </c>
      <c r="D202">
        <v>58</v>
      </c>
      <c r="E202" t="s">
        <v>29</v>
      </c>
      <c r="F202" t="s">
        <v>24</v>
      </c>
      <c r="G202" t="s">
        <v>42</v>
      </c>
      <c r="H202" t="s">
        <v>62</v>
      </c>
      <c r="I202">
        <v>155.44999999999999</v>
      </c>
      <c r="J202">
        <v>22674</v>
      </c>
      <c r="K202">
        <v>928</v>
      </c>
      <c r="L202">
        <v>24</v>
      </c>
      <c r="M202">
        <v>2</v>
      </c>
      <c r="N202">
        <v>4.0927935079999997</v>
      </c>
      <c r="O202">
        <v>2.5862068969999998</v>
      </c>
      <c r="P202">
        <v>2</v>
      </c>
    </row>
    <row r="203" spans="1:16" x14ac:dyDescent="0.35">
      <c r="A203" t="s">
        <v>358</v>
      </c>
      <c r="B203">
        <v>45420</v>
      </c>
      <c r="C203" t="s">
        <v>359</v>
      </c>
      <c r="D203">
        <v>22</v>
      </c>
      <c r="E203" t="s">
        <v>35</v>
      </c>
      <c r="F203" t="s">
        <v>45</v>
      </c>
      <c r="G203" t="s">
        <v>31</v>
      </c>
      <c r="H203" t="s">
        <v>32</v>
      </c>
      <c r="I203">
        <v>748.87</v>
      </c>
      <c r="J203">
        <v>4168</v>
      </c>
      <c r="K203">
        <v>3750</v>
      </c>
      <c r="L203">
        <v>180</v>
      </c>
      <c r="M203">
        <v>3</v>
      </c>
      <c r="N203">
        <v>89.971209209999998</v>
      </c>
      <c r="O203">
        <v>4.8</v>
      </c>
      <c r="P203">
        <v>3</v>
      </c>
    </row>
    <row r="204" spans="1:16" x14ac:dyDescent="0.35">
      <c r="A204" t="s">
        <v>360</v>
      </c>
      <c r="B204">
        <v>45502</v>
      </c>
      <c r="C204" t="s">
        <v>361</v>
      </c>
      <c r="D204">
        <v>45</v>
      </c>
      <c r="E204" t="s">
        <v>29</v>
      </c>
      <c r="F204" t="s">
        <v>30</v>
      </c>
      <c r="G204" t="s">
        <v>42</v>
      </c>
      <c r="H204" t="s">
        <v>36</v>
      </c>
      <c r="I204">
        <v>408.12</v>
      </c>
      <c r="J204">
        <v>4512</v>
      </c>
      <c r="K204">
        <v>2509</v>
      </c>
      <c r="L204">
        <v>363</v>
      </c>
      <c r="N204">
        <v>55.607269500000001</v>
      </c>
      <c r="O204">
        <v>14.4679155</v>
      </c>
      <c r="P204">
        <v>3</v>
      </c>
    </row>
    <row r="205" spans="1:16" x14ac:dyDescent="0.35">
      <c r="A205" t="s">
        <v>362</v>
      </c>
      <c r="B205">
        <v>45523</v>
      </c>
      <c r="C205" t="s">
        <v>297</v>
      </c>
      <c r="D205">
        <v>26</v>
      </c>
      <c r="E205" t="s">
        <v>29</v>
      </c>
      <c r="F205" t="s">
        <v>57</v>
      </c>
      <c r="G205" t="s">
        <v>31</v>
      </c>
      <c r="H205" t="s">
        <v>62</v>
      </c>
      <c r="I205">
        <v>402.39</v>
      </c>
      <c r="J205">
        <v>26391</v>
      </c>
      <c r="K205">
        <v>2056</v>
      </c>
      <c r="L205">
        <v>238</v>
      </c>
      <c r="M205">
        <v>2</v>
      </c>
      <c r="N205">
        <v>7.7905346519999998</v>
      </c>
      <c r="O205">
        <v>11.57587549</v>
      </c>
      <c r="P205">
        <v>2</v>
      </c>
    </row>
    <row r="206" spans="1:16" x14ac:dyDescent="0.35">
      <c r="A206" t="s">
        <v>363</v>
      </c>
      <c r="B206">
        <v>45468</v>
      </c>
      <c r="C206" t="s">
        <v>359</v>
      </c>
      <c r="D206">
        <v>19</v>
      </c>
      <c r="E206" t="s">
        <v>29</v>
      </c>
      <c r="F206" t="s">
        <v>30</v>
      </c>
      <c r="G206" t="s">
        <v>42</v>
      </c>
      <c r="H206" t="s">
        <v>36</v>
      </c>
      <c r="I206">
        <v>1074.33</v>
      </c>
      <c r="J206">
        <v>26900</v>
      </c>
      <c r="K206">
        <v>2876</v>
      </c>
      <c r="L206">
        <v>166</v>
      </c>
      <c r="M206">
        <v>4</v>
      </c>
      <c r="N206">
        <v>10.69144981</v>
      </c>
      <c r="O206">
        <v>5.7719054239999998</v>
      </c>
      <c r="P206">
        <v>4</v>
      </c>
    </row>
    <row r="207" spans="1:16" x14ac:dyDescent="0.35">
      <c r="A207" t="s">
        <v>364</v>
      </c>
      <c r="B207">
        <v>45336</v>
      </c>
      <c r="C207" t="s">
        <v>81</v>
      </c>
      <c r="D207">
        <v>38</v>
      </c>
      <c r="E207" t="s">
        <v>29</v>
      </c>
      <c r="F207" t="s">
        <v>41</v>
      </c>
      <c r="G207" t="s">
        <v>46</v>
      </c>
      <c r="H207" t="s">
        <v>36</v>
      </c>
      <c r="I207">
        <v>1503.97</v>
      </c>
      <c r="J207">
        <v>33466</v>
      </c>
      <c r="K207">
        <v>3898</v>
      </c>
      <c r="L207">
        <v>169</v>
      </c>
      <c r="N207">
        <v>11.647642380000001</v>
      </c>
      <c r="O207">
        <v>4.3355566960000003</v>
      </c>
      <c r="P207">
        <v>3</v>
      </c>
    </row>
    <row r="208" spans="1:16" x14ac:dyDescent="0.35">
      <c r="A208" t="s">
        <v>365</v>
      </c>
      <c r="B208">
        <v>45301</v>
      </c>
      <c r="C208" t="s">
        <v>366</v>
      </c>
      <c r="D208">
        <v>20</v>
      </c>
      <c r="E208" t="s">
        <v>29</v>
      </c>
      <c r="F208" t="s">
        <v>41</v>
      </c>
      <c r="G208" t="s">
        <v>42</v>
      </c>
      <c r="H208" t="s">
        <v>26</v>
      </c>
      <c r="I208">
        <v>1987.15</v>
      </c>
      <c r="J208">
        <v>23853</v>
      </c>
      <c r="K208">
        <v>3607</v>
      </c>
      <c r="L208">
        <v>263</v>
      </c>
      <c r="N208">
        <v>15.121787619999999</v>
      </c>
      <c r="O208">
        <v>7.2913778760000003</v>
      </c>
      <c r="P208">
        <v>3</v>
      </c>
    </row>
    <row r="209" spans="1:16" x14ac:dyDescent="0.35">
      <c r="A209" t="s">
        <v>367</v>
      </c>
      <c r="B209">
        <v>45594</v>
      </c>
      <c r="C209" t="s">
        <v>123</v>
      </c>
      <c r="D209">
        <v>64</v>
      </c>
      <c r="E209" t="s">
        <v>29</v>
      </c>
      <c r="F209" t="s">
        <v>30</v>
      </c>
      <c r="G209" t="s">
        <v>42</v>
      </c>
      <c r="H209" t="s">
        <v>36</v>
      </c>
      <c r="I209">
        <v>1418.37</v>
      </c>
      <c r="J209">
        <v>4546</v>
      </c>
      <c r="K209">
        <v>4425</v>
      </c>
      <c r="L209">
        <v>72</v>
      </c>
      <c r="M209">
        <v>1</v>
      </c>
      <c r="N209">
        <v>97.338319400000003</v>
      </c>
      <c r="O209">
        <v>1.6271186440000001</v>
      </c>
      <c r="P209">
        <v>1</v>
      </c>
    </row>
    <row r="210" spans="1:16" x14ac:dyDescent="0.35">
      <c r="A210" t="s">
        <v>368</v>
      </c>
      <c r="B210">
        <v>45468</v>
      </c>
      <c r="C210" t="s">
        <v>369</v>
      </c>
      <c r="D210">
        <v>61</v>
      </c>
      <c r="E210" t="s">
        <v>35</v>
      </c>
      <c r="F210" t="s">
        <v>57</v>
      </c>
      <c r="G210" t="s">
        <v>31</v>
      </c>
      <c r="H210" t="s">
        <v>26</v>
      </c>
      <c r="I210">
        <v>330.82</v>
      </c>
      <c r="J210">
        <v>42577</v>
      </c>
      <c r="K210">
        <v>30</v>
      </c>
      <c r="L210">
        <v>260</v>
      </c>
      <c r="M210">
        <v>3</v>
      </c>
      <c r="N210">
        <v>7.0460576999999996E-2</v>
      </c>
      <c r="O210">
        <v>866.66666669999995</v>
      </c>
      <c r="P210">
        <v>3</v>
      </c>
    </row>
    <row r="211" spans="1:16" x14ac:dyDescent="0.35">
      <c r="A211" t="s">
        <v>370</v>
      </c>
      <c r="B211">
        <v>45419</v>
      </c>
      <c r="C211" t="s">
        <v>256</v>
      </c>
      <c r="D211">
        <v>31</v>
      </c>
      <c r="E211" t="s">
        <v>29</v>
      </c>
      <c r="F211" t="s">
        <v>30</v>
      </c>
      <c r="G211" t="s">
        <v>31</v>
      </c>
      <c r="H211" t="s">
        <v>32</v>
      </c>
      <c r="I211">
        <v>1247.71</v>
      </c>
      <c r="J211">
        <v>37476</v>
      </c>
      <c r="K211">
        <v>4398</v>
      </c>
      <c r="L211">
        <v>171</v>
      </c>
      <c r="M211">
        <v>1</v>
      </c>
      <c r="N211">
        <v>11.73551073</v>
      </c>
      <c r="O211">
        <v>3.8881309690000001</v>
      </c>
      <c r="P211">
        <v>1</v>
      </c>
    </row>
    <row r="212" spans="1:16" x14ac:dyDescent="0.35">
      <c r="A212" t="s">
        <v>371</v>
      </c>
      <c r="B212">
        <v>45297</v>
      </c>
      <c r="C212" t="s">
        <v>251</v>
      </c>
      <c r="D212">
        <v>26</v>
      </c>
      <c r="E212" t="s">
        <v>35</v>
      </c>
      <c r="F212" t="s">
        <v>57</v>
      </c>
      <c r="G212" t="s">
        <v>31</v>
      </c>
      <c r="H212" t="s">
        <v>62</v>
      </c>
      <c r="I212">
        <v>422.85</v>
      </c>
      <c r="J212">
        <v>24238</v>
      </c>
      <c r="K212">
        <v>1730</v>
      </c>
      <c r="L212">
        <v>105</v>
      </c>
      <c r="M212">
        <v>3</v>
      </c>
      <c r="N212">
        <v>7.1375526029999996</v>
      </c>
      <c r="O212">
        <v>6.0693641620000003</v>
      </c>
      <c r="P212">
        <v>3</v>
      </c>
    </row>
    <row r="213" spans="1:16" x14ac:dyDescent="0.35">
      <c r="A213" t="s">
        <v>372</v>
      </c>
      <c r="B213">
        <v>45436</v>
      </c>
      <c r="C213" t="s">
        <v>193</v>
      </c>
      <c r="E213" t="s">
        <v>23</v>
      </c>
      <c r="F213" t="s">
        <v>771</v>
      </c>
      <c r="G213" t="s">
        <v>25</v>
      </c>
      <c r="H213" t="s">
        <v>36</v>
      </c>
      <c r="I213">
        <v>701.34</v>
      </c>
      <c r="J213">
        <v>4023</v>
      </c>
      <c r="K213">
        <v>200</v>
      </c>
      <c r="L213">
        <v>110</v>
      </c>
      <c r="N213">
        <v>4.9714143670000004</v>
      </c>
      <c r="O213">
        <v>55</v>
      </c>
      <c r="P213">
        <v>3</v>
      </c>
    </row>
    <row r="214" spans="1:16" x14ac:dyDescent="0.35">
      <c r="A214" t="s">
        <v>373</v>
      </c>
      <c r="B214">
        <v>45303</v>
      </c>
      <c r="C214" t="s">
        <v>319</v>
      </c>
      <c r="D214">
        <v>29</v>
      </c>
      <c r="E214" t="s">
        <v>23</v>
      </c>
      <c r="F214" t="s">
        <v>57</v>
      </c>
      <c r="G214" t="s">
        <v>61</v>
      </c>
      <c r="H214" t="s">
        <v>32</v>
      </c>
      <c r="I214">
        <v>1298.1600000000001</v>
      </c>
      <c r="J214">
        <v>33502</v>
      </c>
      <c r="K214">
        <v>4060</v>
      </c>
      <c r="L214">
        <v>107</v>
      </c>
      <c r="M214">
        <v>1</v>
      </c>
      <c r="N214">
        <v>12.118679480000001</v>
      </c>
      <c r="O214">
        <v>2.63546798</v>
      </c>
      <c r="P214">
        <v>1</v>
      </c>
    </row>
    <row r="215" spans="1:16" x14ac:dyDescent="0.35">
      <c r="A215" t="s">
        <v>374</v>
      </c>
      <c r="B215">
        <v>45654</v>
      </c>
      <c r="C215" t="s">
        <v>142</v>
      </c>
      <c r="D215">
        <v>18</v>
      </c>
      <c r="E215" t="s">
        <v>23</v>
      </c>
      <c r="F215" t="s">
        <v>50</v>
      </c>
      <c r="G215" t="s">
        <v>31</v>
      </c>
      <c r="H215" t="s">
        <v>26</v>
      </c>
      <c r="I215">
        <v>1665.49</v>
      </c>
      <c r="J215">
        <v>40141</v>
      </c>
      <c r="K215">
        <v>4874</v>
      </c>
      <c r="L215">
        <v>219</v>
      </c>
      <c r="M215">
        <v>1</v>
      </c>
      <c r="N215">
        <v>12.14219875</v>
      </c>
      <c r="O215">
        <v>4.4932293799999998</v>
      </c>
      <c r="P215">
        <v>1</v>
      </c>
    </row>
    <row r="216" spans="1:16" x14ac:dyDescent="0.35">
      <c r="A216" t="s">
        <v>375</v>
      </c>
      <c r="B216">
        <v>45452</v>
      </c>
      <c r="C216" t="s">
        <v>201</v>
      </c>
      <c r="D216">
        <v>28</v>
      </c>
      <c r="E216" t="s">
        <v>23</v>
      </c>
      <c r="F216" t="s">
        <v>45</v>
      </c>
      <c r="G216" t="s">
        <v>46</v>
      </c>
      <c r="H216" t="s">
        <v>62</v>
      </c>
      <c r="I216">
        <v>746.58</v>
      </c>
      <c r="J216">
        <v>48288</v>
      </c>
      <c r="K216">
        <v>2590</v>
      </c>
      <c r="L216">
        <v>263</v>
      </c>
      <c r="M216">
        <v>1</v>
      </c>
      <c r="N216">
        <v>5.3636514249999996</v>
      </c>
      <c r="O216">
        <v>10.154440149999999</v>
      </c>
      <c r="P216">
        <v>1</v>
      </c>
    </row>
    <row r="217" spans="1:16" x14ac:dyDescent="0.35">
      <c r="A217" t="s">
        <v>376</v>
      </c>
      <c r="B217">
        <v>45588</v>
      </c>
      <c r="C217" t="s">
        <v>292</v>
      </c>
      <c r="D217">
        <v>59</v>
      </c>
      <c r="E217" t="s">
        <v>29</v>
      </c>
      <c r="F217" t="s">
        <v>57</v>
      </c>
      <c r="G217" t="s">
        <v>42</v>
      </c>
      <c r="H217" t="s">
        <v>26</v>
      </c>
      <c r="I217">
        <v>492.7</v>
      </c>
      <c r="J217">
        <v>10581</v>
      </c>
      <c r="K217">
        <v>389</v>
      </c>
      <c r="L217">
        <v>280</v>
      </c>
      <c r="M217">
        <v>1</v>
      </c>
      <c r="N217">
        <v>3.6764010960000002</v>
      </c>
      <c r="O217">
        <v>71.979434449999999</v>
      </c>
      <c r="P217">
        <v>1</v>
      </c>
    </row>
    <row r="218" spans="1:16" x14ac:dyDescent="0.35">
      <c r="A218" t="s">
        <v>377</v>
      </c>
      <c r="B218">
        <v>45328</v>
      </c>
      <c r="C218" t="s">
        <v>378</v>
      </c>
      <c r="D218">
        <v>51</v>
      </c>
      <c r="E218" t="s">
        <v>35</v>
      </c>
      <c r="F218" t="s">
        <v>57</v>
      </c>
      <c r="G218" t="s">
        <v>61</v>
      </c>
      <c r="H218" t="s">
        <v>36</v>
      </c>
      <c r="I218">
        <v>262.14999999999998</v>
      </c>
      <c r="J218">
        <v>26738</v>
      </c>
      <c r="K218">
        <v>4256</v>
      </c>
      <c r="L218">
        <v>287</v>
      </c>
      <c r="M218">
        <v>4</v>
      </c>
      <c r="N218">
        <v>15.9174209</v>
      </c>
      <c r="O218">
        <v>6.7434210529999996</v>
      </c>
      <c r="P218">
        <v>4</v>
      </c>
    </row>
    <row r="219" spans="1:16" x14ac:dyDescent="0.35">
      <c r="A219" t="s">
        <v>379</v>
      </c>
      <c r="B219">
        <v>45361</v>
      </c>
      <c r="C219" t="s">
        <v>134</v>
      </c>
      <c r="D219">
        <v>45</v>
      </c>
      <c r="E219" t="s">
        <v>23</v>
      </c>
      <c r="F219" t="s">
        <v>41</v>
      </c>
      <c r="G219" t="s">
        <v>61</v>
      </c>
      <c r="H219" t="s">
        <v>32</v>
      </c>
      <c r="I219">
        <v>1158.22</v>
      </c>
      <c r="J219">
        <v>36951</v>
      </c>
      <c r="K219">
        <v>478</v>
      </c>
      <c r="L219">
        <v>103</v>
      </c>
      <c r="M219">
        <v>2</v>
      </c>
      <c r="N219">
        <v>1.2936050450000001</v>
      </c>
      <c r="O219">
        <v>21.548117149999999</v>
      </c>
      <c r="P219">
        <v>2</v>
      </c>
    </row>
    <row r="220" spans="1:16" x14ac:dyDescent="0.35">
      <c r="A220" t="s">
        <v>380</v>
      </c>
      <c r="B220">
        <v>45655</v>
      </c>
      <c r="C220" t="s">
        <v>160</v>
      </c>
      <c r="D220">
        <v>49</v>
      </c>
      <c r="E220" t="s">
        <v>23</v>
      </c>
      <c r="F220" t="s">
        <v>45</v>
      </c>
      <c r="G220" t="s">
        <v>46</v>
      </c>
      <c r="H220" t="s">
        <v>32</v>
      </c>
      <c r="I220">
        <v>1935.02</v>
      </c>
      <c r="J220">
        <v>13246</v>
      </c>
      <c r="K220">
        <v>2792</v>
      </c>
      <c r="L220">
        <v>362</v>
      </c>
      <c r="M220">
        <v>2</v>
      </c>
      <c r="N220">
        <v>21.078061300000002</v>
      </c>
      <c r="O220">
        <v>12.96561605</v>
      </c>
      <c r="P220">
        <v>2</v>
      </c>
    </row>
    <row r="221" spans="1:16" x14ac:dyDescent="0.35">
      <c r="A221" t="s">
        <v>381</v>
      </c>
      <c r="B221">
        <v>45385</v>
      </c>
      <c r="C221" t="s">
        <v>144</v>
      </c>
      <c r="D221">
        <v>29</v>
      </c>
      <c r="E221" t="s">
        <v>23</v>
      </c>
      <c r="F221" t="s">
        <v>50</v>
      </c>
      <c r="G221" t="s">
        <v>61</v>
      </c>
      <c r="H221" t="s">
        <v>32</v>
      </c>
      <c r="I221">
        <v>1108.98</v>
      </c>
      <c r="J221">
        <v>42457</v>
      </c>
      <c r="K221">
        <v>2556</v>
      </c>
      <c r="L221">
        <v>22</v>
      </c>
      <c r="N221">
        <v>6.0202086819999998</v>
      </c>
      <c r="O221">
        <v>0.86071987500000002</v>
      </c>
      <c r="P221">
        <v>3</v>
      </c>
    </row>
    <row r="222" spans="1:16" x14ac:dyDescent="0.35">
      <c r="A222" t="s">
        <v>382</v>
      </c>
      <c r="B222">
        <v>45341</v>
      </c>
      <c r="C222" t="s">
        <v>28</v>
      </c>
      <c r="D222">
        <v>49</v>
      </c>
      <c r="E222" t="s">
        <v>23</v>
      </c>
      <c r="F222" t="s">
        <v>24</v>
      </c>
      <c r="G222" t="s">
        <v>25</v>
      </c>
      <c r="H222" t="s">
        <v>32</v>
      </c>
      <c r="I222">
        <v>112.84</v>
      </c>
      <c r="J222">
        <v>23139</v>
      </c>
      <c r="K222">
        <v>508</v>
      </c>
      <c r="L222">
        <v>395</v>
      </c>
      <c r="M222">
        <v>3</v>
      </c>
      <c r="N222">
        <v>2.195427633</v>
      </c>
      <c r="O222">
        <v>77.755905510000005</v>
      </c>
      <c r="P222">
        <v>3</v>
      </c>
    </row>
    <row r="223" spans="1:16" x14ac:dyDescent="0.35">
      <c r="A223" t="s">
        <v>383</v>
      </c>
      <c r="B223">
        <v>45609</v>
      </c>
      <c r="C223" t="s">
        <v>384</v>
      </c>
      <c r="D223">
        <v>54</v>
      </c>
      <c r="E223" t="s">
        <v>29</v>
      </c>
      <c r="F223" t="s">
        <v>45</v>
      </c>
      <c r="G223" t="s">
        <v>46</v>
      </c>
      <c r="H223" t="s">
        <v>32</v>
      </c>
      <c r="I223">
        <v>651.14</v>
      </c>
      <c r="J223">
        <v>17054</v>
      </c>
      <c r="K223">
        <v>2952</v>
      </c>
      <c r="L223">
        <v>319</v>
      </c>
      <c r="M223">
        <v>4</v>
      </c>
      <c r="N223">
        <v>17.309722059999999</v>
      </c>
      <c r="O223">
        <v>10.80623306</v>
      </c>
      <c r="P223">
        <v>4</v>
      </c>
    </row>
    <row r="224" spans="1:16" x14ac:dyDescent="0.35">
      <c r="A224" t="s">
        <v>385</v>
      </c>
      <c r="B224">
        <v>45515</v>
      </c>
      <c r="C224" t="s">
        <v>386</v>
      </c>
      <c r="D224">
        <v>51</v>
      </c>
      <c r="E224" t="s">
        <v>29</v>
      </c>
      <c r="F224" t="s">
        <v>45</v>
      </c>
      <c r="G224" t="s">
        <v>46</v>
      </c>
      <c r="H224" t="s">
        <v>62</v>
      </c>
      <c r="I224">
        <v>1451.52</v>
      </c>
      <c r="J224">
        <v>45447</v>
      </c>
      <c r="K224">
        <v>1539</v>
      </c>
      <c r="L224">
        <v>371</v>
      </c>
      <c r="M224">
        <v>5</v>
      </c>
      <c r="N224">
        <v>3.3863621359999998</v>
      </c>
      <c r="O224">
        <v>24.106562700000001</v>
      </c>
      <c r="P224">
        <v>5</v>
      </c>
    </row>
    <row r="225" spans="1:16" x14ac:dyDescent="0.35">
      <c r="A225" t="s">
        <v>387</v>
      </c>
      <c r="B225">
        <v>45427</v>
      </c>
      <c r="C225" t="s">
        <v>100</v>
      </c>
      <c r="D225">
        <v>27</v>
      </c>
      <c r="E225" t="s">
        <v>29</v>
      </c>
      <c r="F225" t="s">
        <v>57</v>
      </c>
      <c r="G225" t="s">
        <v>42</v>
      </c>
      <c r="H225" t="s">
        <v>32</v>
      </c>
      <c r="I225">
        <v>1895.22</v>
      </c>
      <c r="J225">
        <v>30197</v>
      </c>
      <c r="K225">
        <v>296</v>
      </c>
      <c r="L225">
        <v>36</v>
      </c>
      <c r="N225">
        <v>0.98022982400000003</v>
      </c>
      <c r="O225">
        <v>12.162162159999999</v>
      </c>
      <c r="P225">
        <v>3</v>
      </c>
    </row>
    <row r="226" spans="1:16" x14ac:dyDescent="0.35">
      <c r="A226" t="s">
        <v>388</v>
      </c>
      <c r="B226">
        <v>45384</v>
      </c>
      <c r="C226" t="s">
        <v>132</v>
      </c>
      <c r="D226">
        <v>47</v>
      </c>
      <c r="E226" t="s">
        <v>23</v>
      </c>
      <c r="F226" t="s">
        <v>45</v>
      </c>
      <c r="G226" t="s">
        <v>46</v>
      </c>
      <c r="H226" t="s">
        <v>62</v>
      </c>
      <c r="I226">
        <v>336.05</v>
      </c>
      <c r="J226">
        <v>5603</v>
      </c>
      <c r="K226">
        <v>734</v>
      </c>
      <c r="L226">
        <v>44</v>
      </c>
      <c r="M226">
        <v>1</v>
      </c>
      <c r="N226">
        <v>13.10012493</v>
      </c>
      <c r="O226">
        <v>5.9945504090000004</v>
      </c>
      <c r="P226">
        <v>1</v>
      </c>
    </row>
    <row r="227" spans="1:16" x14ac:dyDescent="0.35">
      <c r="A227" t="s">
        <v>389</v>
      </c>
      <c r="B227">
        <v>45606</v>
      </c>
      <c r="C227" t="s">
        <v>261</v>
      </c>
      <c r="D227">
        <v>32</v>
      </c>
      <c r="E227" t="s">
        <v>29</v>
      </c>
      <c r="F227" t="s">
        <v>41</v>
      </c>
      <c r="G227" t="s">
        <v>46</v>
      </c>
      <c r="H227" t="s">
        <v>62</v>
      </c>
      <c r="I227">
        <v>1731.3</v>
      </c>
      <c r="J227">
        <v>43938</v>
      </c>
      <c r="K227">
        <v>4680</v>
      </c>
      <c r="L227">
        <v>297</v>
      </c>
      <c r="N227">
        <v>10.651372390000001</v>
      </c>
      <c r="O227">
        <v>6.346153846</v>
      </c>
      <c r="P227">
        <v>3</v>
      </c>
    </row>
    <row r="228" spans="1:16" x14ac:dyDescent="0.35">
      <c r="A228" t="s">
        <v>390</v>
      </c>
      <c r="B228">
        <v>45470</v>
      </c>
      <c r="C228" t="s">
        <v>391</v>
      </c>
      <c r="D228">
        <v>20</v>
      </c>
      <c r="E228" t="s">
        <v>23</v>
      </c>
      <c r="F228" t="s">
        <v>45</v>
      </c>
      <c r="G228" t="s">
        <v>42</v>
      </c>
      <c r="H228" t="s">
        <v>32</v>
      </c>
      <c r="I228">
        <v>1564.51</v>
      </c>
      <c r="J228">
        <v>18743</v>
      </c>
      <c r="K228">
        <v>4432</v>
      </c>
      <c r="L228">
        <v>314</v>
      </c>
      <c r="M228">
        <v>3</v>
      </c>
      <c r="N228">
        <v>23.646161230000001</v>
      </c>
      <c r="O228">
        <v>7.0848375450000001</v>
      </c>
      <c r="P228">
        <v>3</v>
      </c>
    </row>
    <row r="229" spans="1:16" x14ac:dyDescent="0.35">
      <c r="A229" t="s">
        <v>392</v>
      </c>
      <c r="B229">
        <v>45468</v>
      </c>
      <c r="C229" t="s">
        <v>393</v>
      </c>
      <c r="D229">
        <v>27</v>
      </c>
      <c r="E229" t="s">
        <v>29</v>
      </c>
      <c r="F229" t="s">
        <v>30</v>
      </c>
      <c r="G229" t="s">
        <v>61</v>
      </c>
      <c r="H229" t="s">
        <v>62</v>
      </c>
      <c r="I229">
        <v>884.06</v>
      </c>
      <c r="J229">
        <v>33765</v>
      </c>
      <c r="K229">
        <v>3602</v>
      </c>
      <c r="L229">
        <v>71</v>
      </c>
      <c r="M229">
        <v>2</v>
      </c>
      <c r="N229">
        <v>10.66785133</v>
      </c>
      <c r="O229">
        <v>1.971127152</v>
      </c>
      <c r="P229">
        <v>2</v>
      </c>
    </row>
    <row r="230" spans="1:16" x14ac:dyDescent="0.35">
      <c r="A230" t="s">
        <v>394</v>
      </c>
      <c r="B230">
        <v>45626</v>
      </c>
      <c r="C230" t="s">
        <v>395</v>
      </c>
      <c r="D230">
        <v>29</v>
      </c>
      <c r="E230" t="s">
        <v>35</v>
      </c>
      <c r="F230" t="s">
        <v>45</v>
      </c>
      <c r="G230" t="s">
        <v>42</v>
      </c>
      <c r="H230" t="s">
        <v>32</v>
      </c>
      <c r="I230">
        <v>1875.48</v>
      </c>
      <c r="J230">
        <v>32952</v>
      </c>
      <c r="K230">
        <v>901</v>
      </c>
      <c r="L230">
        <v>392</v>
      </c>
      <c r="M230">
        <v>4</v>
      </c>
      <c r="N230">
        <v>2.7342801649999999</v>
      </c>
      <c r="O230">
        <v>43.507214210000001</v>
      </c>
      <c r="P230">
        <v>4</v>
      </c>
    </row>
    <row r="231" spans="1:16" x14ac:dyDescent="0.35">
      <c r="A231" t="s">
        <v>396</v>
      </c>
      <c r="B231">
        <v>45339</v>
      </c>
      <c r="C231" t="s">
        <v>259</v>
      </c>
      <c r="D231">
        <v>19</v>
      </c>
      <c r="E231" t="s">
        <v>35</v>
      </c>
      <c r="F231" t="s">
        <v>50</v>
      </c>
      <c r="G231" t="s">
        <v>25</v>
      </c>
      <c r="H231" t="s">
        <v>62</v>
      </c>
      <c r="I231">
        <v>1087.97</v>
      </c>
      <c r="J231">
        <v>20564</v>
      </c>
      <c r="K231">
        <v>534</v>
      </c>
      <c r="L231">
        <v>6</v>
      </c>
      <c r="M231">
        <v>5</v>
      </c>
      <c r="N231">
        <v>2.5967710560000001</v>
      </c>
      <c r="O231">
        <v>1.123595506</v>
      </c>
      <c r="P231">
        <v>5</v>
      </c>
    </row>
    <row r="232" spans="1:16" x14ac:dyDescent="0.35">
      <c r="A232" t="s">
        <v>397</v>
      </c>
      <c r="B232">
        <v>45418</v>
      </c>
      <c r="C232" t="s">
        <v>297</v>
      </c>
      <c r="D232">
        <v>52</v>
      </c>
      <c r="E232" t="s">
        <v>29</v>
      </c>
      <c r="F232" t="s">
        <v>24</v>
      </c>
      <c r="G232" t="s">
        <v>42</v>
      </c>
      <c r="H232" t="s">
        <v>26</v>
      </c>
      <c r="I232">
        <v>715.4</v>
      </c>
      <c r="J232">
        <v>47785</v>
      </c>
      <c r="K232">
        <v>3256</v>
      </c>
      <c r="L232">
        <v>314</v>
      </c>
      <c r="N232">
        <v>6.81385372</v>
      </c>
      <c r="O232">
        <v>9.6437346440000002</v>
      </c>
      <c r="P232">
        <v>3</v>
      </c>
    </row>
    <row r="233" spans="1:16" x14ac:dyDescent="0.35">
      <c r="A233" t="s">
        <v>398</v>
      </c>
      <c r="B233">
        <v>45503</v>
      </c>
      <c r="C233" t="s">
        <v>270</v>
      </c>
      <c r="D233">
        <v>35</v>
      </c>
      <c r="E233" t="s">
        <v>29</v>
      </c>
      <c r="F233" t="s">
        <v>57</v>
      </c>
      <c r="G233" t="s">
        <v>42</v>
      </c>
      <c r="H233" t="s">
        <v>36</v>
      </c>
      <c r="I233">
        <v>867.52</v>
      </c>
      <c r="J233">
        <v>23149</v>
      </c>
      <c r="K233">
        <v>3981</v>
      </c>
      <c r="L233">
        <v>71</v>
      </c>
      <c r="M233">
        <v>5</v>
      </c>
      <c r="N233">
        <v>17.19728714</v>
      </c>
      <c r="O233">
        <v>1.7834714899999999</v>
      </c>
      <c r="P233">
        <v>5</v>
      </c>
    </row>
    <row r="234" spans="1:16" x14ac:dyDescent="0.35">
      <c r="A234" t="s">
        <v>399</v>
      </c>
      <c r="B234">
        <v>45397</v>
      </c>
      <c r="C234" t="s">
        <v>286</v>
      </c>
      <c r="D234">
        <v>23</v>
      </c>
      <c r="E234" t="s">
        <v>23</v>
      </c>
      <c r="F234" t="s">
        <v>41</v>
      </c>
      <c r="G234" t="s">
        <v>42</v>
      </c>
      <c r="H234" t="s">
        <v>32</v>
      </c>
      <c r="I234">
        <v>526.45000000000005</v>
      </c>
      <c r="J234">
        <v>24687</v>
      </c>
      <c r="K234">
        <v>3886</v>
      </c>
      <c r="L234">
        <v>260</v>
      </c>
      <c r="M234">
        <v>5</v>
      </c>
      <c r="N234">
        <v>15.7410783</v>
      </c>
      <c r="O234">
        <v>6.6906845080000004</v>
      </c>
      <c r="P234">
        <v>5</v>
      </c>
    </row>
    <row r="235" spans="1:16" x14ac:dyDescent="0.35">
      <c r="A235" t="s">
        <v>400</v>
      </c>
      <c r="B235">
        <v>45369</v>
      </c>
      <c r="C235" t="s">
        <v>378</v>
      </c>
      <c r="D235">
        <v>56</v>
      </c>
      <c r="E235" t="s">
        <v>29</v>
      </c>
      <c r="F235" t="s">
        <v>41</v>
      </c>
      <c r="G235" t="s">
        <v>46</v>
      </c>
      <c r="H235" t="s">
        <v>26</v>
      </c>
      <c r="I235">
        <v>880.74</v>
      </c>
      <c r="J235">
        <v>1867</v>
      </c>
      <c r="K235">
        <v>4531</v>
      </c>
      <c r="L235">
        <v>230</v>
      </c>
      <c r="M235">
        <v>4</v>
      </c>
      <c r="N235">
        <v>242.68880559999999</v>
      </c>
      <c r="O235">
        <v>5.0761421320000002</v>
      </c>
      <c r="P235">
        <v>4</v>
      </c>
    </row>
    <row r="236" spans="1:16" x14ac:dyDescent="0.35">
      <c r="A236" t="s">
        <v>401</v>
      </c>
      <c r="B236">
        <v>45316</v>
      </c>
      <c r="C236" t="s">
        <v>126</v>
      </c>
      <c r="D236">
        <v>49</v>
      </c>
      <c r="E236" t="s">
        <v>35</v>
      </c>
      <c r="F236" t="s">
        <v>50</v>
      </c>
      <c r="G236" t="s">
        <v>46</v>
      </c>
      <c r="H236" t="s">
        <v>26</v>
      </c>
      <c r="I236">
        <v>1305.48</v>
      </c>
      <c r="J236">
        <v>48180</v>
      </c>
      <c r="K236">
        <v>3428</v>
      </c>
      <c r="L236">
        <v>235</v>
      </c>
      <c r="M236">
        <v>3</v>
      </c>
      <c r="N236">
        <v>7.1149854709999998</v>
      </c>
      <c r="O236">
        <v>6.8553092180000004</v>
      </c>
      <c r="P236">
        <v>3</v>
      </c>
    </row>
    <row r="237" spans="1:16" x14ac:dyDescent="0.35">
      <c r="A237" t="s">
        <v>402</v>
      </c>
      <c r="B237">
        <v>45359</v>
      </c>
      <c r="C237" t="s">
        <v>90</v>
      </c>
      <c r="D237">
        <v>32</v>
      </c>
      <c r="E237" t="s">
        <v>29</v>
      </c>
      <c r="F237" t="s">
        <v>50</v>
      </c>
      <c r="G237" t="s">
        <v>61</v>
      </c>
      <c r="H237" t="s">
        <v>32</v>
      </c>
      <c r="I237">
        <v>785.75</v>
      </c>
      <c r="J237">
        <v>12360</v>
      </c>
      <c r="K237">
        <v>830</v>
      </c>
      <c r="L237">
        <v>338</v>
      </c>
      <c r="M237">
        <v>3</v>
      </c>
      <c r="N237">
        <v>6.715210356</v>
      </c>
      <c r="O237">
        <v>40.722891570000002</v>
      </c>
      <c r="P237">
        <v>3</v>
      </c>
    </row>
    <row r="238" spans="1:16" x14ac:dyDescent="0.35">
      <c r="A238" t="s">
        <v>403</v>
      </c>
      <c r="B238">
        <v>45341</v>
      </c>
      <c r="C238" t="s">
        <v>404</v>
      </c>
      <c r="D238">
        <v>35</v>
      </c>
      <c r="E238" t="s">
        <v>23</v>
      </c>
      <c r="F238" t="s">
        <v>50</v>
      </c>
      <c r="G238" t="s">
        <v>31</v>
      </c>
      <c r="H238" t="s">
        <v>62</v>
      </c>
      <c r="I238">
        <v>307.75</v>
      </c>
      <c r="J238">
        <v>37454</v>
      </c>
      <c r="K238">
        <v>2046</v>
      </c>
      <c r="L238">
        <v>25</v>
      </c>
      <c r="M238">
        <v>3</v>
      </c>
      <c r="N238">
        <v>5.4627009129999999</v>
      </c>
      <c r="O238">
        <v>1.221896383</v>
      </c>
      <c r="P238">
        <v>3</v>
      </c>
    </row>
    <row r="239" spans="1:16" x14ac:dyDescent="0.35">
      <c r="A239" t="s">
        <v>405</v>
      </c>
      <c r="B239">
        <v>45325</v>
      </c>
      <c r="C239" t="s">
        <v>406</v>
      </c>
      <c r="D239">
        <v>40</v>
      </c>
      <c r="E239" t="s">
        <v>29</v>
      </c>
      <c r="F239" t="s">
        <v>30</v>
      </c>
      <c r="G239" t="s">
        <v>25</v>
      </c>
      <c r="H239" t="s">
        <v>26</v>
      </c>
      <c r="I239">
        <v>1845.67</v>
      </c>
      <c r="J239">
        <v>29637</v>
      </c>
      <c r="K239">
        <v>3427</v>
      </c>
      <c r="L239">
        <v>256</v>
      </c>
      <c r="M239">
        <v>2</v>
      </c>
      <c r="N239">
        <v>11.563248639999999</v>
      </c>
      <c r="O239">
        <v>7.4700904579999996</v>
      </c>
      <c r="P239">
        <v>2</v>
      </c>
    </row>
    <row r="240" spans="1:16" x14ac:dyDescent="0.35">
      <c r="A240" t="s">
        <v>407</v>
      </c>
      <c r="B240">
        <v>45623</v>
      </c>
      <c r="C240" t="s">
        <v>369</v>
      </c>
      <c r="D240">
        <v>34</v>
      </c>
      <c r="E240" t="s">
        <v>23</v>
      </c>
      <c r="F240" t="s">
        <v>50</v>
      </c>
      <c r="G240" t="s">
        <v>46</v>
      </c>
      <c r="H240" t="s">
        <v>36</v>
      </c>
      <c r="I240">
        <v>1466.41</v>
      </c>
      <c r="J240">
        <v>40785</v>
      </c>
      <c r="K240">
        <v>294</v>
      </c>
      <c r="L240">
        <v>309</v>
      </c>
      <c r="M240">
        <v>5</v>
      </c>
      <c r="N240">
        <v>0.72085325499999997</v>
      </c>
      <c r="O240">
        <v>105.1020408</v>
      </c>
      <c r="P240">
        <v>5</v>
      </c>
    </row>
    <row r="241" spans="1:16" x14ac:dyDescent="0.35">
      <c r="A241" t="s">
        <v>408</v>
      </c>
      <c r="B241">
        <v>45639</v>
      </c>
      <c r="C241" t="s">
        <v>409</v>
      </c>
      <c r="E241" t="s">
        <v>23</v>
      </c>
      <c r="F241" t="s">
        <v>771</v>
      </c>
      <c r="G241" t="s">
        <v>42</v>
      </c>
      <c r="H241" t="s">
        <v>26</v>
      </c>
      <c r="I241">
        <v>394.75</v>
      </c>
      <c r="J241">
        <v>39706</v>
      </c>
      <c r="K241">
        <v>3487</v>
      </c>
      <c r="L241">
        <v>331</v>
      </c>
      <c r="N241">
        <v>8.7820480530000005</v>
      </c>
      <c r="O241">
        <v>9.492400344</v>
      </c>
      <c r="P241">
        <v>3</v>
      </c>
    </row>
    <row r="242" spans="1:16" x14ac:dyDescent="0.35">
      <c r="A242" t="s">
        <v>410</v>
      </c>
      <c r="B242">
        <v>45360</v>
      </c>
      <c r="C242" t="s">
        <v>44</v>
      </c>
      <c r="D242">
        <v>57</v>
      </c>
      <c r="E242" t="s">
        <v>23</v>
      </c>
      <c r="F242" t="s">
        <v>50</v>
      </c>
      <c r="G242" t="s">
        <v>46</v>
      </c>
      <c r="H242" t="s">
        <v>36</v>
      </c>
      <c r="I242">
        <v>1661.73</v>
      </c>
      <c r="J242">
        <v>32350</v>
      </c>
      <c r="K242">
        <v>4136</v>
      </c>
      <c r="L242">
        <v>82</v>
      </c>
      <c r="M242">
        <v>5</v>
      </c>
      <c r="N242">
        <v>12.785162290000001</v>
      </c>
      <c r="O242">
        <v>1.9825918760000001</v>
      </c>
      <c r="P242">
        <v>5</v>
      </c>
    </row>
    <row r="243" spans="1:16" x14ac:dyDescent="0.35">
      <c r="A243" t="s">
        <v>411</v>
      </c>
      <c r="B243">
        <v>45522</v>
      </c>
      <c r="C243" t="s">
        <v>210</v>
      </c>
      <c r="E243" t="s">
        <v>23</v>
      </c>
      <c r="F243" t="s">
        <v>771</v>
      </c>
      <c r="G243" t="s">
        <v>31</v>
      </c>
      <c r="H243" t="s">
        <v>36</v>
      </c>
      <c r="I243">
        <v>1903.52</v>
      </c>
      <c r="J243">
        <v>7720</v>
      </c>
      <c r="K243">
        <v>2503</v>
      </c>
      <c r="L243">
        <v>312</v>
      </c>
      <c r="N243">
        <v>32.422279789999997</v>
      </c>
      <c r="O243">
        <v>12.46504195</v>
      </c>
      <c r="P243">
        <v>3</v>
      </c>
    </row>
    <row r="244" spans="1:16" x14ac:dyDescent="0.35">
      <c r="A244" t="s">
        <v>412</v>
      </c>
      <c r="B244">
        <v>45387</v>
      </c>
      <c r="C244" t="s">
        <v>243</v>
      </c>
      <c r="D244">
        <v>20</v>
      </c>
      <c r="E244" t="s">
        <v>23</v>
      </c>
      <c r="F244" t="s">
        <v>41</v>
      </c>
      <c r="G244" t="s">
        <v>25</v>
      </c>
      <c r="H244" t="s">
        <v>36</v>
      </c>
      <c r="I244">
        <v>598.57000000000005</v>
      </c>
      <c r="J244">
        <v>30323</v>
      </c>
      <c r="K244">
        <v>2913</v>
      </c>
      <c r="L244">
        <v>265</v>
      </c>
      <c r="M244">
        <v>1</v>
      </c>
      <c r="N244">
        <v>9.6065692709999997</v>
      </c>
      <c r="O244">
        <v>9.0971507040000006</v>
      </c>
      <c r="P244">
        <v>1</v>
      </c>
    </row>
    <row r="245" spans="1:16" x14ac:dyDescent="0.35">
      <c r="A245" t="s">
        <v>413</v>
      </c>
      <c r="B245">
        <v>45417</v>
      </c>
      <c r="C245" t="s">
        <v>414</v>
      </c>
      <c r="D245">
        <v>40</v>
      </c>
      <c r="E245" t="s">
        <v>35</v>
      </c>
      <c r="F245" t="s">
        <v>41</v>
      </c>
      <c r="G245" t="s">
        <v>31</v>
      </c>
      <c r="H245" t="s">
        <v>36</v>
      </c>
      <c r="I245">
        <v>1099.93</v>
      </c>
      <c r="J245">
        <v>35184</v>
      </c>
      <c r="K245">
        <v>2740</v>
      </c>
      <c r="L245">
        <v>31</v>
      </c>
      <c r="M245">
        <v>3</v>
      </c>
      <c r="N245">
        <v>7.7876307410000001</v>
      </c>
      <c r="O245">
        <v>1.131386861</v>
      </c>
      <c r="P245">
        <v>3</v>
      </c>
    </row>
    <row r="246" spans="1:16" x14ac:dyDescent="0.35">
      <c r="A246" t="s">
        <v>415</v>
      </c>
      <c r="B246">
        <v>45543</v>
      </c>
      <c r="C246" t="s">
        <v>329</v>
      </c>
      <c r="D246">
        <v>22</v>
      </c>
      <c r="E246" t="s">
        <v>23</v>
      </c>
      <c r="F246" t="s">
        <v>45</v>
      </c>
      <c r="G246" t="s">
        <v>46</v>
      </c>
      <c r="H246" t="s">
        <v>62</v>
      </c>
      <c r="I246">
        <v>1870.23</v>
      </c>
      <c r="J246">
        <v>4858</v>
      </c>
      <c r="K246">
        <v>2255</v>
      </c>
      <c r="L246">
        <v>205</v>
      </c>
      <c r="N246">
        <v>46.418279130000002</v>
      </c>
      <c r="O246">
        <v>9.0909090910000003</v>
      </c>
      <c r="P246">
        <v>3</v>
      </c>
    </row>
    <row r="247" spans="1:16" x14ac:dyDescent="0.35">
      <c r="A247" t="s">
        <v>416</v>
      </c>
      <c r="B247">
        <v>45353</v>
      </c>
      <c r="C247" t="s">
        <v>329</v>
      </c>
      <c r="D247">
        <v>64</v>
      </c>
      <c r="E247" t="s">
        <v>23</v>
      </c>
      <c r="F247" t="s">
        <v>24</v>
      </c>
      <c r="G247" t="s">
        <v>61</v>
      </c>
      <c r="H247" t="s">
        <v>32</v>
      </c>
      <c r="I247">
        <v>699.4</v>
      </c>
      <c r="J247">
        <v>16566</v>
      </c>
      <c r="K247">
        <v>4254</v>
      </c>
      <c r="L247">
        <v>29</v>
      </c>
      <c r="M247">
        <v>1</v>
      </c>
      <c r="N247">
        <v>25.679101769999999</v>
      </c>
      <c r="O247">
        <v>0.68171133100000003</v>
      </c>
      <c r="P247">
        <v>1</v>
      </c>
    </row>
    <row r="248" spans="1:16" x14ac:dyDescent="0.35">
      <c r="A248" t="s">
        <v>417</v>
      </c>
      <c r="B248">
        <v>45642</v>
      </c>
      <c r="C248" t="s">
        <v>418</v>
      </c>
      <c r="D248">
        <v>51</v>
      </c>
      <c r="E248" t="s">
        <v>35</v>
      </c>
      <c r="F248" t="s">
        <v>45</v>
      </c>
      <c r="G248" t="s">
        <v>25</v>
      </c>
      <c r="H248" t="s">
        <v>62</v>
      </c>
      <c r="I248">
        <v>758.46</v>
      </c>
      <c r="J248">
        <v>34903</v>
      </c>
      <c r="K248">
        <v>1492</v>
      </c>
      <c r="L248">
        <v>340</v>
      </c>
      <c r="M248">
        <v>5</v>
      </c>
      <c r="N248">
        <v>4.2747041799999996</v>
      </c>
      <c r="O248">
        <v>22.788203750000001</v>
      </c>
      <c r="P248">
        <v>5</v>
      </c>
    </row>
    <row r="249" spans="1:16" x14ac:dyDescent="0.35">
      <c r="A249" t="s">
        <v>419</v>
      </c>
      <c r="B249">
        <v>45370</v>
      </c>
      <c r="C249" t="s">
        <v>152</v>
      </c>
      <c r="D249">
        <v>57</v>
      </c>
      <c r="E249" t="s">
        <v>29</v>
      </c>
      <c r="F249" t="s">
        <v>24</v>
      </c>
      <c r="G249" t="s">
        <v>25</v>
      </c>
      <c r="H249" t="s">
        <v>26</v>
      </c>
      <c r="I249">
        <v>411.03</v>
      </c>
      <c r="J249">
        <v>5499</v>
      </c>
      <c r="K249">
        <v>1550</v>
      </c>
      <c r="L249">
        <v>18</v>
      </c>
      <c r="M249">
        <v>3</v>
      </c>
      <c r="N249">
        <v>28.186943079999999</v>
      </c>
      <c r="O249">
        <v>1.161290323</v>
      </c>
      <c r="P249">
        <v>3</v>
      </c>
    </row>
    <row r="250" spans="1:16" x14ac:dyDescent="0.35">
      <c r="A250" t="s">
        <v>420</v>
      </c>
      <c r="B250">
        <v>45656</v>
      </c>
      <c r="C250" t="s">
        <v>354</v>
      </c>
      <c r="D250">
        <v>50</v>
      </c>
      <c r="E250" t="s">
        <v>35</v>
      </c>
      <c r="F250" t="s">
        <v>24</v>
      </c>
      <c r="G250" t="s">
        <v>31</v>
      </c>
      <c r="H250" t="s">
        <v>26</v>
      </c>
      <c r="I250">
        <v>946.44</v>
      </c>
      <c r="J250">
        <v>30703</v>
      </c>
      <c r="K250">
        <v>2607</v>
      </c>
      <c r="L250">
        <v>289</v>
      </c>
      <c r="M250">
        <v>4</v>
      </c>
      <c r="N250">
        <v>8.4910269350000007</v>
      </c>
      <c r="O250">
        <v>11.08553893</v>
      </c>
      <c r="P250">
        <v>4</v>
      </c>
    </row>
    <row r="251" spans="1:16" x14ac:dyDescent="0.35">
      <c r="A251" t="s">
        <v>421</v>
      </c>
      <c r="B251">
        <v>45368</v>
      </c>
      <c r="C251" t="s">
        <v>195</v>
      </c>
      <c r="D251">
        <v>42</v>
      </c>
      <c r="E251" t="s">
        <v>23</v>
      </c>
      <c r="F251" t="s">
        <v>57</v>
      </c>
      <c r="G251" t="s">
        <v>25</v>
      </c>
      <c r="H251" t="s">
        <v>26</v>
      </c>
      <c r="I251">
        <v>1811.41</v>
      </c>
      <c r="J251">
        <v>23980</v>
      </c>
      <c r="K251">
        <v>1485</v>
      </c>
      <c r="L251">
        <v>384</v>
      </c>
      <c r="N251">
        <v>6.1926605500000003</v>
      </c>
      <c r="O251">
        <v>25.858585860000002</v>
      </c>
      <c r="P251">
        <v>3</v>
      </c>
    </row>
    <row r="252" spans="1:16" x14ac:dyDescent="0.35">
      <c r="A252" t="s">
        <v>422</v>
      </c>
      <c r="B252">
        <v>45414</v>
      </c>
      <c r="C252" t="s">
        <v>423</v>
      </c>
      <c r="D252">
        <v>28</v>
      </c>
      <c r="E252" t="s">
        <v>35</v>
      </c>
      <c r="F252" t="s">
        <v>57</v>
      </c>
      <c r="G252" t="s">
        <v>42</v>
      </c>
      <c r="H252" t="s">
        <v>32</v>
      </c>
      <c r="I252">
        <v>1934.61</v>
      </c>
      <c r="J252">
        <v>7195</v>
      </c>
      <c r="K252">
        <v>3150</v>
      </c>
      <c r="L252">
        <v>324</v>
      </c>
      <c r="N252">
        <v>43.780403059999998</v>
      </c>
      <c r="O252">
        <v>10.28571429</v>
      </c>
      <c r="P252">
        <v>3</v>
      </c>
    </row>
    <row r="253" spans="1:16" x14ac:dyDescent="0.35">
      <c r="A253" t="s">
        <v>424</v>
      </c>
      <c r="B253">
        <v>45645</v>
      </c>
      <c r="C253" t="s">
        <v>95</v>
      </c>
      <c r="D253">
        <v>34</v>
      </c>
      <c r="E253" t="s">
        <v>35</v>
      </c>
      <c r="F253" t="s">
        <v>50</v>
      </c>
      <c r="G253" t="s">
        <v>46</v>
      </c>
      <c r="H253" t="s">
        <v>32</v>
      </c>
      <c r="I253">
        <v>359.82</v>
      </c>
      <c r="J253">
        <v>29915</v>
      </c>
      <c r="K253">
        <v>1376</v>
      </c>
      <c r="L253">
        <v>360</v>
      </c>
      <c r="M253">
        <v>3</v>
      </c>
      <c r="N253">
        <v>4.599699148</v>
      </c>
      <c r="O253">
        <v>26.162790699999999</v>
      </c>
      <c r="P253">
        <v>3</v>
      </c>
    </row>
    <row r="254" spans="1:16" x14ac:dyDescent="0.35">
      <c r="A254" t="s">
        <v>425</v>
      </c>
      <c r="B254">
        <v>45300</v>
      </c>
      <c r="C254" t="s">
        <v>126</v>
      </c>
      <c r="D254">
        <v>59</v>
      </c>
      <c r="E254" t="s">
        <v>29</v>
      </c>
      <c r="F254" t="s">
        <v>30</v>
      </c>
      <c r="G254" t="s">
        <v>31</v>
      </c>
      <c r="H254" t="s">
        <v>26</v>
      </c>
      <c r="I254">
        <v>1861.2</v>
      </c>
      <c r="J254">
        <v>22153</v>
      </c>
      <c r="K254">
        <v>1966</v>
      </c>
      <c r="L254">
        <v>127</v>
      </c>
      <c r="M254">
        <v>2</v>
      </c>
      <c r="N254">
        <v>8.8746445180000002</v>
      </c>
      <c r="O254">
        <v>6.4598168869999997</v>
      </c>
      <c r="P254">
        <v>2</v>
      </c>
    </row>
    <row r="255" spans="1:16" x14ac:dyDescent="0.35">
      <c r="A255" t="s">
        <v>426</v>
      </c>
      <c r="B255">
        <v>45472</v>
      </c>
      <c r="C255" t="s">
        <v>59</v>
      </c>
      <c r="D255">
        <v>50</v>
      </c>
      <c r="E255" t="s">
        <v>23</v>
      </c>
      <c r="F255" t="s">
        <v>41</v>
      </c>
      <c r="G255" t="s">
        <v>46</v>
      </c>
      <c r="H255" t="s">
        <v>26</v>
      </c>
      <c r="I255">
        <v>431.94</v>
      </c>
      <c r="J255">
        <v>13414</v>
      </c>
      <c r="K255">
        <v>1643</v>
      </c>
      <c r="L255">
        <v>22</v>
      </c>
      <c r="M255">
        <v>4</v>
      </c>
      <c r="N255">
        <v>12.248397199999999</v>
      </c>
      <c r="O255">
        <v>1.3390139990000001</v>
      </c>
      <c r="P255">
        <v>4</v>
      </c>
    </row>
    <row r="256" spans="1:16" x14ac:dyDescent="0.35">
      <c r="A256" t="s">
        <v>427</v>
      </c>
      <c r="B256">
        <v>45386</v>
      </c>
      <c r="C256" t="s">
        <v>428</v>
      </c>
      <c r="D256">
        <v>61</v>
      </c>
      <c r="E256" t="s">
        <v>29</v>
      </c>
      <c r="F256" t="s">
        <v>24</v>
      </c>
      <c r="G256" t="s">
        <v>25</v>
      </c>
      <c r="H256" t="s">
        <v>36</v>
      </c>
      <c r="I256">
        <v>1762.48</v>
      </c>
      <c r="J256">
        <v>32047</v>
      </c>
      <c r="K256">
        <v>3075</v>
      </c>
      <c r="L256">
        <v>15</v>
      </c>
      <c r="N256">
        <v>9.5952819300000005</v>
      </c>
      <c r="O256">
        <v>0.487804878</v>
      </c>
      <c r="P256">
        <v>3</v>
      </c>
    </row>
    <row r="257" spans="1:16" x14ac:dyDescent="0.35">
      <c r="A257" t="s">
        <v>429</v>
      </c>
      <c r="B257">
        <v>45645</v>
      </c>
      <c r="C257" t="s">
        <v>113</v>
      </c>
      <c r="D257">
        <v>37</v>
      </c>
      <c r="E257" t="s">
        <v>35</v>
      </c>
      <c r="F257" t="s">
        <v>30</v>
      </c>
      <c r="G257" t="s">
        <v>46</v>
      </c>
      <c r="H257" t="s">
        <v>36</v>
      </c>
      <c r="I257">
        <v>1601.81</v>
      </c>
      <c r="J257">
        <v>26123</v>
      </c>
      <c r="K257">
        <v>4979</v>
      </c>
      <c r="L257">
        <v>229</v>
      </c>
      <c r="M257">
        <v>2</v>
      </c>
      <c r="N257">
        <v>19.059832329999999</v>
      </c>
      <c r="O257">
        <v>4.5993171320000004</v>
      </c>
      <c r="P257">
        <v>2</v>
      </c>
    </row>
    <row r="258" spans="1:16" x14ac:dyDescent="0.35">
      <c r="A258" t="s">
        <v>430</v>
      </c>
      <c r="B258">
        <v>45499</v>
      </c>
      <c r="C258" t="s">
        <v>212</v>
      </c>
      <c r="D258">
        <v>36</v>
      </c>
      <c r="E258" t="s">
        <v>23</v>
      </c>
      <c r="F258" t="s">
        <v>24</v>
      </c>
      <c r="G258" t="s">
        <v>31</v>
      </c>
      <c r="H258" t="s">
        <v>62</v>
      </c>
      <c r="I258">
        <v>109.48</v>
      </c>
      <c r="J258">
        <v>27149</v>
      </c>
      <c r="K258">
        <v>2463</v>
      </c>
      <c r="L258">
        <v>229</v>
      </c>
      <c r="M258">
        <v>3</v>
      </c>
      <c r="N258">
        <v>9.0721573539999998</v>
      </c>
      <c r="O258">
        <v>9.2976045470000006</v>
      </c>
      <c r="P258">
        <v>3</v>
      </c>
    </row>
    <row r="259" spans="1:16" x14ac:dyDescent="0.35">
      <c r="A259" t="s">
        <v>431</v>
      </c>
      <c r="B259">
        <v>45476</v>
      </c>
      <c r="C259" t="s">
        <v>155</v>
      </c>
      <c r="D259">
        <v>62</v>
      </c>
      <c r="E259" t="s">
        <v>35</v>
      </c>
      <c r="F259" t="s">
        <v>41</v>
      </c>
      <c r="G259" t="s">
        <v>31</v>
      </c>
      <c r="H259" t="s">
        <v>32</v>
      </c>
      <c r="I259">
        <v>776.48</v>
      </c>
      <c r="J259">
        <v>34102</v>
      </c>
      <c r="K259">
        <v>3834</v>
      </c>
      <c r="L259">
        <v>81</v>
      </c>
      <c r="M259">
        <v>2</v>
      </c>
      <c r="N259">
        <v>11.242742359999999</v>
      </c>
      <c r="O259">
        <v>2.1126760560000002</v>
      </c>
      <c r="P259">
        <v>2</v>
      </c>
    </row>
    <row r="260" spans="1:16" x14ac:dyDescent="0.35">
      <c r="A260" t="s">
        <v>432</v>
      </c>
      <c r="B260">
        <v>45473</v>
      </c>
      <c r="C260" t="s">
        <v>378</v>
      </c>
      <c r="D260">
        <v>36</v>
      </c>
      <c r="E260" t="s">
        <v>23</v>
      </c>
      <c r="F260" t="s">
        <v>57</v>
      </c>
      <c r="G260" t="s">
        <v>46</v>
      </c>
      <c r="H260" t="s">
        <v>36</v>
      </c>
      <c r="I260">
        <v>615.96</v>
      </c>
      <c r="J260">
        <v>28673</v>
      </c>
      <c r="K260">
        <v>2909</v>
      </c>
      <c r="L260">
        <v>5</v>
      </c>
      <c r="N260">
        <v>10.14543299</v>
      </c>
      <c r="O260">
        <v>0.171880371</v>
      </c>
      <c r="P260">
        <v>3</v>
      </c>
    </row>
    <row r="261" spans="1:16" x14ac:dyDescent="0.35">
      <c r="A261" t="s">
        <v>433</v>
      </c>
      <c r="B261">
        <v>45326</v>
      </c>
      <c r="C261" t="s">
        <v>22</v>
      </c>
      <c r="D261">
        <v>18</v>
      </c>
      <c r="E261" t="s">
        <v>35</v>
      </c>
      <c r="F261" t="s">
        <v>45</v>
      </c>
      <c r="G261" t="s">
        <v>42</v>
      </c>
      <c r="H261" t="s">
        <v>36</v>
      </c>
      <c r="I261">
        <v>1706.15</v>
      </c>
      <c r="J261">
        <v>24320</v>
      </c>
      <c r="K261">
        <v>19</v>
      </c>
      <c r="L261">
        <v>332</v>
      </c>
      <c r="N261">
        <v>7.8125E-2</v>
      </c>
      <c r="O261">
        <v>1747.3684209999999</v>
      </c>
      <c r="P261">
        <v>3</v>
      </c>
    </row>
    <row r="262" spans="1:16" x14ac:dyDescent="0.35">
      <c r="A262" t="s">
        <v>434</v>
      </c>
      <c r="B262">
        <v>45560</v>
      </c>
      <c r="C262" t="s">
        <v>109</v>
      </c>
      <c r="D262">
        <v>30</v>
      </c>
      <c r="E262" t="s">
        <v>35</v>
      </c>
      <c r="F262" t="s">
        <v>57</v>
      </c>
      <c r="G262" t="s">
        <v>31</v>
      </c>
      <c r="H262" t="s">
        <v>26</v>
      </c>
      <c r="I262">
        <v>517.16</v>
      </c>
      <c r="J262">
        <v>47225</v>
      </c>
      <c r="K262">
        <v>983</v>
      </c>
      <c r="L262">
        <v>254</v>
      </c>
      <c r="M262">
        <v>2</v>
      </c>
      <c r="N262">
        <v>2.0815246159999998</v>
      </c>
      <c r="O262">
        <v>25.839267549999999</v>
      </c>
      <c r="P262">
        <v>2</v>
      </c>
    </row>
    <row r="263" spans="1:16" x14ac:dyDescent="0.35">
      <c r="A263" t="s">
        <v>435</v>
      </c>
      <c r="B263">
        <v>45552</v>
      </c>
      <c r="C263" t="s">
        <v>279</v>
      </c>
      <c r="D263">
        <v>63</v>
      </c>
      <c r="E263" t="s">
        <v>29</v>
      </c>
      <c r="F263" t="s">
        <v>30</v>
      </c>
      <c r="G263" t="s">
        <v>61</v>
      </c>
      <c r="H263" t="s">
        <v>36</v>
      </c>
      <c r="I263">
        <v>948.55</v>
      </c>
      <c r="J263">
        <v>41270</v>
      </c>
      <c r="K263">
        <v>3422</v>
      </c>
      <c r="L263">
        <v>106</v>
      </c>
      <c r="M263">
        <v>3</v>
      </c>
      <c r="N263">
        <v>8.2917373390000009</v>
      </c>
      <c r="O263">
        <v>3.0976037409999999</v>
      </c>
      <c r="P263">
        <v>3</v>
      </c>
    </row>
    <row r="264" spans="1:16" x14ac:dyDescent="0.35">
      <c r="A264" t="s">
        <v>436</v>
      </c>
      <c r="B264">
        <v>45336</v>
      </c>
      <c r="C264" t="s">
        <v>181</v>
      </c>
      <c r="D264">
        <v>39</v>
      </c>
      <c r="E264" t="s">
        <v>29</v>
      </c>
      <c r="F264" t="s">
        <v>24</v>
      </c>
      <c r="G264" t="s">
        <v>31</v>
      </c>
      <c r="H264" t="s">
        <v>36</v>
      </c>
      <c r="I264">
        <v>1451.79</v>
      </c>
      <c r="J264">
        <v>5135</v>
      </c>
      <c r="K264">
        <v>275</v>
      </c>
      <c r="L264">
        <v>340</v>
      </c>
      <c r="M264">
        <v>2</v>
      </c>
      <c r="N264">
        <v>5.3554040900000004</v>
      </c>
      <c r="O264">
        <v>123.6363636</v>
      </c>
      <c r="P264">
        <v>2</v>
      </c>
    </row>
    <row r="265" spans="1:16" x14ac:dyDescent="0.35">
      <c r="A265" t="s">
        <v>437</v>
      </c>
      <c r="B265">
        <v>45603</v>
      </c>
      <c r="C265" t="s">
        <v>238</v>
      </c>
      <c r="D265">
        <v>34</v>
      </c>
      <c r="E265" t="s">
        <v>29</v>
      </c>
      <c r="F265" t="s">
        <v>30</v>
      </c>
      <c r="G265" t="s">
        <v>25</v>
      </c>
      <c r="H265" t="s">
        <v>62</v>
      </c>
      <c r="I265">
        <v>1998.65</v>
      </c>
      <c r="J265">
        <v>40015</v>
      </c>
      <c r="K265">
        <v>2666</v>
      </c>
      <c r="L265">
        <v>160</v>
      </c>
      <c r="N265">
        <v>6.6625015620000001</v>
      </c>
      <c r="O265">
        <v>6.001500375</v>
      </c>
      <c r="P265">
        <v>3</v>
      </c>
    </row>
    <row r="266" spans="1:16" x14ac:dyDescent="0.35">
      <c r="A266" t="s">
        <v>438</v>
      </c>
      <c r="B266">
        <v>45568</v>
      </c>
      <c r="C266" t="s">
        <v>105</v>
      </c>
      <c r="D266">
        <v>64</v>
      </c>
      <c r="E266" t="s">
        <v>29</v>
      </c>
      <c r="F266" t="s">
        <v>45</v>
      </c>
      <c r="G266" t="s">
        <v>25</v>
      </c>
      <c r="H266" t="s">
        <v>36</v>
      </c>
      <c r="I266">
        <v>758.2</v>
      </c>
      <c r="J266">
        <v>25415</v>
      </c>
      <c r="K266">
        <v>457</v>
      </c>
      <c r="L266">
        <v>357</v>
      </c>
      <c r="M266">
        <v>5</v>
      </c>
      <c r="N266">
        <v>1.7981506979999999</v>
      </c>
      <c r="O266">
        <v>78.118161929999999</v>
      </c>
      <c r="P266">
        <v>5</v>
      </c>
    </row>
    <row r="267" spans="1:16" x14ac:dyDescent="0.35">
      <c r="A267" t="s">
        <v>439</v>
      </c>
      <c r="B267">
        <v>45591</v>
      </c>
      <c r="C267" t="s">
        <v>88</v>
      </c>
      <c r="D267">
        <v>45</v>
      </c>
      <c r="E267" t="s">
        <v>29</v>
      </c>
      <c r="F267" t="s">
        <v>30</v>
      </c>
      <c r="G267" t="s">
        <v>25</v>
      </c>
      <c r="H267" t="s">
        <v>26</v>
      </c>
      <c r="I267">
        <v>698.36</v>
      </c>
      <c r="J267">
        <v>4391</v>
      </c>
      <c r="K267">
        <v>2248</v>
      </c>
      <c r="L267">
        <v>40</v>
      </c>
      <c r="M267">
        <v>2</v>
      </c>
      <c r="N267">
        <v>51.195627420000001</v>
      </c>
      <c r="O267">
        <v>1.779359431</v>
      </c>
      <c r="P267">
        <v>2</v>
      </c>
    </row>
    <row r="268" spans="1:16" x14ac:dyDescent="0.35">
      <c r="A268" t="s">
        <v>440</v>
      </c>
      <c r="B268">
        <v>45566</v>
      </c>
      <c r="C268" t="s">
        <v>88</v>
      </c>
      <c r="D268">
        <v>36</v>
      </c>
      <c r="E268" t="s">
        <v>29</v>
      </c>
      <c r="F268" t="s">
        <v>50</v>
      </c>
      <c r="G268" t="s">
        <v>46</v>
      </c>
      <c r="H268" t="s">
        <v>62</v>
      </c>
      <c r="I268">
        <v>1089.8499999999999</v>
      </c>
      <c r="J268">
        <v>7470</v>
      </c>
      <c r="K268">
        <v>4068</v>
      </c>
      <c r="L268">
        <v>33</v>
      </c>
      <c r="M268">
        <v>4</v>
      </c>
      <c r="N268">
        <v>54.457831329999998</v>
      </c>
      <c r="O268">
        <v>0.81120943999999995</v>
      </c>
      <c r="P268">
        <v>4</v>
      </c>
    </row>
    <row r="269" spans="1:16" x14ac:dyDescent="0.35">
      <c r="A269" t="s">
        <v>441</v>
      </c>
      <c r="B269">
        <v>45476</v>
      </c>
      <c r="C269" t="s">
        <v>442</v>
      </c>
      <c r="D269">
        <v>33</v>
      </c>
      <c r="E269" t="s">
        <v>29</v>
      </c>
      <c r="F269" t="s">
        <v>24</v>
      </c>
      <c r="G269" t="s">
        <v>46</v>
      </c>
      <c r="H269" t="s">
        <v>32</v>
      </c>
      <c r="I269">
        <v>1846.83</v>
      </c>
      <c r="J269">
        <v>39373</v>
      </c>
      <c r="K269">
        <v>2905</v>
      </c>
      <c r="L269">
        <v>167</v>
      </c>
      <c r="M269">
        <v>2</v>
      </c>
      <c r="N269">
        <v>7.3781525410000004</v>
      </c>
      <c r="O269">
        <v>5.7487091220000002</v>
      </c>
      <c r="P269">
        <v>2</v>
      </c>
    </row>
    <row r="270" spans="1:16" x14ac:dyDescent="0.35">
      <c r="A270" t="s">
        <v>443</v>
      </c>
      <c r="B270">
        <v>45441</v>
      </c>
      <c r="C270" t="s">
        <v>170</v>
      </c>
      <c r="D270">
        <v>60</v>
      </c>
      <c r="E270" t="s">
        <v>35</v>
      </c>
      <c r="F270" t="s">
        <v>30</v>
      </c>
      <c r="G270" t="s">
        <v>25</v>
      </c>
      <c r="H270" t="s">
        <v>62</v>
      </c>
      <c r="I270">
        <v>1987.42</v>
      </c>
      <c r="J270">
        <v>41458</v>
      </c>
      <c r="K270">
        <v>3867</v>
      </c>
      <c r="L270">
        <v>202</v>
      </c>
      <c r="M270">
        <v>2</v>
      </c>
      <c r="N270">
        <v>9.3275121809999995</v>
      </c>
      <c r="O270">
        <v>5.2236876130000001</v>
      </c>
      <c r="P270">
        <v>2</v>
      </c>
    </row>
    <row r="271" spans="1:16" x14ac:dyDescent="0.35">
      <c r="A271" t="s">
        <v>444</v>
      </c>
      <c r="B271">
        <v>45413</v>
      </c>
      <c r="C271" t="s">
        <v>445</v>
      </c>
      <c r="D271">
        <v>46</v>
      </c>
      <c r="E271" t="s">
        <v>35</v>
      </c>
      <c r="F271" t="s">
        <v>30</v>
      </c>
      <c r="G271" t="s">
        <v>31</v>
      </c>
      <c r="H271" t="s">
        <v>36</v>
      </c>
      <c r="I271">
        <v>607.95000000000005</v>
      </c>
      <c r="J271">
        <v>10972</v>
      </c>
      <c r="K271">
        <v>2613</v>
      </c>
      <c r="L271">
        <v>373</v>
      </c>
      <c r="M271">
        <v>4</v>
      </c>
      <c r="N271">
        <v>23.815165879999999</v>
      </c>
      <c r="O271">
        <v>14.274779949999999</v>
      </c>
      <c r="P271">
        <v>4</v>
      </c>
    </row>
    <row r="272" spans="1:16" x14ac:dyDescent="0.35">
      <c r="A272" t="s">
        <v>446</v>
      </c>
      <c r="B272">
        <v>45310</v>
      </c>
      <c r="C272" t="s">
        <v>378</v>
      </c>
      <c r="D272">
        <v>37</v>
      </c>
      <c r="E272" t="s">
        <v>23</v>
      </c>
      <c r="F272" t="s">
        <v>57</v>
      </c>
      <c r="G272" t="s">
        <v>61</v>
      </c>
      <c r="H272" t="s">
        <v>26</v>
      </c>
      <c r="I272">
        <v>966.22</v>
      </c>
      <c r="J272">
        <v>3400</v>
      </c>
      <c r="K272">
        <v>3943</v>
      </c>
      <c r="L272">
        <v>142</v>
      </c>
      <c r="M272">
        <v>2</v>
      </c>
      <c r="N272">
        <v>115.97058819999999</v>
      </c>
      <c r="O272">
        <v>3.6013187929999999</v>
      </c>
      <c r="P272">
        <v>2</v>
      </c>
    </row>
    <row r="273" spans="1:16" x14ac:dyDescent="0.35">
      <c r="A273" t="s">
        <v>447</v>
      </c>
      <c r="B273">
        <v>45651</v>
      </c>
      <c r="C273" t="s">
        <v>256</v>
      </c>
      <c r="D273">
        <v>28</v>
      </c>
      <c r="E273" t="s">
        <v>35</v>
      </c>
      <c r="F273" t="s">
        <v>24</v>
      </c>
      <c r="G273" t="s">
        <v>31</v>
      </c>
      <c r="H273" t="s">
        <v>36</v>
      </c>
      <c r="I273">
        <v>1344.32</v>
      </c>
      <c r="J273">
        <v>39311</v>
      </c>
      <c r="K273">
        <v>86</v>
      </c>
      <c r="L273">
        <v>320</v>
      </c>
      <c r="M273">
        <v>5</v>
      </c>
      <c r="N273">
        <v>0.21876828400000001</v>
      </c>
      <c r="O273">
        <v>372.09302330000003</v>
      </c>
      <c r="P273">
        <v>5</v>
      </c>
    </row>
    <row r="274" spans="1:16" x14ac:dyDescent="0.35">
      <c r="A274" t="s">
        <v>448</v>
      </c>
      <c r="B274">
        <v>45539</v>
      </c>
      <c r="C274" t="s">
        <v>234</v>
      </c>
      <c r="D274">
        <v>62</v>
      </c>
      <c r="E274" t="s">
        <v>23</v>
      </c>
      <c r="F274" t="s">
        <v>30</v>
      </c>
      <c r="G274" t="s">
        <v>46</v>
      </c>
      <c r="H274" t="s">
        <v>32</v>
      </c>
      <c r="I274">
        <v>417.52</v>
      </c>
      <c r="J274">
        <v>5397</v>
      </c>
      <c r="K274">
        <v>2231</v>
      </c>
      <c r="L274">
        <v>380</v>
      </c>
      <c r="M274">
        <v>4</v>
      </c>
      <c r="N274">
        <v>41.337780250000002</v>
      </c>
      <c r="O274">
        <v>17.032720749999999</v>
      </c>
      <c r="P274">
        <v>4</v>
      </c>
    </row>
    <row r="275" spans="1:16" x14ac:dyDescent="0.35">
      <c r="A275" t="s">
        <v>449</v>
      </c>
      <c r="B275">
        <v>45297</v>
      </c>
      <c r="C275" t="s">
        <v>79</v>
      </c>
      <c r="D275">
        <v>61</v>
      </c>
      <c r="E275" t="s">
        <v>35</v>
      </c>
      <c r="F275" t="s">
        <v>45</v>
      </c>
      <c r="G275" t="s">
        <v>61</v>
      </c>
      <c r="H275" t="s">
        <v>32</v>
      </c>
      <c r="I275">
        <v>379.51</v>
      </c>
      <c r="J275">
        <v>47022</v>
      </c>
      <c r="K275">
        <v>2647</v>
      </c>
      <c r="L275">
        <v>175</v>
      </c>
      <c r="M275">
        <v>1</v>
      </c>
      <c r="N275">
        <v>5.6292799120000003</v>
      </c>
      <c r="O275">
        <v>6.611258028</v>
      </c>
      <c r="P275">
        <v>1</v>
      </c>
    </row>
    <row r="276" spans="1:16" x14ac:dyDescent="0.35">
      <c r="A276" t="s">
        <v>450</v>
      </c>
      <c r="B276">
        <v>45425</v>
      </c>
      <c r="C276" t="s">
        <v>451</v>
      </c>
      <c r="D276">
        <v>43</v>
      </c>
      <c r="E276" t="s">
        <v>23</v>
      </c>
      <c r="F276" t="s">
        <v>45</v>
      </c>
      <c r="G276" t="s">
        <v>46</v>
      </c>
      <c r="H276" t="s">
        <v>26</v>
      </c>
      <c r="I276">
        <v>698.4</v>
      </c>
      <c r="J276">
        <v>6481</v>
      </c>
      <c r="K276">
        <v>2419</v>
      </c>
      <c r="L276">
        <v>111</v>
      </c>
      <c r="M276">
        <v>2</v>
      </c>
      <c r="N276">
        <v>37.324486960000002</v>
      </c>
      <c r="O276">
        <v>4.5886730050000004</v>
      </c>
      <c r="P276">
        <v>2</v>
      </c>
    </row>
    <row r="277" spans="1:16" x14ac:dyDescent="0.35">
      <c r="A277" t="s">
        <v>452</v>
      </c>
      <c r="B277">
        <v>45618</v>
      </c>
      <c r="C277" t="s">
        <v>366</v>
      </c>
      <c r="D277">
        <v>18</v>
      </c>
      <c r="E277" t="s">
        <v>23</v>
      </c>
      <c r="F277" t="s">
        <v>50</v>
      </c>
      <c r="G277" t="s">
        <v>61</v>
      </c>
      <c r="H277" t="s">
        <v>62</v>
      </c>
      <c r="I277">
        <v>1570.77</v>
      </c>
      <c r="J277">
        <v>32930</v>
      </c>
      <c r="K277">
        <v>3206</v>
      </c>
      <c r="L277">
        <v>252</v>
      </c>
      <c r="N277">
        <v>9.7358032189999992</v>
      </c>
      <c r="O277">
        <v>7.8602620090000004</v>
      </c>
      <c r="P277">
        <v>3</v>
      </c>
    </row>
    <row r="278" spans="1:16" x14ac:dyDescent="0.35">
      <c r="A278" t="s">
        <v>453</v>
      </c>
      <c r="B278">
        <v>45449</v>
      </c>
      <c r="C278" t="s">
        <v>210</v>
      </c>
      <c r="D278">
        <v>42</v>
      </c>
      <c r="E278" t="s">
        <v>23</v>
      </c>
      <c r="F278" t="s">
        <v>30</v>
      </c>
      <c r="G278" t="s">
        <v>61</v>
      </c>
      <c r="H278" t="s">
        <v>36</v>
      </c>
      <c r="I278">
        <v>101.55</v>
      </c>
      <c r="J278">
        <v>24515</v>
      </c>
      <c r="K278">
        <v>3342</v>
      </c>
      <c r="L278">
        <v>165</v>
      </c>
      <c r="M278">
        <v>4</v>
      </c>
      <c r="N278">
        <v>13.63246992</v>
      </c>
      <c r="O278">
        <v>4.9371633749999999</v>
      </c>
      <c r="P278">
        <v>4</v>
      </c>
    </row>
    <row r="279" spans="1:16" x14ac:dyDescent="0.35">
      <c r="A279" t="s">
        <v>454</v>
      </c>
      <c r="B279">
        <v>45538</v>
      </c>
      <c r="C279" t="s">
        <v>64</v>
      </c>
      <c r="D279">
        <v>50</v>
      </c>
      <c r="E279" t="s">
        <v>29</v>
      </c>
      <c r="F279" t="s">
        <v>57</v>
      </c>
      <c r="G279" t="s">
        <v>42</v>
      </c>
      <c r="H279" t="s">
        <v>62</v>
      </c>
      <c r="I279">
        <v>1911.15</v>
      </c>
      <c r="J279">
        <v>36008</v>
      </c>
      <c r="K279">
        <v>2636</v>
      </c>
      <c r="L279">
        <v>236</v>
      </c>
      <c r="M279">
        <v>1</v>
      </c>
      <c r="N279">
        <v>7.3205954230000003</v>
      </c>
      <c r="O279">
        <v>8.9529590290000005</v>
      </c>
      <c r="P279">
        <v>1</v>
      </c>
    </row>
    <row r="280" spans="1:16" x14ac:dyDescent="0.35">
      <c r="A280" t="s">
        <v>455</v>
      </c>
      <c r="B280">
        <v>45360</v>
      </c>
      <c r="C280" t="s">
        <v>456</v>
      </c>
      <c r="D280">
        <v>57</v>
      </c>
      <c r="E280" t="s">
        <v>23</v>
      </c>
      <c r="F280" t="s">
        <v>57</v>
      </c>
      <c r="G280" t="s">
        <v>42</v>
      </c>
      <c r="H280" t="s">
        <v>32</v>
      </c>
      <c r="I280">
        <v>906.53</v>
      </c>
      <c r="J280">
        <v>11617</v>
      </c>
      <c r="K280">
        <v>4182</v>
      </c>
      <c r="L280">
        <v>58</v>
      </c>
      <c r="M280">
        <v>5</v>
      </c>
      <c r="N280">
        <v>35.998967030000003</v>
      </c>
      <c r="O280">
        <v>1.3868962220000001</v>
      </c>
      <c r="P280">
        <v>5</v>
      </c>
    </row>
    <row r="281" spans="1:16" x14ac:dyDescent="0.35">
      <c r="A281" t="s">
        <v>457</v>
      </c>
      <c r="B281">
        <v>45530</v>
      </c>
      <c r="C281" t="s">
        <v>391</v>
      </c>
      <c r="D281">
        <v>32</v>
      </c>
      <c r="E281" t="s">
        <v>29</v>
      </c>
      <c r="F281" t="s">
        <v>30</v>
      </c>
      <c r="G281" t="s">
        <v>25</v>
      </c>
      <c r="H281" t="s">
        <v>62</v>
      </c>
      <c r="I281">
        <v>1288.8900000000001</v>
      </c>
      <c r="J281">
        <v>20561</v>
      </c>
      <c r="K281">
        <v>132</v>
      </c>
      <c r="L281">
        <v>70</v>
      </c>
      <c r="M281">
        <v>4</v>
      </c>
      <c r="N281">
        <v>0.64199212100000003</v>
      </c>
      <c r="O281">
        <v>53.030303029999999</v>
      </c>
      <c r="P281">
        <v>4</v>
      </c>
    </row>
    <row r="282" spans="1:16" x14ac:dyDescent="0.35">
      <c r="A282" t="s">
        <v>458</v>
      </c>
      <c r="B282">
        <v>45394</v>
      </c>
      <c r="C282" t="s">
        <v>186</v>
      </c>
      <c r="D282">
        <v>55</v>
      </c>
      <c r="E282" t="s">
        <v>23</v>
      </c>
      <c r="F282" t="s">
        <v>57</v>
      </c>
      <c r="G282" t="s">
        <v>46</v>
      </c>
      <c r="H282" t="s">
        <v>36</v>
      </c>
      <c r="I282">
        <v>893.86</v>
      </c>
      <c r="J282">
        <v>41057</v>
      </c>
      <c r="K282">
        <v>80</v>
      </c>
      <c r="L282">
        <v>303</v>
      </c>
      <c r="M282">
        <v>4</v>
      </c>
      <c r="N282">
        <v>0.19485106099999999</v>
      </c>
      <c r="O282">
        <v>378.75</v>
      </c>
      <c r="P282">
        <v>4</v>
      </c>
    </row>
    <row r="283" spans="1:16" x14ac:dyDescent="0.35">
      <c r="A283" t="s">
        <v>459</v>
      </c>
      <c r="B283">
        <v>45497</v>
      </c>
      <c r="C283" t="s">
        <v>111</v>
      </c>
      <c r="D283">
        <v>57</v>
      </c>
      <c r="E283" t="s">
        <v>23</v>
      </c>
      <c r="F283" t="s">
        <v>45</v>
      </c>
      <c r="G283" t="s">
        <v>31</v>
      </c>
      <c r="H283" t="s">
        <v>26</v>
      </c>
      <c r="I283">
        <v>793.31</v>
      </c>
      <c r="J283">
        <v>49542</v>
      </c>
      <c r="K283">
        <v>2177</v>
      </c>
      <c r="L283">
        <v>60</v>
      </c>
      <c r="M283">
        <v>3</v>
      </c>
      <c r="N283">
        <v>4.3942513419999996</v>
      </c>
      <c r="O283">
        <v>2.756086357</v>
      </c>
      <c r="P283">
        <v>3</v>
      </c>
    </row>
    <row r="284" spans="1:16" x14ac:dyDescent="0.35">
      <c r="A284" t="s">
        <v>460</v>
      </c>
      <c r="B284">
        <v>45602</v>
      </c>
      <c r="C284" t="s">
        <v>461</v>
      </c>
      <c r="D284">
        <v>32</v>
      </c>
      <c r="E284" t="s">
        <v>29</v>
      </c>
      <c r="F284" t="s">
        <v>24</v>
      </c>
      <c r="G284" t="s">
        <v>31</v>
      </c>
      <c r="H284" t="s">
        <v>26</v>
      </c>
      <c r="I284">
        <v>353.31</v>
      </c>
      <c r="J284">
        <v>25212</v>
      </c>
      <c r="K284">
        <v>2092</v>
      </c>
      <c r="L284">
        <v>185</v>
      </c>
      <c r="M284">
        <v>3</v>
      </c>
      <c r="N284">
        <v>8.2976360459999992</v>
      </c>
      <c r="O284">
        <v>8.8432122369999995</v>
      </c>
      <c r="P284">
        <v>3</v>
      </c>
    </row>
    <row r="285" spans="1:16" x14ac:dyDescent="0.35">
      <c r="A285" t="s">
        <v>462</v>
      </c>
      <c r="B285">
        <v>45380</v>
      </c>
      <c r="C285" t="s">
        <v>97</v>
      </c>
      <c r="D285">
        <v>45</v>
      </c>
      <c r="E285" t="s">
        <v>35</v>
      </c>
      <c r="F285" t="s">
        <v>57</v>
      </c>
      <c r="G285" t="s">
        <v>46</v>
      </c>
      <c r="H285" t="s">
        <v>36</v>
      </c>
      <c r="I285">
        <v>1594</v>
      </c>
      <c r="J285">
        <v>39454</v>
      </c>
      <c r="K285">
        <v>4754</v>
      </c>
      <c r="L285">
        <v>29</v>
      </c>
      <c r="M285">
        <v>2</v>
      </c>
      <c r="N285">
        <v>12.049475340000001</v>
      </c>
      <c r="O285">
        <v>0.61001262099999998</v>
      </c>
      <c r="P285">
        <v>2</v>
      </c>
    </row>
    <row r="286" spans="1:16" x14ac:dyDescent="0.35">
      <c r="A286" t="s">
        <v>463</v>
      </c>
      <c r="B286">
        <v>45383</v>
      </c>
      <c r="C286" t="s">
        <v>152</v>
      </c>
      <c r="D286">
        <v>20</v>
      </c>
      <c r="E286" t="s">
        <v>35</v>
      </c>
      <c r="F286" t="s">
        <v>57</v>
      </c>
      <c r="G286" t="s">
        <v>31</v>
      </c>
      <c r="H286" t="s">
        <v>36</v>
      </c>
      <c r="I286">
        <v>1752.29</v>
      </c>
      <c r="J286">
        <v>31606</v>
      </c>
      <c r="K286">
        <v>672</v>
      </c>
      <c r="L286">
        <v>183</v>
      </c>
      <c r="N286">
        <v>2.1261785739999999</v>
      </c>
      <c r="O286">
        <v>27.23214286</v>
      </c>
      <c r="P286">
        <v>3</v>
      </c>
    </row>
    <row r="287" spans="1:16" x14ac:dyDescent="0.35">
      <c r="A287" t="s">
        <v>464</v>
      </c>
      <c r="B287">
        <v>45308</v>
      </c>
      <c r="C287" t="s">
        <v>224</v>
      </c>
      <c r="D287">
        <v>35</v>
      </c>
      <c r="E287" t="s">
        <v>29</v>
      </c>
      <c r="F287" t="s">
        <v>50</v>
      </c>
      <c r="G287" t="s">
        <v>46</v>
      </c>
      <c r="H287" t="s">
        <v>62</v>
      </c>
      <c r="I287">
        <v>193.59</v>
      </c>
      <c r="J287">
        <v>22693</v>
      </c>
      <c r="K287">
        <v>1026</v>
      </c>
      <c r="L287">
        <v>373</v>
      </c>
      <c r="M287">
        <v>5</v>
      </c>
      <c r="N287">
        <v>4.5212179969999999</v>
      </c>
      <c r="O287">
        <v>36.354775830000001</v>
      </c>
      <c r="P287">
        <v>5</v>
      </c>
    </row>
    <row r="288" spans="1:16" x14ac:dyDescent="0.35">
      <c r="A288" t="s">
        <v>465</v>
      </c>
      <c r="B288">
        <v>45425</v>
      </c>
      <c r="C288" t="s">
        <v>136</v>
      </c>
      <c r="D288">
        <v>19</v>
      </c>
      <c r="E288" t="s">
        <v>23</v>
      </c>
      <c r="F288" t="s">
        <v>50</v>
      </c>
      <c r="G288" t="s">
        <v>25</v>
      </c>
      <c r="H288" t="s">
        <v>36</v>
      </c>
      <c r="I288">
        <v>1588.33</v>
      </c>
      <c r="J288">
        <v>7116</v>
      </c>
      <c r="K288">
        <v>3602</v>
      </c>
      <c r="L288">
        <v>117</v>
      </c>
      <c r="M288">
        <v>4</v>
      </c>
      <c r="N288">
        <v>50.618324899999998</v>
      </c>
      <c r="O288">
        <v>3.2481954470000001</v>
      </c>
      <c r="P288">
        <v>4</v>
      </c>
    </row>
    <row r="289" spans="1:16" x14ac:dyDescent="0.35">
      <c r="A289" t="s">
        <v>466</v>
      </c>
      <c r="B289">
        <v>45396</v>
      </c>
      <c r="C289" t="s">
        <v>467</v>
      </c>
      <c r="D289">
        <v>64</v>
      </c>
      <c r="E289" t="s">
        <v>35</v>
      </c>
      <c r="F289" t="s">
        <v>41</v>
      </c>
      <c r="G289" t="s">
        <v>31</v>
      </c>
      <c r="H289" t="s">
        <v>62</v>
      </c>
      <c r="I289">
        <v>182.5</v>
      </c>
      <c r="J289">
        <v>7864</v>
      </c>
      <c r="K289">
        <v>4423</v>
      </c>
      <c r="L289">
        <v>371</v>
      </c>
      <c r="M289">
        <v>5</v>
      </c>
      <c r="N289">
        <v>56.243641910000001</v>
      </c>
      <c r="O289">
        <v>8.3879719650000002</v>
      </c>
      <c r="P289">
        <v>5</v>
      </c>
    </row>
    <row r="290" spans="1:16" x14ac:dyDescent="0.35">
      <c r="A290" t="s">
        <v>468</v>
      </c>
      <c r="B290">
        <v>45385</v>
      </c>
      <c r="C290" t="s">
        <v>469</v>
      </c>
      <c r="D290">
        <v>20</v>
      </c>
      <c r="E290" t="s">
        <v>29</v>
      </c>
      <c r="F290" t="s">
        <v>45</v>
      </c>
      <c r="G290" t="s">
        <v>46</v>
      </c>
      <c r="H290" t="s">
        <v>32</v>
      </c>
      <c r="I290">
        <v>950.76</v>
      </c>
      <c r="J290">
        <v>25485</v>
      </c>
      <c r="K290">
        <v>3308</v>
      </c>
      <c r="L290">
        <v>50</v>
      </c>
      <c r="M290">
        <v>2</v>
      </c>
      <c r="N290">
        <v>12.980184420000001</v>
      </c>
      <c r="O290">
        <v>1.5114873040000001</v>
      </c>
      <c r="P290">
        <v>2</v>
      </c>
    </row>
    <row r="291" spans="1:16" x14ac:dyDescent="0.35">
      <c r="A291" t="s">
        <v>470</v>
      </c>
      <c r="B291">
        <v>45365</v>
      </c>
      <c r="C291" t="s">
        <v>471</v>
      </c>
      <c r="D291">
        <v>48</v>
      </c>
      <c r="E291" t="s">
        <v>35</v>
      </c>
      <c r="F291" t="s">
        <v>45</v>
      </c>
      <c r="G291" t="s">
        <v>42</v>
      </c>
      <c r="H291" t="s">
        <v>62</v>
      </c>
      <c r="I291">
        <v>679.15</v>
      </c>
      <c r="J291">
        <v>14524</v>
      </c>
      <c r="K291">
        <v>653</v>
      </c>
      <c r="L291">
        <v>48</v>
      </c>
      <c r="M291">
        <v>4</v>
      </c>
      <c r="N291">
        <v>4.4960066100000002</v>
      </c>
      <c r="O291">
        <v>7.3506891269999999</v>
      </c>
      <c r="P291">
        <v>4</v>
      </c>
    </row>
    <row r="292" spans="1:16" x14ac:dyDescent="0.35">
      <c r="A292" t="s">
        <v>472</v>
      </c>
      <c r="B292">
        <v>45475</v>
      </c>
      <c r="C292" t="s">
        <v>473</v>
      </c>
      <c r="D292">
        <v>27</v>
      </c>
      <c r="E292" t="s">
        <v>29</v>
      </c>
      <c r="F292" t="s">
        <v>24</v>
      </c>
      <c r="G292" t="s">
        <v>61</v>
      </c>
      <c r="H292" t="s">
        <v>32</v>
      </c>
      <c r="I292">
        <v>233.28</v>
      </c>
      <c r="J292">
        <v>22861</v>
      </c>
      <c r="K292">
        <v>2657</v>
      </c>
      <c r="L292">
        <v>298</v>
      </c>
      <c r="N292">
        <v>11.622413720000001</v>
      </c>
      <c r="O292">
        <v>11.21565676</v>
      </c>
      <c r="P292">
        <v>3</v>
      </c>
    </row>
    <row r="293" spans="1:16" x14ac:dyDescent="0.35">
      <c r="A293" t="s">
        <v>474</v>
      </c>
      <c r="B293">
        <v>45587</v>
      </c>
      <c r="C293" t="s">
        <v>212</v>
      </c>
      <c r="E293" t="s">
        <v>23</v>
      </c>
      <c r="F293" t="s">
        <v>771</v>
      </c>
      <c r="G293" t="s">
        <v>25</v>
      </c>
      <c r="H293" t="s">
        <v>36</v>
      </c>
      <c r="I293">
        <v>1175.3499999999999</v>
      </c>
      <c r="J293">
        <v>18946</v>
      </c>
      <c r="K293">
        <v>838</v>
      </c>
      <c r="L293">
        <v>10</v>
      </c>
      <c r="N293">
        <v>4.4230972240000002</v>
      </c>
      <c r="O293">
        <v>1.193317422</v>
      </c>
      <c r="P293">
        <v>3</v>
      </c>
    </row>
    <row r="294" spans="1:16" x14ac:dyDescent="0.35">
      <c r="A294" t="s">
        <v>475</v>
      </c>
      <c r="B294">
        <v>45498</v>
      </c>
      <c r="C294" t="s">
        <v>336</v>
      </c>
      <c r="D294">
        <v>22</v>
      </c>
      <c r="E294" t="s">
        <v>35</v>
      </c>
      <c r="F294" t="s">
        <v>24</v>
      </c>
      <c r="G294" t="s">
        <v>42</v>
      </c>
      <c r="H294" t="s">
        <v>32</v>
      </c>
      <c r="I294">
        <v>1163.9000000000001</v>
      </c>
      <c r="J294">
        <v>29133</v>
      </c>
      <c r="K294">
        <v>559</v>
      </c>
      <c r="L294">
        <v>327</v>
      </c>
      <c r="M294">
        <v>3</v>
      </c>
      <c r="N294">
        <v>1.918786256</v>
      </c>
      <c r="O294">
        <v>58.497316640000001</v>
      </c>
      <c r="P294">
        <v>3</v>
      </c>
    </row>
    <row r="295" spans="1:16" x14ac:dyDescent="0.35">
      <c r="A295" t="s">
        <v>476</v>
      </c>
      <c r="B295">
        <v>45482</v>
      </c>
      <c r="C295" t="s">
        <v>477</v>
      </c>
      <c r="D295">
        <v>63</v>
      </c>
      <c r="E295" t="s">
        <v>35</v>
      </c>
      <c r="F295" t="s">
        <v>45</v>
      </c>
      <c r="G295" t="s">
        <v>61</v>
      </c>
      <c r="H295" t="s">
        <v>62</v>
      </c>
      <c r="I295">
        <v>1193.5999999999999</v>
      </c>
      <c r="J295">
        <v>34719</v>
      </c>
      <c r="K295">
        <v>2037</v>
      </c>
      <c r="L295">
        <v>287</v>
      </c>
      <c r="M295">
        <v>4</v>
      </c>
      <c r="N295">
        <v>5.8671044669999999</v>
      </c>
      <c r="O295">
        <v>14.08934708</v>
      </c>
      <c r="P295">
        <v>4</v>
      </c>
    </row>
    <row r="296" spans="1:16" x14ac:dyDescent="0.35">
      <c r="A296" t="s">
        <v>478</v>
      </c>
      <c r="B296">
        <v>45329</v>
      </c>
      <c r="C296" t="s">
        <v>477</v>
      </c>
      <c r="D296">
        <v>62</v>
      </c>
      <c r="E296" t="s">
        <v>23</v>
      </c>
      <c r="F296" t="s">
        <v>45</v>
      </c>
      <c r="G296" t="s">
        <v>42</v>
      </c>
      <c r="H296" t="s">
        <v>36</v>
      </c>
      <c r="I296">
        <v>941.1</v>
      </c>
      <c r="J296">
        <v>33872</v>
      </c>
      <c r="K296">
        <v>372</v>
      </c>
      <c r="L296">
        <v>191</v>
      </c>
      <c r="M296">
        <v>2</v>
      </c>
      <c r="N296">
        <v>1.098252244</v>
      </c>
      <c r="O296">
        <v>51.344086019999999</v>
      </c>
      <c r="P296">
        <v>2</v>
      </c>
    </row>
    <row r="297" spans="1:16" x14ac:dyDescent="0.35">
      <c r="A297" t="s">
        <v>479</v>
      </c>
      <c r="B297">
        <v>45634</v>
      </c>
      <c r="C297" t="s">
        <v>88</v>
      </c>
      <c r="D297">
        <v>54</v>
      </c>
      <c r="E297" t="s">
        <v>29</v>
      </c>
      <c r="F297" t="s">
        <v>24</v>
      </c>
      <c r="G297" t="s">
        <v>46</v>
      </c>
      <c r="H297" t="s">
        <v>32</v>
      </c>
      <c r="I297">
        <v>1971.95</v>
      </c>
      <c r="J297">
        <v>11792</v>
      </c>
      <c r="K297">
        <v>4428</v>
      </c>
      <c r="L297">
        <v>60</v>
      </c>
      <c r="M297">
        <v>5</v>
      </c>
      <c r="N297">
        <v>37.550881949999997</v>
      </c>
      <c r="O297">
        <v>1.35501355</v>
      </c>
      <c r="P297">
        <v>5</v>
      </c>
    </row>
    <row r="298" spans="1:16" x14ac:dyDescent="0.35">
      <c r="A298" t="s">
        <v>480</v>
      </c>
      <c r="B298">
        <v>45533</v>
      </c>
      <c r="C298" t="s">
        <v>186</v>
      </c>
      <c r="D298">
        <v>48</v>
      </c>
      <c r="E298" t="s">
        <v>35</v>
      </c>
      <c r="F298" t="s">
        <v>24</v>
      </c>
      <c r="G298" t="s">
        <v>42</v>
      </c>
      <c r="H298" t="s">
        <v>36</v>
      </c>
      <c r="I298">
        <v>640.09</v>
      </c>
      <c r="J298">
        <v>28230</v>
      </c>
      <c r="K298">
        <v>3058</v>
      </c>
      <c r="L298">
        <v>324</v>
      </c>
      <c r="M298">
        <v>5</v>
      </c>
      <c r="N298">
        <v>10.83244775</v>
      </c>
      <c r="O298">
        <v>10.59516024</v>
      </c>
      <c r="P298">
        <v>5</v>
      </c>
    </row>
    <row r="299" spans="1:16" x14ac:dyDescent="0.35">
      <c r="A299" t="s">
        <v>481</v>
      </c>
      <c r="B299">
        <v>45594</v>
      </c>
      <c r="C299" t="s">
        <v>75</v>
      </c>
      <c r="D299">
        <v>34</v>
      </c>
      <c r="E299" t="s">
        <v>29</v>
      </c>
      <c r="F299" t="s">
        <v>57</v>
      </c>
      <c r="G299" t="s">
        <v>42</v>
      </c>
      <c r="H299" t="s">
        <v>26</v>
      </c>
      <c r="I299">
        <v>1245.4100000000001</v>
      </c>
      <c r="J299">
        <v>14446</v>
      </c>
      <c r="K299">
        <v>4601</v>
      </c>
      <c r="L299">
        <v>315</v>
      </c>
      <c r="M299">
        <v>3</v>
      </c>
      <c r="N299">
        <v>31.849646960000001</v>
      </c>
      <c r="O299">
        <v>6.8463377530000002</v>
      </c>
      <c r="P299">
        <v>3</v>
      </c>
    </row>
    <row r="300" spans="1:16" x14ac:dyDescent="0.35">
      <c r="A300" t="s">
        <v>482</v>
      </c>
      <c r="B300">
        <v>45557</v>
      </c>
      <c r="C300" t="s">
        <v>483</v>
      </c>
      <c r="D300">
        <v>23</v>
      </c>
      <c r="E300" t="s">
        <v>23</v>
      </c>
      <c r="F300" t="s">
        <v>24</v>
      </c>
      <c r="G300" t="s">
        <v>61</v>
      </c>
      <c r="H300" t="s">
        <v>26</v>
      </c>
      <c r="I300">
        <v>199.16</v>
      </c>
      <c r="J300">
        <v>33698</v>
      </c>
      <c r="K300">
        <v>4008</v>
      </c>
      <c r="L300">
        <v>344</v>
      </c>
      <c r="M300">
        <v>4</v>
      </c>
      <c r="N300">
        <v>11.893880940000001</v>
      </c>
      <c r="O300">
        <v>8.5828343310000008</v>
      </c>
      <c r="P300">
        <v>4</v>
      </c>
    </row>
    <row r="301" spans="1:16" x14ac:dyDescent="0.35">
      <c r="A301" t="s">
        <v>484</v>
      </c>
      <c r="B301">
        <v>45455</v>
      </c>
      <c r="C301" t="s">
        <v>386</v>
      </c>
      <c r="D301">
        <v>57</v>
      </c>
      <c r="E301" t="s">
        <v>35</v>
      </c>
      <c r="F301" t="s">
        <v>41</v>
      </c>
      <c r="G301" t="s">
        <v>25</v>
      </c>
      <c r="H301" t="s">
        <v>62</v>
      </c>
      <c r="I301">
        <v>145.68</v>
      </c>
      <c r="J301">
        <v>19221</v>
      </c>
      <c r="K301">
        <v>404</v>
      </c>
      <c r="L301">
        <v>22</v>
      </c>
      <c r="M301">
        <v>5</v>
      </c>
      <c r="N301">
        <v>2.1018677490000002</v>
      </c>
      <c r="O301">
        <v>5.4455445539999996</v>
      </c>
      <c r="P301">
        <v>5</v>
      </c>
    </row>
    <row r="302" spans="1:16" x14ac:dyDescent="0.35">
      <c r="A302" t="s">
        <v>485</v>
      </c>
      <c r="B302">
        <v>45307</v>
      </c>
      <c r="C302" t="s">
        <v>391</v>
      </c>
      <c r="D302">
        <v>63</v>
      </c>
      <c r="E302" t="s">
        <v>23</v>
      </c>
      <c r="F302" t="s">
        <v>24</v>
      </c>
      <c r="G302" t="s">
        <v>31</v>
      </c>
      <c r="H302" t="s">
        <v>62</v>
      </c>
      <c r="I302">
        <v>1982.36</v>
      </c>
      <c r="J302">
        <v>47781</v>
      </c>
      <c r="K302">
        <v>4092</v>
      </c>
      <c r="L302">
        <v>25</v>
      </c>
      <c r="M302">
        <v>4</v>
      </c>
      <c r="N302">
        <v>8.5640735859999992</v>
      </c>
      <c r="O302">
        <v>0.61094819199999995</v>
      </c>
      <c r="P302">
        <v>4</v>
      </c>
    </row>
    <row r="303" spans="1:16" x14ac:dyDescent="0.35">
      <c r="A303" t="s">
        <v>486</v>
      </c>
      <c r="B303">
        <v>45452</v>
      </c>
      <c r="C303" t="s">
        <v>203</v>
      </c>
      <c r="D303">
        <v>19</v>
      </c>
      <c r="E303" t="s">
        <v>29</v>
      </c>
      <c r="F303" t="s">
        <v>57</v>
      </c>
      <c r="G303" t="s">
        <v>31</v>
      </c>
      <c r="H303" t="s">
        <v>32</v>
      </c>
      <c r="I303">
        <v>1223.1400000000001</v>
      </c>
      <c r="J303">
        <v>1853</v>
      </c>
      <c r="K303">
        <v>3700</v>
      </c>
      <c r="L303">
        <v>150</v>
      </c>
      <c r="M303">
        <v>3</v>
      </c>
      <c r="N303">
        <v>199.6762008</v>
      </c>
      <c r="O303">
        <v>4.0540540539999999</v>
      </c>
      <c r="P303">
        <v>3</v>
      </c>
    </row>
    <row r="304" spans="1:16" x14ac:dyDescent="0.35">
      <c r="A304" t="s">
        <v>487</v>
      </c>
      <c r="B304">
        <v>45647</v>
      </c>
      <c r="C304" t="s">
        <v>166</v>
      </c>
      <c r="D304">
        <v>44</v>
      </c>
      <c r="E304" t="s">
        <v>35</v>
      </c>
      <c r="F304" t="s">
        <v>50</v>
      </c>
      <c r="G304" t="s">
        <v>46</v>
      </c>
      <c r="H304" t="s">
        <v>32</v>
      </c>
      <c r="I304">
        <v>362.4</v>
      </c>
      <c r="J304">
        <v>7548</v>
      </c>
      <c r="K304">
        <v>896</v>
      </c>
      <c r="L304">
        <v>352</v>
      </c>
      <c r="M304">
        <v>4</v>
      </c>
      <c r="N304">
        <v>11.870694220000001</v>
      </c>
      <c r="O304">
        <v>39.285714290000001</v>
      </c>
      <c r="P304">
        <v>4</v>
      </c>
    </row>
    <row r="305" spans="1:16" x14ac:dyDescent="0.35">
      <c r="A305" t="s">
        <v>488</v>
      </c>
      <c r="B305">
        <v>45490</v>
      </c>
      <c r="C305" t="s">
        <v>295</v>
      </c>
      <c r="D305">
        <v>50</v>
      </c>
      <c r="E305" t="s">
        <v>23</v>
      </c>
      <c r="F305" t="s">
        <v>24</v>
      </c>
      <c r="G305" t="s">
        <v>42</v>
      </c>
      <c r="H305" t="s">
        <v>62</v>
      </c>
      <c r="I305">
        <v>682.86</v>
      </c>
      <c r="J305">
        <v>21436</v>
      </c>
      <c r="K305">
        <v>3402</v>
      </c>
      <c r="L305">
        <v>55</v>
      </c>
      <c r="M305">
        <v>1</v>
      </c>
      <c r="N305">
        <v>15.870498230000001</v>
      </c>
      <c r="O305">
        <v>1.6166960610000001</v>
      </c>
      <c r="P305">
        <v>1</v>
      </c>
    </row>
    <row r="306" spans="1:16" x14ac:dyDescent="0.35">
      <c r="A306" t="s">
        <v>489</v>
      </c>
      <c r="B306">
        <v>45504</v>
      </c>
      <c r="C306" t="s">
        <v>195</v>
      </c>
      <c r="D306">
        <v>31</v>
      </c>
      <c r="E306" t="s">
        <v>29</v>
      </c>
      <c r="F306" t="s">
        <v>50</v>
      </c>
      <c r="G306" t="s">
        <v>25</v>
      </c>
      <c r="H306" t="s">
        <v>26</v>
      </c>
      <c r="I306">
        <v>1844.59</v>
      </c>
      <c r="J306">
        <v>5522</v>
      </c>
      <c r="K306">
        <v>1730</v>
      </c>
      <c r="L306">
        <v>326</v>
      </c>
      <c r="M306">
        <v>1</v>
      </c>
      <c r="N306">
        <v>31.329228539999999</v>
      </c>
      <c r="O306">
        <v>18.84393064</v>
      </c>
      <c r="P306">
        <v>1</v>
      </c>
    </row>
    <row r="307" spans="1:16" x14ac:dyDescent="0.35">
      <c r="A307" t="s">
        <v>490</v>
      </c>
      <c r="B307">
        <v>45325</v>
      </c>
      <c r="C307" t="s">
        <v>404</v>
      </c>
      <c r="D307">
        <v>29</v>
      </c>
      <c r="E307" t="s">
        <v>35</v>
      </c>
      <c r="F307" t="s">
        <v>24</v>
      </c>
      <c r="G307" t="s">
        <v>46</v>
      </c>
      <c r="H307" t="s">
        <v>36</v>
      </c>
      <c r="I307">
        <v>550.41</v>
      </c>
      <c r="J307">
        <v>4042</v>
      </c>
      <c r="K307">
        <v>600</v>
      </c>
      <c r="L307">
        <v>370</v>
      </c>
      <c r="M307">
        <v>1</v>
      </c>
      <c r="N307">
        <v>14.84413657</v>
      </c>
      <c r="O307">
        <v>61.666666669999998</v>
      </c>
      <c r="P307">
        <v>1</v>
      </c>
    </row>
    <row r="308" spans="1:16" x14ac:dyDescent="0.35">
      <c r="A308" t="s">
        <v>491</v>
      </c>
      <c r="B308">
        <v>45313</v>
      </c>
      <c r="C308" t="s">
        <v>492</v>
      </c>
      <c r="D308">
        <v>57</v>
      </c>
      <c r="E308" t="s">
        <v>35</v>
      </c>
      <c r="F308" t="s">
        <v>57</v>
      </c>
      <c r="G308" t="s">
        <v>25</v>
      </c>
      <c r="H308" t="s">
        <v>26</v>
      </c>
      <c r="I308">
        <v>1590.02</v>
      </c>
      <c r="J308">
        <v>19755</v>
      </c>
      <c r="K308">
        <v>2156</v>
      </c>
      <c r="L308">
        <v>305</v>
      </c>
      <c r="M308">
        <v>3</v>
      </c>
      <c r="N308">
        <v>10.91369274</v>
      </c>
      <c r="O308">
        <v>14.14656772</v>
      </c>
      <c r="P308">
        <v>3</v>
      </c>
    </row>
    <row r="309" spans="1:16" x14ac:dyDescent="0.35">
      <c r="A309" t="s">
        <v>493</v>
      </c>
      <c r="B309">
        <v>45614</v>
      </c>
      <c r="C309" t="s">
        <v>494</v>
      </c>
      <c r="D309">
        <v>29</v>
      </c>
      <c r="E309" t="s">
        <v>23</v>
      </c>
      <c r="F309" t="s">
        <v>24</v>
      </c>
      <c r="G309" t="s">
        <v>25</v>
      </c>
      <c r="H309" t="s">
        <v>36</v>
      </c>
      <c r="I309">
        <v>1362.88</v>
      </c>
      <c r="J309">
        <v>41551</v>
      </c>
      <c r="K309">
        <v>3514</v>
      </c>
      <c r="L309">
        <v>271</v>
      </c>
      <c r="M309">
        <v>1</v>
      </c>
      <c r="N309">
        <v>8.4570768449999996</v>
      </c>
      <c r="O309">
        <v>7.712009106</v>
      </c>
      <c r="P309">
        <v>1</v>
      </c>
    </row>
    <row r="310" spans="1:16" x14ac:dyDescent="0.35">
      <c r="A310" t="s">
        <v>495</v>
      </c>
      <c r="B310">
        <v>45559</v>
      </c>
      <c r="C310" t="s">
        <v>138</v>
      </c>
      <c r="D310">
        <v>51</v>
      </c>
      <c r="E310" t="s">
        <v>35</v>
      </c>
      <c r="F310" t="s">
        <v>30</v>
      </c>
      <c r="G310" t="s">
        <v>42</v>
      </c>
      <c r="H310" t="s">
        <v>32</v>
      </c>
      <c r="I310">
        <v>263.88</v>
      </c>
      <c r="J310">
        <v>25024</v>
      </c>
      <c r="K310">
        <v>2978</v>
      </c>
      <c r="L310">
        <v>382</v>
      </c>
      <c r="M310">
        <v>4</v>
      </c>
      <c r="N310">
        <v>11.90057545</v>
      </c>
      <c r="O310">
        <v>12.82740094</v>
      </c>
      <c r="P310">
        <v>4</v>
      </c>
    </row>
    <row r="311" spans="1:16" x14ac:dyDescent="0.35">
      <c r="A311" t="s">
        <v>496</v>
      </c>
      <c r="B311">
        <v>45595</v>
      </c>
      <c r="C311" t="s">
        <v>175</v>
      </c>
      <c r="D311">
        <v>55</v>
      </c>
      <c r="E311" t="s">
        <v>35</v>
      </c>
      <c r="F311" t="s">
        <v>30</v>
      </c>
      <c r="G311" t="s">
        <v>46</v>
      </c>
      <c r="H311" t="s">
        <v>32</v>
      </c>
      <c r="I311">
        <v>55</v>
      </c>
      <c r="J311">
        <v>6377</v>
      </c>
      <c r="K311">
        <v>4662</v>
      </c>
      <c r="L311">
        <v>221</v>
      </c>
      <c r="M311">
        <v>4</v>
      </c>
      <c r="N311">
        <v>73.106476400000005</v>
      </c>
      <c r="O311">
        <v>4.7404547399999997</v>
      </c>
      <c r="P311">
        <v>4</v>
      </c>
    </row>
    <row r="312" spans="1:16" x14ac:dyDescent="0.35">
      <c r="A312" t="s">
        <v>497</v>
      </c>
      <c r="B312">
        <v>45431</v>
      </c>
      <c r="C312" t="s">
        <v>395</v>
      </c>
      <c r="D312">
        <v>42</v>
      </c>
      <c r="E312" t="s">
        <v>29</v>
      </c>
      <c r="F312" t="s">
        <v>50</v>
      </c>
      <c r="G312" t="s">
        <v>31</v>
      </c>
      <c r="H312" t="s">
        <v>32</v>
      </c>
      <c r="I312">
        <v>1944.39</v>
      </c>
      <c r="J312">
        <v>10605</v>
      </c>
      <c r="K312">
        <v>643</v>
      </c>
      <c r="L312">
        <v>200</v>
      </c>
      <c r="M312">
        <v>4</v>
      </c>
      <c r="N312">
        <v>6.063177746</v>
      </c>
      <c r="O312">
        <v>31.10419907</v>
      </c>
      <c r="P312">
        <v>4</v>
      </c>
    </row>
    <row r="313" spans="1:16" x14ac:dyDescent="0.35">
      <c r="A313" t="s">
        <v>498</v>
      </c>
      <c r="B313">
        <v>45328</v>
      </c>
      <c r="C313" t="s">
        <v>79</v>
      </c>
      <c r="D313">
        <v>44</v>
      </c>
      <c r="E313" t="s">
        <v>35</v>
      </c>
      <c r="F313" t="s">
        <v>41</v>
      </c>
      <c r="G313" t="s">
        <v>31</v>
      </c>
      <c r="H313" t="s">
        <v>26</v>
      </c>
      <c r="I313">
        <v>849.28</v>
      </c>
      <c r="J313">
        <v>3413</v>
      </c>
      <c r="K313">
        <v>2626</v>
      </c>
      <c r="L313">
        <v>347</v>
      </c>
      <c r="M313">
        <v>1</v>
      </c>
      <c r="N313">
        <v>76.941107529999996</v>
      </c>
      <c r="O313">
        <v>13.21401371</v>
      </c>
      <c r="P313">
        <v>1</v>
      </c>
    </row>
    <row r="314" spans="1:16" x14ac:dyDescent="0.35">
      <c r="A314" t="s">
        <v>499</v>
      </c>
      <c r="B314">
        <v>45529</v>
      </c>
      <c r="C314" t="s">
        <v>492</v>
      </c>
      <c r="D314">
        <v>38</v>
      </c>
      <c r="E314" t="s">
        <v>35</v>
      </c>
      <c r="F314" t="s">
        <v>41</v>
      </c>
      <c r="G314" t="s">
        <v>46</v>
      </c>
      <c r="H314" t="s">
        <v>36</v>
      </c>
      <c r="I314">
        <v>1117.8699999999999</v>
      </c>
      <c r="J314">
        <v>23129</v>
      </c>
      <c r="K314">
        <v>3979</v>
      </c>
      <c r="L314">
        <v>19</v>
      </c>
      <c r="M314">
        <v>5</v>
      </c>
      <c r="N314">
        <v>17.203510739999999</v>
      </c>
      <c r="O314">
        <v>0.47750691099999998</v>
      </c>
      <c r="P314">
        <v>5</v>
      </c>
    </row>
    <row r="315" spans="1:16" x14ac:dyDescent="0.35">
      <c r="A315" t="s">
        <v>500</v>
      </c>
      <c r="B315">
        <v>45463</v>
      </c>
      <c r="C315" t="s">
        <v>292</v>
      </c>
      <c r="D315">
        <v>50</v>
      </c>
      <c r="E315" t="s">
        <v>29</v>
      </c>
      <c r="F315" t="s">
        <v>24</v>
      </c>
      <c r="G315" t="s">
        <v>46</v>
      </c>
      <c r="H315" t="s">
        <v>26</v>
      </c>
      <c r="I315">
        <v>193.19</v>
      </c>
      <c r="J315">
        <v>25526</v>
      </c>
      <c r="K315">
        <v>4639</v>
      </c>
      <c r="L315">
        <v>187</v>
      </c>
      <c r="M315">
        <v>4</v>
      </c>
      <c r="N315">
        <v>18.173626890000001</v>
      </c>
      <c r="O315">
        <v>4.0310411730000002</v>
      </c>
      <c r="P315">
        <v>4</v>
      </c>
    </row>
    <row r="316" spans="1:16" x14ac:dyDescent="0.35">
      <c r="A316" t="s">
        <v>501</v>
      </c>
      <c r="B316">
        <v>45545</v>
      </c>
      <c r="C316" t="s">
        <v>329</v>
      </c>
      <c r="D316">
        <v>56</v>
      </c>
      <c r="E316" t="s">
        <v>29</v>
      </c>
      <c r="F316" t="s">
        <v>45</v>
      </c>
      <c r="G316" t="s">
        <v>31</v>
      </c>
      <c r="H316" t="s">
        <v>26</v>
      </c>
      <c r="I316">
        <v>1845.57</v>
      </c>
      <c r="J316">
        <v>10640</v>
      </c>
      <c r="K316">
        <v>2599</v>
      </c>
      <c r="L316">
        <v>313</v>
      </c>
      <c r="M316">
        <v>1</v>
      </c>
      <c r="N316">
        <v>24.426691730000002</v>
      </c>
      <c r="O316">
        <v>12.043093499999999</v>
      </c>
      <c r="P316">
        <v>1</v>
      </c>
    </row>
    <row r="317" spans="1:16" x14ac:dyDescent="0.35">
      <c r="A317" t="s">
        <v>502</v>
      </c>
      <c r="B317">
        <v>45491</v>
      </c>
      <c r="C317" t="s">
        <v>503</v>
      </c>
      <c r="D317">
        <v>46</v>
      </c>
      <c r="E317" t="s">
        <v>29</v>
      </c>
      <c r="F317" t="s">
        <v>30</v>
      </c>
      <c r="G317" t="s">
        <v>31</v>
      </c>
      <c r="H317" t="s">
        <v>36</v>
      </c>
      <c r="I317">
        <v>54.73</v>
      </c>
      <c r="J317">
        <v>1362</v>
      </c>
      <c r="K317">
        <v>4365</v>
      </c>
      <c r="L317">
        <v>240</v>
      </c>
      <c r="M317">
        <v>4</v>
      </c>
      <c r="N317">
        <v>320.48458149999999</v>
      </c>
      <c r="O317">
        <v>5.4982817869999998</v>
      </c>
      <c r="P317">
        <v>4</v>
      </c>
    </row>
    <row r="318" spans="1:16" x14ac:dyDescent="0.35">
      <c r="A318" t="s">
        <v>504</v>
      </c>
      <c r="B318">
        <v>45601</v>
      </c>
      <c r="C318" t="s">
        <v>505</v>
      </c>
      <c r="D318">
        <v>36</v>
      </c>
      <c r="E318" t="s">
        <v>29</v>
      </c>
      <c r="F318" t="s">
        <v>30</v>
      </c>
      <c r="G318" t="s">
        <v>25</v>
      </c>
      <c r="H318" t="s">
        <v>36</v>
      </c>
      <c r="I318">
        <v>656.01</v>
      </c>
      <c r="J318">
        <v>40602</v>
      </c>
      <c r="K318">
        <v>3417</v>
      </c>
      <c r="L318">
        <v>74</v>
      </c>
      <c r="M318">
        <v>2</v>
      </c>
      <c r="N318">
        <v>8.4158415840000007</v>
      </c>
      <c r="O318">
        <v>2.1656423760000001</v>
      </c>
      <c r="P318">
        <v>2</v>
      </c>
    </row>
    <row r="319" spans="1:16" x14ac:dyDescent="0.35">
      <c r="A319" t="s">
        <v>506</v>
      </c>
      <c r="B319">
        <v>45555</v>
      </c>
      <c r="C319" t="s">
        <v>492</v>
      </c>
      <c r="D319">
        <v>19</v>
      </c>
      <c r="E319" t="s">
        <v>23</v>
      </c>
      <c r="F319" t="s">
        <v>57</v>
      </c>
      <c r="G319" t="s">
        <v>25</v>
      </c>
      <c r="H319" t="s">
        <v>32</v>
      </c>
      <c r="I319">
        <v>771.12</v>
      </c>
      <c r="J319">
        <v>35950</v>
      </c>
      <c r="K319">
        <v>754</v>
      </c>
      <c r="L319">
        <v>298</v>
      </c>
      <c r="N319">
        <v>2.0973574410000002</v>
      </c>
      <c r="O319">
        <v>39.522546419999998</v>
      </c>
      <c r="P319">
        <v>3</v>
      </c>
    </row>
    <row r="320" spans="1:16" x14ac:dyDescent="0.35">
      <c r="A320" t="s">
        <v>507</v>
      </c>
      <c r="B320">
        <v>45418</v>
      </c>
      <c r="C320" t="s">
        <v>366</v>
      </c>
      <c r="D320">
        <v>62</v>
      </c>
      <c r="E320" t="s">
        <v>29</v>
      </c>
      <c r="F320" t="s">
        <v>30</v>
      </c>
      <c r="G320" t="s">
        <v>42</v>
      </c>
      <c r="H320" t="s">
        <v>32</v>
      </c>
      <c r="I320">
        <v>1621.86</v>
      </c>
      <c r="J320">
        <v>18370</v>
      </c>
      <c r="K320">
        <v>2095</v>
      </c>
      <c r="L320">
        <v>374</v>
      </c>
      <c r="M320">
        <v>5</v>
      </c>
      <c r="N320">
        <v>11.4044638</v>
      </c>
      <c r="O320">
        <v>17.85202864</v>
      </c>
      <c r="P320">
        <v>5</v>
      </c>
    </row>
    <row r="321" spans="1:16" x14ac:dyDescent="0.35">
      <c r="A321" t="s">
        <v>508</v>
      </c>
      <c r="B321">
        <v>45567</v>
      </c>
      <c r="C321" t="s">
        <v>414</v>
      </c>
      <c r="D321">
        <v>28</v>
      </c>
      <c r="E321" t="s">
        <v>35</v>
      </c>
      <c r="F321" t="s">
        <v>45</v>
      </c>
      <c r="G321" t="s">
        <v>42</v>
      </c>
      <c r="H321" t="s">
        <v>32</v>
      </c>
      <c r="I321">
        <v>1657.74</v>
      </c>
      <c r="J321">
        <v>45259</v>
      </c>
      <c r="K321">
        <v>3473</v>
      </c>
      <c r="L321">
        <v>14</v>
      </c>
      <c r="M321">
        <v>4</v>
      </c>
      <c r="N321">
        <v>7.673611878</v>
      </c>
      <c r="O321">
        <v>0.40310970299999999</v>
      </c>
      <c r="P321">
        <v>4</v>
      </c>
    </row>
    <row r="322" spans="1:16" x14ac:dyDescent="0.35">
      <c r="A322" t="s">
        <v>509</v>
      </c>
      <c r="B322">
        <v>45634</v>
      </c>
      <c r="C322" t="s">
        <v>510</v>
      </c>
      <c r="D322">
        <v>28</v>
      </c>
      <c r="E322" t="s">
        <v>29</v>
      </c>
      <c r="F322" t="s">
        <v>30</v>
      </c>
      <c r="G322" t="s">
        <v>46</v>
      </c>
      <c r="H322" t="s">
        <v>26</v>
      </c>
      <c r="I322">
        <v>1996.02</v>
      </c>
      <c r="J322">
        <v>28638</v>
      </c>
      <c r="K322">
        <v>3786</v>
      </c>
      <c r="L322">
        <v>14</v>
      </c>
      <c r="M322">
        <v>3</v>
      </c>
      <c r="N322">
        <v>13.220196939999999</v>
      </c>
      <c r="O322">
        <v>0.36978341300000001</v>
      </c>
      <c r="P322">
        <v>3</v>
      </c>
    </row>
    <row r="323" spans="1:16" x14ac:dyDescent="0.35">
      <c r="A323" t="s">
        <v>511</v>
      </c>
      <c r="B323">
        <v>45593</v>
      </c>
      <c r="C323" t="s">
        <v>230</v>
      </c>
      <c r="E323" t="s">
        <v>23</v>
      </c>
      <c r="F323" t="s">
        <v>771</v>
      </c>
      <c r="G323" t="s">
        <v>31</v>
      </c>
      <c r="H323" t="s">
        <v>62</v>
      </c>
      <c r="I323">
        <v>367.06</v>
      </c>
      <c r="J323">
        <v>30017</v>
      </c>
      <c r="K323">
        <v>2843</v>
      </c>
      <c r="L323">
        <v>32</v>
      </c>
      <c r="N323">
        <v>9.4712995969999998</v>
      </c>
      <c r="O323">
        <v>1.125571579</v>
      </c>
      <c r="P323">
        <v>3</v>
      </c>
    </row>
    <row r="324" spans="1:16" x14ac:dyDescent="0.35">
      <c r="A324" t="s">
        <v>512</v>
      </c>
      <c r="B324">
        <v>45519</v>
      </c>
      <c r="C324" t="s">
        <v>95</v>
      </c>
      <c r="D324">
        <v>20</v>
      </c>
      <c r="E324" t="s">
        <v>35</v>
      </c>
      <c r="F324" t="s">
        <v>24</v>
      </c>
      <c r="G324" t="s">
        <v>31</v>
      </c>
      <c r="H324" t="s">
        <v>32</v>
      </c>
      <c r="I324">
        <v>253.87</v>
      </c>
      <c r="J324">
        <v>42686</v>
      </c>
      <c r="K324">
        <v>4661</v>
      </c>
      <c r="L324">
        <v>139</v>
      </c>
      <c r="M324">
        <v>3</v>
      </c>
      <c r="N324">
        <v>10.91927096</v>
      </c>
      <c r="O324">
        <v>2.9821926630000002</v>
      </c>
      <c r="P324">
        <v>3</v>
      </c>
    </row>
    <row r="325" spans="1:16" x14ac:dyDescent="0.35">
      <c r="A325" t="s">
        <v>513</v>
      </c>
      <c r="B325">
        <v>45629</v>
      </c>
      <c r="C325" t="s">
        <v>40</v>
      </c>
      <c r="E325" t="s">
        <v>35</v>
      </c>
      <c r="F325" t="s">
        <v>771</v>
      </c>
      <c r="G325" t="s">
        <v>61</v>
      </c>
      <c r="H325" t="s">
        <v>36</v>
      </c>
      <c r="I325">
        <v>1347.23</v>
      </c>
      <c r="J325">
        <v>6445</v>
      </c>
      <c r="K325">
        <v>663</v>
      </c>
      <c r="L325">
        <v>259</v>
      </c>
      <c r="N325">
        <v>10.28704422</v>
      </c>
      <c r="O325">
        <v>39.064856710000001</v>
      </c>
      <c r="P325">
        <v>3</v>
      </c>
    </row>
    <row r="326" spans="1:16" x14ac:dyDescent="0.35">
      <c r="A326" t="s">
        <v>514</v>
      </c>
      <c r="B326">
        <v>45325</v>
      </c>
      <c r="C326" t="s">
        <v>52</v>
      </c>
      <c r="D326">
        <v>57</v>
      </c>
      <c r="E326" t="s">
        <v>29</v>
      </c>
      <c r="F326" t="s">
        <v>41</v>
      </c>
      <c r="G326" t="s">
        <v>25</v>
      </c>
      <c r="H326" t="s">
        <v>26</v>
      </c>
      <c r="I326">
        <v>562.35</v>
      </c>
      <c r="J326">
        <v>20092</v>
      </c>
      <c r="K326">
        <v>4423</v>
      </c>
      <c r="L326">
        <v>269</v>
      </c>
      <c r="N326">
        <v>22.013736810000001</v>
      </c>
      <c r="O326">
        <v>6.0818449020000003</v>
      </c>
      <c r="P326">
        <v>3</v>
      </c>
    </row>
    <row r="327" spans="1:16" x14ac:dyDescent="0.35">
      <c r="A327" t="s">
        <v>515</v>
      </c>
      <c r="B327">
        <v>45556</v>
      </c>
      <c r="C327" t="s">
        <v>155</v>
      </c>
      <c r="D327">
        <v>49</v>
      </c>
      <c r="E327" t="s">
        <v>29</v>
      </c>
      <c r="F327" t="s">
        <v>50</v>
      </c>
      <c r="G327" t="s">
        <v>46</v>
      </c>
      <c r="H327" t="s">
        <v>26</v>
      </c>
      <c r="I327">
        <v>1617.05</v>
      </c>
      <c r="J327">
        <v>37943</v>
      </c>
      <c r="K327">
        <v>2543</v>
      </c>
      <c r="L327">
        <v>237</v>
      </c>
      <c r="M327">
        <v>3</v>
      </c>
      <c r="N327">
        <v>6.7021585010000004</v>
      </c>
      <c r="O327">
        <v>9.3197011399999994</v>
      </c>
      <c r="P327">
        <v>3</v>
      </c>
    </row>
    <row r="328" spans="1:16" x14ac:dyDescent="0.35">
      <c r="A328" t="s">
        <v>516</v>
      </c>
      <c r="B328">
        <v>45499</v>
      </c>
      <c r="C328" t="s">
        <v>224</v>
      </c>
      <c r="D328">
        <v>33</v>
      </c>
      <c r="E328" t="s">
        <v>29</v>
      </c>
      <c r="F328" t="s">
        <v>50</v>
      </c>
      <c r="G328" t="s">
        <v>25</v>
      </c>
      <c r="H328" t="s">
        <v>26</v>
      </c>
      <c r="I328">
        <v>1601.65</v>
      </c>
      <c r="J328">
        <v>7582</v>
      </c>
      <c r="K328">
        <v>1960</v>
      </c>
      <c r="L328">
        <v>133</v>
      </c>
      <c r="N328">
        <v>25.85069902</v>
      </c>
      <c r="O328">
        <v>6.7857142860000002</v>
      </c>
      <c r="P328">
        <v>3</v>
      </c>
    </row>
    <row r="329" spans="1:16" x14ac:dyDescent="0.35">
      <c r="A329" t="s">
        <v>517</v>
      </c>
      <c r="B329">
        <v>45566</v>
      </c>
      <c r="C329" t="s">
        <v>205</v>
      </c>
      <c r="D329">
        <v>63</v>
      </c>
      <c r="E329" t="s">
        <v>35</v>
      </c>
      <c r="F329" t="s">
        <v>41</v>
      </c>
      <c r="G329" t="s">
        <v>61</v>
      </c>
      <c r="H329" t="s">
        <v>36</v>
      </c>
      <c r="I329">
        <v>1623.58</v>
      </c>
      <c r="J329">
        <v>44860</v>
      </c>
      <c r="K329">
        <v>3405</v>
      </c>
      <c r="L329">
        <v>66</v>
      </c>
      <c r="M329">
        <v>2</v>
      </c>
      <c r="N329">
        <v>7.5902808740000003</v>
      </c>
      <c r="O329">
        <v>1.9383259909999999</v>
      </c>
      <c r="P329">
        <v>2</v>
      </c>
    </row>
    <row r="330" spans="1:16" x14ac:dyDescent="0.35">
      <c r="A330" t="s">
        <v>518</v>
      </c>
      <c r="B330">
        <v>45373</v>
      </c>
      <c r="C330" t="s">
        <v>191</v>
      </c>
      <c r="D330">
        <v>24</v>
      </c>
      <c r="E330" t="s">
        <v>23</v>
      </c>
      <c r="F330" t="s">
        <v>45</v>
      </c>
      <c r="G330" t="s">
        <v>25</v>
      </c>
      <c r="H330" t="s">
        <v>36</v>
      </c>
      <c r="I330">
        <v>1136.05</v>
      </c>
      <c r="J330">
        <v>48928</v>
      </c>
      <c r="K330">
        <v>3395</v>
      </c>
      <c r="L330">
        <v>284</v>
      </c>
      <c r="M330">
        <v>4</v>
      </c>
      <c r="N330">
        <v>6.938767168</v>
      </c>
      <c r="O330">
        <v>8.3652430039999999</v>
      </c>
      <c r="P330">
        <v>4</v>
      </c>
    </row>
    <row r="331" spans="1:16" x14ac:dyDescent="0.35">
      <c r="A331" t="s">
        <v>519</v>
      </c>
      <c r="B331">
        <v>45395</v>
      </c>
      <c r="C331" t="s">
        <v>66</v>
      </c>
      <c r="D331">
        <v>38</v>
      </c>
      <c r="E331" t="s">
        <v>35</v>
      </c>
      <c r="F331" t="s">
        <v>30</v>
      </c>
      <c r="G331" t="s">
        <v>31</v>
      </c>
      <c r="H331" t="s">
        <v>62</v>
      </c>
      <c r="I331">
        <v>637.69000000000005</v>
      </c>
      <c r="J331">
        <v>37281</v>
      </c>
      <c r="K331">
        <v>12</v>
      </c>
      <c r="L331">
        <v>36</v>
      </c>
      <c r="M331">
        <v>2</v>
      </c>
      <c r="N331">
        <v>3.2187977999999999E-2</v>
      </c>
      <c r="O331">
        <v>300</v>
      </c>
      <c r="P331">
        <v>2</v>
      </c>
    </row>
    <row r="332" spans="1:16" x14ac:dyDescent="0.35">
      <c r="A332" t="s">
        <v>520</v>
      </c>
      <c r="B332">
        <v>45364</v>
      </c>
      <c r="C332" t="s">
        <v>327</v>
      </c>
      <c r="D332">
        <v>40</v>
      </c>
      <c r="E332" t="s">
        <v>35</v>
      </c>
      <c r="F332" t="s">
        <v>50</v>
      </c>
      <c r="G332" t="s">
        <v>61</v>
      </c>
      <c r="H332" t="s">
        <v>32</v>
      </c>
      <c r="I332">
        <v>1389.83</v>
      </c>
      <c r="J332">
        <v>18352</v>
      </c>
      <c r="K332">
        <v>2262</v>
      </c>
      <c r="L332">
        <v>193</v>
      </c>
      <c r="M332">
        <v>3</v>
      </c>
      <c r="N332">
        <v>12.32563208</v>
      </c>
      <c r="O332">
        <v>8.5322723249999992</v>
      </c>
      <c r="P332">
        <v>3</v>
      </c>
    </row>
    <row r="333" spans="1:16" x14ac:dyDescent="0.35">
      <c r="A333" t="s">
        <v>521</v>
      </c>
      <c r="B333">
        <v>45444</v>
      </c>
      <c r="C333" t="s">
        <v>270</v>
      </c>
      <c r="D333">
        <v>26</v>
      </c>
      <c r="E333" t="s">
        <v>29</v>
      </c>
      <c r="F333" t="s">
        <v>57</v>
      </c>
      <c r="G333" t="s">
        <v>61</v>
      </c>
      <c r="H333" t="s">
        <v>62</v>
      </c>
      <c r="I333">
        <v>127.84</v>
      </c>
      <c r="J333">
        <v>25106</v>
      </c>
      <c r="K333">
        <v>1866</v>
      </c>
      <c r="L333">
        <v>128</v>
      </c>
      <c r="M333">
        <v>5</v>
      </c>
      <c r="N333">
        <v>7.432486258</v>
      </c>
      <c r="O333">
        <v>6.8595927120000004</v>
      </c>
      <c r="P333">
        <v>5</v>
      </c>
    </row>
    <row r="334" spans="1:16" x14ac:dyDescent="0.35">
      <c r="A334" t="s">
        <v>522</v>
      </c>
      <c r="B334">
        <v>45560</v>
      </c>
      <c r="C334" t="s">
        <v>503</v>
      </c>
      <c r="D334">
        <v>35</v>
      </c>
      <c r="E334" t="s">
        <v>29</v>
      </c>
      <c r="F334" t="s">
        <v>50</v>
      </c>
      <c r="G334" t="s">
        <v>31</v>
      </c>
      <c r="H334" t="s">
        <v>62</v>
      </c>
      <c r="I334">
        <v>218.24</v>
      </c>
      <c r="J334">
        <v>15144</v>
      </c>
      <c r="K334">
        <v>1155</v>
      </c>
      <c r="L334">
        <v>199</v>
      </c>
      <c r="M334">
        <v>1</v>
      </c>
      <c r="N334">
        <v>7.6267828839999998</v>
      </c>
      <c r="O334">
        <v>17.229437229999998</v>
      </c>
      <c r="P334">
        <v>1</v>
      </c>
    </row>
    <row r="335" spans="1:16" x14ac:dyDescent="0.35">
      <c r="A335" t="s">
        <v>523</v>
      </c>
      <c r="B335">
        <v>45469</v>
      </c>
      <c r="C335" t="s">
        <v>524</v>
      </c>
      <c r="D335">
        <v>49</v>
      </c>
      <c r="E335" t="s">
        <v>23</v>
      </c>
      <c r="F335" t="s">
        <v>30</v>
      </c>
      <c r="G335" t="s">
        <v>25</v>
      </c>
      <c r="H335" t="s">
        <v>32</v>
      </c>
      <c r="I335">
        <v>956.32</v>
      </c>
      <c r="J335">
        <v>16230</v>
      </c>
      <c r="K335">
        <v>4973</v>
      </c>
      <c r="L335">
        <v>134</v>
      </c>
      <c r="M335">
        <v>1</v>
      </c>
      <c r="N335">
        <v>30.640788659999998</v>
      </c>
      <c r="O335">
        <v>2.6945505729999999</v>
      </c>
      <c r="P335">
        <v>1</v>
      </c>
    </row>
    <row r="336" spans="1:16" x14ac:dyDescent="0.35">
      <c r="A336" t="s">
        <v>525</v>
      </c>
      <c r="B336">
        <v>45518</v>
      </c>
      <c r="C336" t="s">
        <v>245</v>
      </c>
      <c r="D336">
        <v>25</v>
      </c>
      <c r="E336" t="s">
        <v>29</v>
      </c>
      <c r="F336" t="s">
        <v>30</v>
      </c>
      <c r="G336" t="s">
        <v>61</v>
      </c>
      <c r="H336" t="s">
        <v>36</v>
      </c>
      <c r="I336">
        <v>371.32</v>
      </c>
      <c r="J336">
        <v>41033</v>
      </c>
      <c r="K336">
        <v>2412</v>
      </c>
      <c r="L336">
        <v>208</v>
      </c>
      <c r="M336">
        <v>5</v>
      </c>
      <c r="N336">
        <v>5.8781955989999997</v>
      </c>
      <c r="O336">
        <v>8.6235489219999995</v>
      </c>
      <c r="P336">
        <v>5</v>
      </c>
    </row>
    <row r="337" spans="1:16" x14ac:dyDescent="0.35">
      <c r="A337" t="s">
        <v>526</v>
      </c>
      <c r="B337">
        <v>45487</v>
      </c>
      <c r="C337" t="s">
        <v>527</v>
      </c>
      <c r="D337">
        <v>60</v>
      </c>
      <c r="E337" t="s">
        <v>23</v>
      </c>
      <c r="F337" t="s">
        <v>57</v>
      </c>
      <c r="G337" t="s">
        <v>25</v>
      </c>
      <c r="H337" t="s">
        <v>62</v>
      </c>
      <c r="I337">
        <v>64.86</v>
      </c>
      <c r="J337">
        <v>37695</v>
      </c>
      <c r="K337">
        <v>3584</v>
      </c>
      <c r="L337">
        <v>15</v>
      </c>
      <c r="N337">
        <v>9.5078922929999994</v>
      </c>
      <c r="O337">
        <v>0.41852678599999998</v>
      </c>
      <c r="P337">
        <v>3</v>
      </c>
    </row>
    <row r="338" spans="1:16" x14ac:dyDescent="0.35">
      <c r="A338" t="s">
        <v>528</v>
      </c>
      <c r="B338">
        <v>45416</v>
      </c>
      <c r="C338" t="s">
        <v>217</v>
      </c>
      <c r="D338">
        <v>27</v>
      </c>
      <c r="E338" t="s">
        <v>35</v>
      </c>
      <c r="F338" t="s">
        <v>41</v>
      </c>
      <c r="G338" t="s">
        <v>31</v>
      </c>
      <c r="H338" t="s">
        <v>62</v>
      </c>
      <c r="I338">
        <v>663.09</v>
      </c>
      <c r="J338">
        <v>30158</v>
      </c>
      <c r="K338">
        <v>954</v>
      </c>
      <c r="L338">
        <v>95</v>
      </c>
      <c r="M338">
        <v>1</v>
      </c>
      <c r="N338">
        <v>3.163339744</v>
      </c>
      <c r="O338">
        <v>9.9580712790000003</v>
      </c>
      <c r="P338">
        <v>1</v>
      </c>
    </row>
    <row r="339" spans="1:16" x14ac:dyDescent="0.35">
      <c r="A339" t="s">
        <v>529</v>
      </c>
      <c r="B339">
        <v>45388</v>
      </c>
      <c r="C339" t="s">
        <v>88</v>
      </c>
      <c r="D339">
        <v>45</v>
      </c>
      <c r="E339" t="s">
        <v>23</v>
      </c>
      <c r="F339" t="s">
        <v>45</v>
      </c>
      <c r="G339" t="s">
        <v>25</v>
      </c>
      <c r="H339" t="s">
        <v>26</v>
      </c>
      <c r="I339">
        <v>544.66999999999996</v>
      </c>
      <c r="J339">
        <v>44378</v>
      </c>
      <c r="K339">
        <v>3838</v>
      </c>
      <c r="L339">
        <v>338</v>
      </c>
      <c r="M339">
        <v>5</v>
      </c>
      <c r="N339">
        <v>8.6484294019999997</v>
      </c>
      <c r="O339">
        <v>8.8066701409999997</v>
      </c>
      <c r="P339">
        <v>5</v>
      </c>
    </row>
    <row r="340" spans="1:16" x14ac:dyDescent="0.35">
      <c r="A340" t="s">
        <v>530</v>
      </c>
      <c r="B340">
        <v>45510</v>
      </c>
      <c r="C340" t="s">
        <v>107</v>
      </c>
      <c r="D340">
        <v>55</v>
      </c>
      <c r="E340" t="s">
        <v>35</v>
      </c>
      <c r="F340" t="s">
        <v>57</v>
      </c>
      <c r="G340" t="s">
        <v>31</v>
      </c>
      <c r="H340" t="s">
        <v>36</v>
      </c>
      <c r="I340">
        <v>85.51</v>
      </c>
      <c r="J340">
        <v>20486</v>
      </c>
      <c r="K340">
        <v>3094</v>
      </c>
      <c r="L340">
        <v>292</v>
      </c>
      <c r="M340">
        <v>4</v>
      </c>
      <c r="N340">
        <v>15.10299717</v>
      </c>
      <c r="O340">
        <v>9.4376212020000008</v>
      </c>
      <c r="P340">
        <v>4</v>
      </c>
    </row>
    <row r="341" spans="1:16" x14ac:dyDescent="0.35">
      <c r="A341" t="s">
        <v>531</v>
      </c>
      <c r="B341">
        <v>45629</v>
      </c>
      <c r="C341" t="s">
        <v>312</v>
      </c>
      <c r="D341">
        <v>49</v>
      </c>
      <c r="E341" t="s">
        <v>23</v>
      </c>
      <c r="F341" t="s">
        <v>57</v>
      </c>
      <c r="G341" t="s">
        <v>31</v>
      </c>
      <c r="H341" t="s">
        <v>32</v>
      </c>
      <c r="I341">
        <v>1042.51</v>
      </c>
      <c r="J341">
        <v>24360</v>
      </c>
      <c r="K341">
        <v>3461</v>
      </c>
      <c r="L341">
        <v>369</v>
      </c>
      <c r="M341">
        <v>4</v>
      </c>
      <c r="N341">
        <v>14.20771757</v>
      </c>
      <c r="O341">
        <v>10.66165848</v>
      </c>
      <c r="P341">
        <v>4</v>
      </c>
    </row>
    <row r="342" spans="1:16" x14ac:dyDescent="0.35">
      <c r="A342" t="s">
        <v>532</v>
      </c>
      <c r="B342">
        <v>45495</v>
      </c>
      <c r="C342" t="s">
        <v>77</v>
      </c>
      <c r="D342">
        <v>26</v>
      </c>
      <c r="E342" t="s">
        <v>35</v>
      </c>
      <c r="F342" t="s">
        <v>45</v>
      </c>
      <c r="G342" t="s">
        <v>61</v>
      </c>
      <c r="H342" t="s">
        <v>62</v>
      </c>
      <c r="I342">
        <v>52.05</v>
      </c>
      <c r="J342">
        <v>31734</v>
      </c>
      <c r="K342">
        <v>2497</v>
      </c>
      <c r="L342">
        <v>160</v>
      </c>
      <c r="M342">
        <v>2</v>
      </c>
      <c r="N342">
        <v>7.8685321740000003</v>
      </c>
      <c r="O342">
        <v>6.4076892269999997</v>
      </c>
      <c r="P342">
        <v>2</v>
      </c>
    </row>
    <row r="343" spans="1:16" x14ac:dyDescent="0.35">
      <c r="A343" t="s">
        <v>533</v>
      </c>
      <c r="B343">
        <v>45421</v>
      </c>
      <c r="C343" t="s">
        <v>71</v>
      </c>
      <c r="D343">
        <v>56</v>
      </c>
      <c r="E343" t="s">
        <v>29</v>
      </c>
      <c r="F343" t="s">
        <v>50</v>
      </c>
      <c r="G343" t="s">
        <v>25</v>
      </c>
      <c r="H343" t="s">
        <v>62</v>
      </c>
      <c r="I343">
        <v>1388.2</v>
      </c>
      <c r="J343">
        <v>1319</v>
      </c>
      <c r="K343">
        <v>4883</v>
      </c>
      <c r="L343">
        <v>191</v>
      </c>
      <c r="M343">
        <v>4</v>
      </c>
      <c r="N343">
        <v>370.2047005</v>
      </c>
      <c r="O343">
        <v>3.911529797</v>
      </c>
      <c r="P343">
        <v>4</v>
      </c>
    </row>
    <row r="344" spans="1:16" x14ac:dyDescent="0.35">
      <c r="A344" t="s">
        <v>534</v>
      </c>
      <c r="B344">
        <v>45585</v>
      </c>
      <c r="C344" t="s">
        <v>245</v>
      </c>
      <c r="D344">
        <v>64</v>
      </c>
      <c r="E344" t="s">
        <v>35</v>
      </c>
      <c r="F344" t="s">
        <v>41</v>
      </c>
      <c r="G344" t="s">
        <v>31</v>
      </c>
      <c r="H344" t="s">
        <v>26</v>
      </c>
      <c r="I344">
        <v>1041.07</v>
      </c>
      <c r="J344">
        <v>3127</v>
      </c>
      <c r="K344">
        <v>3183</v>
      </c>
      <c r="L344">
        <v>109</v>
      </c>
      <c r="M344">
        <v>5</v>
      </c>
      <c r="N344">
        <v>101.7908539</v>
      </c>
      <c r="O344">
        <v>3.4244423500000001</v>
      </c>
      <c r="P344">
        <v>5</v>
      </c>
    </row>
    <row r="345" spans="1:16" x14ac:dyDescent="0.35">
      <c r="A345" t="s">
        <v>535</v>
      </c>
      <c r="B345">
        <v>45585</v>
      </c>
      <c r="C345" t="s">
        <v>234</v>
      </c>
      <c r="D345">
        <v>18</v>
      </c>
      <c r="E345" t="s">
        <v>29</v>
      </c>
      <c r="F345" t="s">
        <v>41</v>
      </c>
      <c r="G345" t="s">
        <v>46</v>
      </c>
      <c r="H345" t="s">
        <v>26</v>
      </c>
      <c r="I345">
        <v>355.42</v>
      </c>
      <c r="J345">
        <v>45683</v>
      </c>
      <c r="K345">
        <v>3929</v>
      </c>
      <c r="L345">
        <v>152</v>
      </c>
      <c r="N345">
        <v>8.6005735179999991</v>
      </c>
      <c r="O345">
        <v>3.8686688720000002</v>
      </c>
      <c r="P345">
        <v>3</v>
      </c>
    </row>
    <row r="346" spans="1:16" x14ac:dyDescent="0.35">
      <c r="A346" t="s">
        <v>536</v>
      </c>
      <c r="B346">
        <v>45639</v>
      </c>
      <c r="C346" t="s">
        <v>384</v>
      </c>
      <c r="D346">
        <v>49</v>
      </c>
      <c r="E346" t="s">
        <v>23</v>
      </c>
      <c r="F346" t="s">
        <v>50</v>
      </c>
      <c r="G346" t="s">
        <v>25</v>
      </c>
      <c r="H346" t="s">
        <v>26</v>
      </c>
      <c r="I346">
        <v>450.95</v>
      </c>
      <c r="J346">
        <v>18616</v>
      </c>
      <c r="K346">
        <v>2784</v>
      </c>
      <c r="L346">
        <v>66</v>
      </c>
      <c r="M346">
        <v>2</v>
      </c>
      <c r="N346">
        <v>14.95487752</v>
      </c>
      <c r="O346">
        <v>2.3706896550000001</v>
      </c>
      <c r="P346">
        <v>2</v>
      </c>
    </row>
    <row r="347" spans="1:16" x14ac:dyDescent="0.35">
      <c r="A347" t="s">
        <v>537</v>
      </c>
      <c r="B347">
        <v>45503</v>
      </c>
      <c r="C347" t="s">
        <v>283</v>
      </c>
      <c r="D347">
        <v>41</v>
      </c>
      <c r="E347" t="s">
        <v>23</v>
      </c>
      <c r="F347" t="s">
        <v>30</v>
      </c>
      <c r="G347" t="s">
        <v>31</v>
      </c>
      <c r="H347" t="s">
        <v>36</v>
      </c>
      <c r="I347">
        <v>1191.8399999999999</v>
      </c>
      <c r="J347">
        <v>16440</v>
      </c>
      <c r="K347">
        <v>1568</v>
      </c>
      <c r="L347">
        <v>43</v>
      </c>
      <c r="M347">
        <v>2</v>
      </c>
      <c r="N347">
        <v>9.5377128950000003</v>
      </c>
      <c r="O347">
        <v>2.7423469389999999</v>
      </c>
      <c r="P347">
        <v>2</v>
      </c>
    </row>
    <row r="348" spans="1:16" x14ac:dyDescent="0.35">
      <c r="A348" t="s">
        <v>538</v>
      </c>
      <c r="B348">
        <v>45335</v>
      </c>
      <c r="C348" t="s">
        <v>79</v>
      </c>
      <c r="D348">
        <v>50</v>
      </c>
      <c r="E348" t="s">
        <v>23</v>
      </c>
      <c r="F348" t="s">
        <v>57</v>
      </c>
      <c r="G348" t="s">
        <v>46</v>
      </c>
      <c r="H348" t="s">
        <v>26</v>
      </c>
      <c r="I348">
        <v>1965.53</v>
      </c>
      <c r="J348">
        <v>29757</v>
      </c>
      <c r="K348">
        <v>2870</v>
      </c>
      <c r="L348">
        <v>100</v>
      </c>
      <c r="M348">
        <v>1</v>
      </c>
      <c r="N348">
        <v>9.6447894610000002</v>
      </c>
      <c r="O348">
        <v>3.4843205570000002</v>
      </c>
      <c r="P348">
        <v>1</v>
      </c>
    </row>
    <row r="349" spans="1:16" x14ac:dyDescent="0.35">
      <c r="A349" t="s">
        <v>539</v>
      </c>
      <c r="B349">
        <v>45470</v>
      </c>
      <c r="C349" t="s">
        <v>540</v>
      </c>
      <c r="D349">
        <v>25</v>
      </c>
      <c r="E349" t="s">
        <v>23</v>
      </c>
      <c r="F349" t="s">
        <v>50</v>
      </c>
      <c r="G349" t="s">
        <v>42</v>
      </c>
      <c r="H349" t="s">
        <v>32</v>
      </c>
      <c r="I349">
        <v>711.07</v>
      </c>
      <c r="J349">
        <v>35210</v>
      </c>
      <c r="K349">
        <v>1332</v>
      </c>
      <c r="L349">
        <v>99</v>
      </c>
      <c r="N349">
        <v>3.783016189</v>
      </c>
      <c r="O349">
        <v>7.4324324319999997</v>
      </c>
      <c r="P349">
        <v>3</v>
      </c>
    </row>
    <row r="350" spans="1:16" x14ac:dyDescent="0.35">
      <c r="A350" t="s">
        <v>541</v>
      </c>
      <c r="B350">
        <v>45632</v>
      </c>
      <c r="C350" t="s">
        <v>456</v>
      </c>
      <c r="D350">
        <v>18</v>
      </c>
      <c r="E350" t="s">
        <v>35</v>
      </c>
      <c r="F350" t="s">
        <v>41</v>
      </c>
      <c r="G350" t="s">
        <v>31</v>
      </c>
      <c r="H350" t="s">
        <v>36</v>
      </c>
      <c r="I350">
        <v>1567.09</v>
      </c>
      <c r="J350">
        <v>45893</v>
      </c>
      <c r="K350">
        <v>2967</v>
      </c>
      <c r="L350">
        <v>360</v>
      </c>
      <c r="N350">
        <v>6.4650382410000002</v>
      </c>
      <c r="O350">
        <v>12.133468150000001</v>
      </c>
      <c r="P350">
        <v>3</v>
      </c>
    </row>
    <row r="351" spans="1:16" x14ac:dyDescent="0.35">
      <c r="A351" t="s">
        <v>542</v>
      </c>
      <c r="B351">
        <v>45486</v>
      </c>
      <c r="C351" t="s">
        <v>543</v>
      </c>
      <c r="D351">
        <v>48</v>
      </c>
      <c r="E351" t="s">
        <v>29</v>
      </c>
      <c r="F351" t="s">
        <v>45</v>
      </c>
      <c r="G351" t="s">
        <v>46</v>
      </c>
      <c r="H351" t="s">
        <v>26</v>
      </c>
      <c r="I351">
        <v>531.76</v>
      </c>
      <c r="J351">
        <v>48351</v>
      </c>
      <c r="K351">
        <v>304</v>
      </c>
      <c r="L351">
        <v>219</v>
      </c>
      <c r="N351">
        <v>0.62873570400000001</v>
      </c>
      <c r="O351">
        <v>72.03947368</v>
      </c>
      <c r="P351">
        <v>3</v>
      </c>
    </row>
    <row r="352" spans="1:16" x14ac:dyDescent="0.35">
      <c r="A352" t="s">
        <v>544</v>
      </c>
      <c r="B352">
        <v>45403</v>
      </c>
      <c r="C352" t="s">
        <v>115</v>
      </c>
      <c r="D352">
        <v>45</v>
      </c>
      <c r="E352" t="s">
        <v>35</v>
      </c>
      <c r="F352" t="s">
        <v>50</v>
      </c>
      <c r="G352" t="s">
        <v>61</v>
      </c>
      <c r="H352" t="s">
        <v>26</v>
      </c>
      <c r="I352">
        <v>688.88</v>
      </c>
      <c r="J352">
        <v>6054</v>
      </c>
      <c r="K352">
        <v>4766</v>
      </c>
      <c r="L352">
        <v>40</v>
      </c>
      <c r="M352">
        <v>2</v>
      </c>
      <c r="N352">
        <v>78.724810039999994</v>
      </c>
      <c r="O352">
        <v>0.83927822100000005</v>
      </c>
      <c r="P352">
        <v>2</v>
      </c>
    </row>
    <row r="353" spans="1:16" x14ac:dyDescent="0.35">
      <c r="A353" t="s">
        <v>545</v>
      </c>
      <c r="B353">
        <v>45428</v>
      </c>
      <c r="C353" t="s">
        <v>546</v>
      </c>
      <c r="D353">
        <v>53</v>
      </c>
      <c r="E353" t="s">
        <v>35</v>
      </c>
      <c r="F353" t="s">
        <v>30</v>
      </c>
      <c r="G353" t="s">
        <v>25</v>
      </c>
      <c r="H353" t="s">
        <v>36</v>
      </c>
      <c r="I353">
        <v>1739.68</v>
      </c>
      <c r="J353">
        <v>48194</v>
      </c>
      <c r="K353">
        <v>1196</v>
      </c>
      <c r="L353">
        <v>193</v>
      </c>
      <c r="M353">
        <v>2</v>
      </c>
      <c r="N353">
        <v>2.4816367179999999</v>
      </c>
      <c r="O353">
        <v>16.137123750000001</v>
      </c>
      <c r="P353">
        <v>2</v>
      </c>
    </row>
    <row r="354" spans="1:16" x14ac:dyDescent="0.35">
      <c r="A354" t="s">
        <v>547</v>
      </c>
      <c r="B354">
        <v>45542</v>
      </c>
      <c r="C354" t="s">
        <v>261</v>
      </c>
      <c r="D354">
        <v>38</v>
      </c>
      <c r="E354" t="s">
        <v>29</v>
      </c>
      <c r="F354" t="s">
        <v>50</v>
      </c>
      <c r="G354" t="s">
        <v>61</v>
      </c>
      <c r="H354" t="s">
        <v>26</v>
      </c>
      <c r="I354">
        <v>551.9</v>
      </c>
      <c r="J354">
        <v>13582</v>
      </c>
      <c r="K354">
        <v>2890</v>
      </c>
      <c r="L354">
        <v>210</v>
      </c>
      <c r="M354">
        <v>3</v>
      </c>
      <c r="N354">
        <v>21.278162269999999</v>
      </c>
      <c r="O354">
        <v>7.2664359860000003</v>
      </c>
      <c r="P354">
        <v>3</v>
      </c>
    </row>
    <row r="355" spans="1:16" x14ac:dyDescent="0.35">
      <c r="A355" t="s">
        <v>548</v>
      </c>
      <c r="B355">
        <v>45354</v>
      </c>
      <c r="C355" t="s">
        <v>524</v>
      </c>
      <c r="D355">
        <v>18</v>
      </c>
      <c r="E355" t="s">
        <v>23</v>
      </c>
      <c r="F355" t="s">
        <v>41</v>
      </c>
      <c r="G355" t="s">
        <v>42</v>
      </c>
      <c r="H355" t="s">
        <v>26</v>
      </c>
      <c r="I355">
        <v>1966.14</v>
      </c>
      <c r="J355">
        <v>6272</v>
      </c>
      <c r="K355">
        <v>799</v>
      </c>
      <c r="L355">
        <v>111</v>
      </c>
      <c r="M355">
        <v>2</v>
      </c>
      <c r="N355">
        <v>12.739158160000001</v>
      </c>
      <c r="O355">
        <v>13.892365460000001</v>
      </c>
      <c r="P355">
        <v>2</v>
      </c>
    </row>
    <row r="356" spans="1:16" x14ac:dyDescent="0.35">
      <c r="A356" t="s">
        <v>549</v>
      </c>
      <c r="B356">
        <v>45376</v>
      </c>
      <c r="C356" t="s">
        <v>406</v>
      </c>
      <c r="D356">
        <v>58</v>
      </c>
      <c r="E356" t="s">
        <v>29</v>
      </c>
      <c r="F356" t="s">
        <v>50</v>
      </c>
      <c r="G356" t="s">
        <v>46</v>
      </c>
      <c r="H356" t="s">
        <v>32</v>
      </c>
      <c r="I356">
        <v>742.49</v>
      </c>
      <c r="J356">
        <v>10965</v>
      </c>
      <c r="K356">
        <v>1031</v>
      </c>
      <c r="L356">
        <v>386</v>
      </c>
      <c r="M356">
        <v>4</v>
      </c>
      <c r="N356">
        <v>9.4026447789999992</v>
      </c>
      <c r="O356">
        <v>37.439379240000001</v>
      </c>
      <c r="P356">
        <v>4</v>
      </c>
    </row>
    <row r="357" spans="1:16" x14ac:dyDescent="0.35">
      <c r="A357" t="s">
        <v>550</v>
      </c>
      <c r="B357">
        <v>45605</v>
      </c>
      <c r="C357" t="s">
        <v>270</v>
      </c>
      <c r="D357">
        <v>20</v>
      </c>
      <c r="E357" t="s">
        <v>29</v>
      </c>
      <c r="F357" t="s">
        <v>50</v>
      </c>
      <c r="G357" t="s">
        <v>42</v>
      </c>
      <c r="H357" t="s">
        <v>36</v>
      </c>
      <c r="I357">
        <v>1586.37</v>
      </c>
      <c r="J357">
        <v>26609</v>
      </c>
      <c r="K357">
        <v>761</v>
      </c>
      <c r="L357">
        <v>328</v>
      </c>
      <c r="M357">
        <v>2</v>
      </c>
      <c r="N357">
        <v>2.8599346090000002</v>
      </c>
      <c r="O357">
        <v>43.101182649999998</v>
      </c>
      <c r="P357">
        <v>2</v>
      </c>
    </row>
    <row r="358" spans="1:16" x14ac:dyDescent="0.35">
      <c r="A358" t="s">
        <v>551</v>
      </c>
      <c r="B358">
        <v>45452</v>
      </c>
      <c r="C358" t="s">
        <v>552</v>
      </c>
      <c r="D358">
        <v>24</v>
      </c>
      <c r="E358" t="s">
        <v>23</v>
      </c>
      <c r="F358" t="s">
        <v>57</v>
      </c>
      <c r="G358" t="s">
        <v>61</v>
      </c>
      <c r="H358" t="s">
        <v>36</v>
      </c>
      <c r="I358">
        <v>1464.38</v>
      </c>
      <c r="J358">
        <v>21762</v>
      </c>
      <c r="K358">
        <v>1897</v>
      </c>
      <c r="L358">
        <v>48</v>
      </c>
      <c r="M358">
        <v>4</v>
      </c>
      <c r="N358">
        <v>8.717029685</v>
      </c>
      <c r="O358">
        <v>2.5303110169999998</v>
      </c>
      <c r="P358">
        <v>4</v>
      </c>
    </row>
    <row r="359" spans="1:16" x14ac:dyDescent="0.35">
      <c r="A359" t="s">
        <v>553</v>
      </c>
      <c r="B359">
        <v>45546</v>
      </c>
      <c r="C359" t="s">
        <v>409</v>
      </c>
      <c r="D359">
        <v>52</v>
      </c>
      <c r="E359" t="s">
        <v>23</v>
      </c>
      <c r="F359" t="s">
        <v>30</v>
      </c>
      <c r="G359" t="s">
        <v>61</v>
      </c>
      <c r="H359" t="s">
        <v>26</v>
      </c>
      <c r="I359">
        <v>1804.18</v>
      </c>
      <c r="J359">
        <v>4098</v>
      </c>
      <c r="K359">
        <v>2939</v>
      </c>
      <c r="L359">
        <v>41</v>
      </c>
      <c r="N359">
        <v>71.717911180000002</v>
      </c>
      <c r="O359">
        <v>1.395032324</v>
      </c>
      <c r="P359">
        <v>3</v>
      </c>
    </row>
    <row r="360" spans="1:16" x14ac:dyDescent="0.35">
      <c r="A360" t="s">
        <v>554</v>
      </c>
      <c r="B360">
        <v>45529</v>
      </c>
      <c r="C360" t="s">
        <v>251</v>
      </c>
      <c r="D360">
        <v>31</v>
      </c>
      <c r="E360" t="s">
        <v>23</v>
      </c>
      <c r="F360" t="s">
        <v>30</v>
      </c>
      <c r="G360" t="s">
        <v>61</v>
      </c>
      <c r="H360" t="s">
        <v>32</v>
      </c>
      <c r="I360">
        <v>1538.52</v>
      </c>
      <c r="J360">
        <v>5285</v>
      </c>
      <c r="K360">
        <v>3315</v>
      </c>
      <c r="L360">
        <v>2</v>
      </c>
      <c r="M360">
        <v>5</v>
      </c>
      <c r="N360">
        <v>62.724692529999999</v>
      </c>
      <c r="O360">
        <v>6.0331824999999999E-2</v>
      </c>
      <c r="P360">
        <v>5</v>
      </c>
    </row>
    <row r="361" spans="1:16" x14ac:dyDescent="0.35">
      <c r="A361" t="s">
        <v>555</v>
      </c>
      <c r="B361">
        <v>45614</v>
      </c>
      <c r="C361" t="s">
        <v>109</v>
      </c>
      <c r="D361">
        <v>63</v>
      </c>
      <c r="E361" t="s">
        <v>23</v>
      </c>
      <c r="F361" t="s">
        <v>41</v>
      </c>
      <c r="G361" t="s">
        <v>31</v>
      </c>
      <c r="H361" t="s">
        <v>32</v>
      </c>
      <c r="I361">
        <v>585.47</v>
      </c>
      <c r="J361">
        <v>2479</v>
      </c>
      <c r="K361">
        <v>42</v>
      </c>
      <c r="L361">
        <v>244</v>
      </c>
      <c r="M361">
        <v>4</v>
      </c>
      <c r="N361">
        <v>1.6942315450000001</v>
      </c>
      <c r="O361">
        <v>580.95238099999995</v>
      </c>
      <c r="P361">
        <v>4</v>
      </c>
    </row>
    <row r="362" spans="1:16" x14ac:dyDescent="0.35">
      <c r="A362" t="s">
        <v>556</v>
      </c>
      <c r="B362">
        <v>45487</v>
      </c>
      <c r="C362" t="s">
        <v>71</v>
      </c>
      <c r="D362">
        <v>46</v>
      </c>
      <c r="E362" t="s">
        <v>23</v>
      </c>
      <c r="F362" t="s">
        <v>45</v>
      </c>
      <c r="G362" t="s">
        <v>61</v>
      </c>
      <c r="H362" t="s">
        <v>32</v>
      </c>
      <c r="I362">
        <v>932.92</v>
      </c>
      <c r="J362">
        <v>14844</v>
      </c>
      <c r="K362">
        <v>1268</v>
      </c>
      <c r="L362">
        <v>307</v>
      </c>
      <c r="M362">
        <v>3</v>
      </c>
      <c r="N362">
        <v>8.5421719209999996</v>
      </c>
      <c r="O362">
        <v>24.211356469999998</v>
      </c>
      <c r="P362">
        <v>3</v>
      </c>
    </row>
    <row r="363" spans="1:16" x14ac:dyDescent="0.35">
      <c r="A363" t="s">
        <v>557</v>
      </c>
      <c r="B363">
        <v>45320</v>
      </c>
      <c r="C363" t="s">
        <v>338</v>
      </c>
      <c r="D363">
        <v>22</v>
      </c>
      <c r="E363" t="s">
        <v>35</v>
      </c>
      <c r="F363" t="s">
        <v>57</v>
      </c>
      <c r="G363" t="s">
        <v>25</v>
      </c>
      <c r="H363" t="s">
        <v>62</v>
      </c>
      <c r="I363">
        <v>1480.9</v>
      </c>
      <c r="J363">
        <v>20810</v>
      </c>
      <c r="K363">
        <v>1230</v>
      </c>
      <c r="L363">
        <v>131</v>
      </c>
      <c r="N363">
        <v>5.9106198939999999</v>
      </c>
      <c r="O363">
        <v>10.650406500000001</v>
      </c>
      <c r="P363">
        <v>3</v>
      </c>
    </row>
    <row r="364" spans="1:16" x14ac:dyDescent="0.35">
      <c r="A364" t="s">
        <v>558</v>
      </c>
      <c r="B364">
        <v>45473</v>
      </c>
      <c r="C364" t="s">
        <v>543</v>
      </c>
      <c r="D364">
        <v>38</v>
      </c>
      <c r="E364" t="s">
        <v>23</v>
      </c>
      <c r="F364" t="s">
        <v>45</v>
      </c>
      <c r="G364" t="s">
        <v>46</v>
      </c>
      <c r="H364" t="s">
        <v>36</v>
      </c>
      <c r="I364">
        <v>394.82</v>
      </c>
      <c r="J364">
        <v>11551</v>
      </c>
      <c r="K364">
        <v>608</v>
      </c>
      <c r="L364">
        <v>250</v>
      </c>
      <c r="M364">
        <v>1</v>
      </c>
      <c r="N364">
        <v>5.2636135399999997</v>
      </c>
      <c r="O364">
        <v>41.118421050000002</v>
      </c>
      <c r="P364">
        <v>1</v>
      </c>
    </row>
    <row r="365" spans="1:16" x14ac:dyDescent="0.35">
      <c r="A365" t="s">
        <v>559</v>
      </c>
      <c r="B365">
        <v>45371</v>
      </c>
      <c r="C365" t="s">
        <v>155</v>
      </c>
      <c r="D365">
        <v>35</v>
      </c>
      <c r="E365" t="s">
        <v>29</v>
      </c>
      <c r="F365" t="s">
        <v>41</v>
      </c>
      <c r="G365" t="s">
        <v>42</v>
      </c>
      <c r="H365" t="s">
        <v>32</v>
      </c>
      <c r="I365">
        <v>1536.33</v>
      </c>
      <c r="J365">
        <v>1276</v>
      </c>
      <c r="K365">
        <v>1889</v>
      </c>
      <c r="L365">
        <v>323</v>
      </c>
      <c r="N365">
        <v>148.0407524</v>
      </c>
      <c r="O365">
        <v>17.098994179999998</v>
      </c>
      <c r="P365">
        <v>3</v>
      </c>
    </row>
    <row r="366" spans="1:16" x14ac:dyDescent="0.35">
      <c r="A366" t="s">
        <v>560</v>
      </c>
      <c r="B366">
        <v>45394</v>
      </c>
      <c r="C366" t="s">
        <v>128</v>
      </c>
      <c r="D366">
        <v>57</v>
      </c>
      <c r="E366" t="s">
        <v>35</v>
      </c>
      <c r="F366" t="s">
        <v>57</v>
      </c>
      <c r="G366" t="s">
        <v>25</v>
      </c>
      <c r="H366" t="s">
        <v>36</v>
      </c>
      <c r="I366">
        <v>1246.4100000000001</v>
      </c>
      <c r="J366">
        <v>27233</v>
      </c>
      <c r="K366">
        <v>1746</v>
      </c>
      <c r="L366">
        <v>374</v>
      </c>
      <c r="N366">
        <v>6.411339184</v>
      </c>
      <c r="O366">
        <v>21.420389459999999</v>
      </c>
      <c r="P366">
        <v>3</v>
      </c>
    </row>
    <row r="367" spans="1:16" x14ac:dyDescent="0.35">
      <c r="A367" t="s">
        <v>561</v>
      </c>
      <c r="B367">
        <v>45621</v>
      </c>
      <c r="C367" t="s">
        <v>251</v>
      </c>
      <c r="D367">
        <v>40</v>
      </c>
      <c r="E367" t="s">
        <v>29</v>
      </c>
      <c r="F367" t="s">
        <v>50</v>
      </c>
      <c r="G367" t="s">
        <v>46</v>
      </c>
      <c r="H367" t="s">
        <v>62</v>
      </c>
      <c r="I367">
        <v>754.35</v>
      </c>
      <c r="J367">
        <v>11952</v>
      </c>
      <c r="K367">
        <v>1503</v>
      </c>
      <c r="L367">
        <v>31</v>
      </c>
      <c r="M367">
        <v>5</v>
      </c>
      <c r="N367">
        <v>12.5753012</v>
      </c>
      <c r="O367">
        <v>2.0625415829999998</v>
      </c>
      <c r="P367">
        <v>5</v>
      </c>
    </row>
    <row r="368" spans="1:16" x14ac:dyDescent="0.35">
      <c r="A368" t="s">
        <v>562</v>
      </c>
      <c r="B368">
        <v>45653</v>
      </c>
      <c r="C368" t="s">
        <v>102</v>
      </c>
      <c r="D368">
        <v>36</v>
      </c>
      <c r="E368" t="s">
        <v>35</v>
      </c>
      <c r="F368" t="s">
        <v>24</v>
      </c>
      <c r="G368" t="s">
        <v>42</v>
      </c>
      <c r="H368" t="s">
        <v>36</v>
      </c>
      <c r="I368">
        <v>814.8</v>
      </c>
      <c r="J368">
        <v>39742</v>
      </c>
      <c r="K368">
        <v>3594</v>
      </c>
      <c r="L368">
        <v>5</v>
      </c>
      <c r="M368">
        <v>1</v>
      </c>
      <c r="N368">
        <v>9.0433294750000002</v>
      </c>
      <c r="O368">
        <v>0.13912075700000001</v>
      </c>
      <c r="P368">
        <v>1</v>
      </c>
    </row>
    <row r="369" spans="1:16" x14ac:dyDescent="0.35">
      <c r="A369" t="s">
        <v>563</v>
      </c>
      <c r="B369">
        <v>45333</v>
      </c>
      <c r="C369" t="s">
        <v>359</v>
      </c>
      <c r="D369">
        <v>49</v>
      </c>
      <c r="E369" t="s">
        <v>23</v>
      </c>
      <c r="F369" t="s">
        <v>30</v>
      </c>
      <c r="G369" t="s">
        <v>31</v>
      </c>
      <c r="H369" t="s">
        <v>26</v>
      </c>
      <c r="I369">
        <v>1912.73</v>
      </c>
      <c r="J369">
        <v>45733</v>
      </c>
      <c r="K369">
        <v>4890</v>
      </c>
      <c r="L369">
        <v>55</v>
      </c>
      <c r="N369">
        <v>10.69249776</v>
      </c>
      <c r="O369">
        <v>1.124744376</v>
      </c>
      <c r="P369">
        <v>3</v>
      </c>
    </row>
    <row r="370" spans="1:16" x14ac:dyDescent="0.35">
      <c r="A370" t="s">
        <v>564</v>
      </c>
      <c r="B370">
        <v>45584</v>
      </c>
      <c r="C370" t="s">
        <v>157</v>
      </c>
      <c r="D370">
        <v>41</v>
      </c>
      <c r="E370" t="s">
        <v>35</v>
      </c>
      <c r="F370" t="s">
        <v>24</v>
      </c>
      <c r="G370" t="s">
        <v>25</v>
      </c>
      <c r="H370" t="s">
        <v>32</v>
      </c>
      <c r="I370">
        <v>732.57</v>
      </c>
      <c r="J370">
        <v>30352</v>
      </c>
      <c r="K370">
        <v>3064</v>
      </c>
      <c r="L370">
        <v>35</v>
      </c>
      <c r="M370">
        <v>1</v>
      </c>
      <c r="N370">
        <v>10.09488666</v>
      </c>
      <c r="O370">
        <v>1.1422976499999999</v>
      </c>
      <c r="P370">
        <v>1</v>
      </c>
    </row>
    <row r="371" spans="1:16" x14ac:dyDescent="0.35">
      <c r="A371" t="s">
        <v>565</v>
      </c>
      <c r="B371">
        <v>45560</v>
      </c>
      <c r="C371" t="s">
        <v>85</v>
      </c>
      <c r="D371">
        <v>32</v>
      </c>
      <c r="E371" t="s">
        <v>23</v>
      </c>
      <c r="F371" t="s">
        <v>24</v>
      </c>
      <c r="G371" t="s">
        <v>25</v>
      </c>
      <c r="H371" t="s">
        <v>26</v>
      </c>
      <c r="I371">
        <v>1624.44</v>
      </c>
      <c r="J371">
        <v>37407</v>
      </c>
      <c r="K371">
        <v>2459</v>
      </c>
      <c r="L371">
        <v>171</v>
      </c>
      <c r="M371">
        <v>3</v>
      </c>
      <c r="N371">
        <v>6.5736359499999999</v>
      </c>
      <c r="O371">
        <v>6.9540463600000004</v>
      </c>
      <c r="P371">
        <v>3</v>
      </c>
    </row>
    <row r="372" spans="1:16" x14ac:dyDescent="0.35">
      <c r="A372" t="s">
        <v>566</v>
      </c>
      <c r="B372">
        <v>45646</v>
      </c>
      <c r="C372" t="s">
        <v>567</v>
      </c>
      <c r="D372">
        <v>34</v>
      </c>
      <c r="E372" t="s">
        <v>29</v>
      </c>
      <c r="F372" t="s">
        <v>50</v>
      </c>
      <c r="G372" t="s">
        <v>61</v>
      </c>
      <c r="H372" t="s">
        <v>32</v>
      </c>
      <c r="I372">
        <v>1540.78</v>
      </c>
      <c r="J372">
        <v>12433</v>
      </c>
      <c r="K372">
        <v>4181</v>
      </c>
      <c r="L372">
        <v>40</v>
      </c>
      <c r="M372">
        <v>1</v>
      </c>
      <c r="N372">
        <v>33.62824741</v>
      </c>
      <c r="O372">
        <v>0.95670892100000005</v>
      </c>
      <c r="P372">
        <v>1</v>
      </c>
    </row>
    <row r="373" spans="1:16" x14ac:dyDescent="0.35">
      <c r="A373" t="s">
        <v>568</v>
      </c>
      <c r="B373">
        <v>45456</v>
      </c>
      <c r="C373" t="s">
        <v>134</v>
      </c>
      <c r="D373">
        <v>35</v>
      </c>
      <c r="E373" t="s">
        <v>23</v>
      </c>
      <c r="F373" t="s">
        <v>41</v>
      </c>
      <c r="G373" t="s">
        <v>61</v>
      </c>
      <c r="H373" t="s">
        <v>32</v>
      </c>
      <c r="I373">
        <v>1252.26</v>
      </c>
      <c r="J373">
        <v>31563</v>
      </c>
      <c r="K373">
        <v>1150</v>
      </c>
      <c r="L373">
        <v>54</v>
      </c>
      <c r="M373">
        <v>2</v>
      </c>
      <c r="N373">
        <v>3.6435066379999999</v>
      </c>
      <c r="O373">
        <v>4.6956521740000001</v>
      </c>
      <c r="P373">
        <v>2</v>
      </c>
    </row>
    <row r="374" spans="1:16" x14ac:dyDescent="0.35">
      <c r="A374" t="s">
        <v>569</v>
      </c>
      <c r="B374">
        <v>45634</v>
      </c>
      <c r="C374" t="s">
        <v>570</v>
      </c>
      <c r="D374">
        <v>25</v>
      </c>
      <c r="E374" t="s">
        <v>29</v>
      </c>
      <c r="F374" t="s">
        <v>50</v>
      </c>
      <c r="G374" t="s">
        <v>42</v>
      </c>
      <c r="H374" t="s">
        <v>32</v>
      </c>
      <c r="I374">
        <v>1555.52</v>
      </c>
      <c r="J374">
        <v>10498</v>
      </c>
      <c r="K374">
        <v>229</v>
      </c>
      <c r="L374">
        <v>370</v>
      </c>
      <c r="M374">
        <v>4</v>
      </c>
      <c r="N374">
        <v>2.1813678799999998</v>
      </c>
      <c r="O374">
        <v>161.57205239999999</v>
      </c>
      <c r="P374">
        <v>4</v>
      </c>
    </row>
    <row r="375" spans="1:16" x14ac:dyDescent="0.35">
      <c r="A375" t="s">
        <v>571</v>
      </c>
      <c r="B375">
        <v>45489</v>
      </c>
      <c r="C375" t="s">
        <v>546</v>
      </c>
      <c r="D375">
        <v>25</v>
      </c>
      <c r="E375" t="s">
        <v>35</v>
      </c>
      <c r="F375" t="s">
        <v>45</v>
      </c>
      <c r="G375" t="s">
        <v>42</v>
      </c>
      <c r="H375" t="s">
        <v>26</v>
      </c>
      <c r="I375">
        <v>1428.72</v>
      </c>
      <c r="J375">
        <v>19102</v>
      </c>
      <c r="K375">
        <v>4341</v>
      </c>
      <c r="L375">
        <v>271</v>
      </c>
      <c r="M375">
        <v>2</v>
      </c>
      <c r="N375">
        <v>22.725369069999999</v>
      </c>
      <c r="O375">
        <v>6.2428011980000004</v>
      </c>
      <c r="P375">
        <v>2</v>
      </c>
    </row>
    <row r="376" spans="1:16" x14ac:dyDescent="0.35">
      <c r="A376" t="s">
        <v>572</v>
      </c>
      <c r="B376">
        <v>45351</v>
      </c>
      <c r="C376" t="s">
        <v>384</v>
      </c>
      <c r="D376">
        <v>53</v>
      </c>
      <c r="E376" t="s">
        <v>23</v>
      </c>
      <c r="F376" t="s">
        <v>57</v>
      </c>
      <c r="G376" t="s">
        <v>42</v>
      </c>
      <c r="H376" t="s">
        <v>62</v>
      </c>
      <c r="I376">
        <v>388.97</v>
      </c>
      <c r="J376">
        <v>29954</v>
      </c>
      <c r="K376">
        <v>1919</v>
      </c>
      <c r="L376">
        <v>204</v>
      </c>
      <c r="M376">
        <v>4</v>
      </c>
      <c r="N376">
        <v>6.4064899510000002</v>
      </c>
      <c r="O376">
        <v>10.63053674</v>
      </c>
      <c r="P376">
        <v>4</v>
      </c>
    </row>
    <row r="377" spans="1:16" x14ac:dyDescent="0.35">
      <c r="A377" t="s">
        <v>573</v>
      </c>
      <c r="B377">
        <v>45627</v>
      </c>
      <c r="C377" t="s">
        <v>230</v>
      </c>
      <c r="D377">
        <v>18</v>
      </c>
      <c r="E377" t="s">
        <v>35</v>
      </c>
      <c r="F377" t="s">
        <v>57</v>
      </c>
      <c r="G377" t="s">
        <v>42</v>
      </c>
      <c r="H377" t="s">
        <v>26</v>
      </c>
      <c r="I377">
        <v>269.47000000000003</v>
      </c>
      <c r="J377">
        <v>22870</v>
      </c>
      <c r="K377">
        <v>2272</v>
      </c>
      <c r="L377">
        <v>97</v>
      </c>
      <c r="M377">
        <v>2</v>
      </c>
      <c r="N377">
        <v>9.934411893</v>
      </c>
      <c r="O377">
        <v>4.2693661970000001</v>
      </c>
      <c r="P377">
        <v>2</v>
      </c>
    </row>
    <row r="378" spans="1:16" x14ac:dyDescent="0.35">
      <c r="A378" t="s">
        <v>574</v>
      </c>
      <c r="B378">
        <v>45423</v>
      </c>
      <c r="C378" t="s">
        <v>199</v>
      </c>
      <c r="D378">
        <v>39</v>
      </c>
      <c r="E378" t="s">
        <v>29</v>
      </c>
      <c r="F378" t="s">
        <v>24</v>
      </c>
      <c r="G378" t="s">
        <v>46</v>
      </c>
      <c r="H378" t="s">
        <v>36</v>
      </c>
      <c r="I378">
        <v>1892.57</v>
      </c>
      <c r="J378">
        <v>26130</v>
      </c>
      <c r="K378">
        <v>2618</v>
      </c>
      <c r="L378">
        <v>146</v>
      </c>
      <c r="M378">
        <v>5</v>
      </c>
      <c r="N378">
        <v>10.019135090000001</v>
      </c>
      <c r="O378">
        <v>5.5767761650000001</v>
      </c>
      <c r="P378">
        <v>5</v>
      </c>
    </row>
    <row r="379" spans="1:16" x14ac:dyDescent="0.35">
      <c r="A379" t="s">
        <v>575</v>
      </c>
      <c r="B379">
        <v>45457</v>
      </c>
      <c r="C379" t="s">
        <v>315</v>
      </c>
      <c r="D379">
        <v>47</v>
      </c>
      <c r="E379" t="s">
        <v>35</v>
      </c>
      <c r="F379" t="s">
        <v>41</v>
      </c>
      <c r="G379" t="s">
        <v>31</v>
      </c>
      <c r="H379" t="s">
        <v>36</v>
      </c>
      <c r="I379">
        <v>693.11</v>
      </c>
      <c r="J379">
        <v>30965</v>
      </c>
      <c r="K379">
        <v>2702</v>
      </c>
      <c r="L379">
        <v>95</v>
      </c>
      <c r="N379">
        <v>8.725980946</v>
      </c>
      <c r="O379">
        <v>3.5159141379999999</v>
      </c>
      <c r="P379">
        <v>3</v>
      </c>
    </row>
    <row r="380" spans="1:16" x14ac:dyDescent="0.35">
      <c r="A380" t="s">
        <v>576</v>
      </c>
      <c r="B380">
        <v>45378</v>
      </c>
      <c r="C380" t="s">
        <v>128</v>
      </c>
      <c r="D380">
        <v>48</v>
      </c>
      <c r="E380" t="s">
        <v>35</v>
      </c>
      <c r="F380" t="s">
        <v>30</v>
      </c>
      <c r="G380" t="s">
        <v>61</v>
      </c>
      <c r="H380" t="s">
        <v>62</v>
      </c>
      <c r="I380">
        <v>210.02</v>
      </c>
      <c r="J380">
        <v>48139</v>
      </c>
      <c r="K380">
        <v>678</v>
      </c>
      <c r="L380">
        <v>285</v>
      </c>
      <c r="M380">
        <v>5</v>
      </c>
      <c r="N380">
        <v>1.408421446</v>
      </c>
      <c r="O380">
        <v>42.035398229999998</v>
      </c>
      <c r="P380">
        <v>5</v>
      </c>
    </row>
    <row r="381" spans="1:16" x14ac:dyDescent="0.35">
      <c r="A381" t="s">
        <v>577</v>
      </c>
      <c r="B381">
        <v>45466</v>
      </c>
      <c r="C381" t="s">
        <v>361</v>
      </c>
      <c r="D381">
        <v>27</v>
      </c>
      <c r="E381" t="s">
        <v>35</v>
      </c>
      <c r="F381" t="s">
        <v>57</v>
      </c>
      <c r="G381" t="s">
        <v>42</v>
      </c>
      <c r="H381" t="s">
        <v>62</v>
      </c>
      <c r="I381">
        <v>1630.5</v>
      </c>
      <c r="J381">
        <v>14819</v>
      </c>
      <c r="K381">
        <v>296</v>
      </c>
      <c r="L381">
        <v>248</v>
      </c>
      <c r="N381">
        <v>1.997435724</v>
      </c>
      <c r="O381">
        <v>83.783783779999993</v>
      </c>
      <c r="P381">
        <v>3</v>
      </c>
    </row>
    <row r="382" spans="1:16" x14ac:dyDescent="0.35">
      <c r="A382" t="s">
        <v>578</v>
      </c>
      <c r="B382">
        <v>45306</v>
      </c>
      <c r="C382" t="s">
        <v>579</v>
      </c>
      <c r="D382">
        <v>63</v>
      </c>
      <c r="E382" t="s">
        <v>23</v>
      </c>
      <c r="F382" t="s">
        <v>57</v>
      </c>
      <c r="G382" t="s">
        <v>25</v>
      </c>
      <c r="H382" t="s">
        <v>36</v>
      </c>
      <c r="I382">
        <v>1859.06</v>
      </c>
      <c r="J382">
        <v>25889</v>
      </c>
      <c r="K382">
        <v>4113</v>
      </c>
      <c r="L382">
        <v>49</v>
      </c>
      <c r="N382">
        <v>15.887056279999999</v>
      </c>
      <c r="O382">
        <v>1.1913445170000001</v>
      </c>
      <c r="P382">
        <v>3</v>
      </c>
    </row>
    <row r="383" spans="1:16" x14ac:dyDescent="0.35">
      <c r="A383" t="s">
        <v>580</v>
      </c>
      <c r="B383">
        <v>45439</v>
      </c>
      <c r="C383" t="s">
        <v>483</v>
      </c>
      <c r="D383">
        <v>27</v>
      </c>
      <c r="E383" t="s">
        <v>29</v>
      </c>
      <c r="F383" t="s">
        <v>24</v>
      </c>
      <c r="G383" t="s">
        <v>42</v>
      </c>
      <c r="H383" t="s">
        <v>26</v>
      </c>
      <c r="I383">
        <v>593.76</v>
      </c>
      <c r="J383">
        <v>26916</v>
      </c>
      <c r="K383">
        <v>43</v>
      </c>
      <c r="L383">
        <v>261</v>
      </c>
      <c r="M383">
        <v>3</v>
      </c>
      <c r="N383">
        <v>0.159756279</v>
      </c>
      <c r="O383">
        <v>606.97674419999998</v>
      </c>
      <c r="P383">
        <v>3</v>
      </c>
    </row>
    <row r="384" spans="1:16" x14ac:dyDescent="0.35">
      <c r="A384" t="s">
        <v>581</v>
      </c>
      <c r="B384">
        <v>45470</v>
      </c>
      <c r="C384" t="s">
        <v>582</v>
      </c>
      <c r="D384">
        <v>19</v>
      </c>
      <c r="E384" t="s">
        <v>29</v>
      </c>
      <c r="F384" t="s">
        <v>45</v>
      </c>
      <c r="G384" t="s">
        <v>42</v>
      </c>
      <c r="H384" t="s">
        <v>36</v>
      </c>
      <c r="I384">
        <v>1190.57</v>
      </c>
      <c r="J384">
        <v>34115</v>
      </c>
      <c r="K384">
        <v>893</v>
      </c>
      <c r="L384">
        <v>370</v>
      </c>
      <c r="M384">
        <v>1</v>
      </c>
      <c r="N384">
        <v>2.6176168839999998</v>
      </c>
      <c r="O384">
        <v>41.433370660000001</v>
      </c>
      <c r="P384">
        <v>1</v>
      </c>
    </row>
    <row r="385" spans="1:16" x14ac:dyDescent="0.35">
      <c r="A385" t="s">
        <v>583</v>
      </c>
      <c r="B385">
        <v>45656</v>
      </c>
      <c r="C385" t="s">
        <v>584</v>
      </c>
      <c r="D385">
        <v>38</v>
      </c>
      <c r="E385" t="s">
        <v>35</v>
      </c>
      <c r="F385" t="s">
        <v>45</v>
      </c>
      <c r="G385" t="s">
        <v>31</v>
      </c>
      <c r="H385" t="s">
        <v>32</v>
      </c>
      <c r="I385">
        <v>1584.85</v>
      </c>
      <c r="J385">
        <v>31360</v>
      </c>
      <c r="K385">
        <v>1662</v>
      </c>
      <c r="L385">
        <v>272</v>
      </c>
      <c r="M385">
        <v>3</v>
      </c>
      <c r="N385">
        <v>5.2997448980000001</v>
      </c>
      <c r="O385">
        <v>16.365824310000001</v>
      </c>
      <c r="P385">
        <v>3</v>
      </c>
    </row>
    <row r="386" spans="1:16" x14ac:dyDescent="0.35">
      <c r="A386" t="s">
        <v>585</v>
      </c>
      <c r="B386">
        <v>45585</v>
      </c>
      <c r="C386" t="s">
        <v>281</v>
      </c>
      <c r="D386">
        <v>34</v>
      </c>
      <c r="E386" t="s">
        <v>23</v>
      </c>
      <c r="F386" t="s">
        <v>50</v>
      </c>
      <c r="G386" t="s">
        <v>31</v>
      </c>
      <c r="H386" t="s">
        <v>36</v>
      </c>
      <c r="I386">
        <v>404.54</v>
      </c>
      <c r="J386">
        <v>34807</v>
      </c>
      <c r="K386">
        <v>2330</v>
      </c>
      <c r="L386">
        <v>173</v>
      </c>
      <c r="M386">
        <v>5</v>
      </c>
      <c r="N386">
        <v>6.6940557930000004</v>
      </c>
      <c r="O386">
        <v>7.4248927040000003</v>
      </c>
      <c r="P386">
        <v>5</v>
      </c>
    </row>
    <row r="387" spans="1:16" x14ac:dyDescent="0.35">
      <c r="A387" t="s">
        <v>586</v>
      </c>
      <c r="B387">
        <v>45605</v>
      </c>
      <c r="C387" t="s">
        <v>552</v>
      </c>
      <c r="D387">
        <v>33</v>
      </c>
      <c r="E387" t="s">
        <v>29</v>
      </c>
      <c r="F387" t="s">
        <v>57</v>
      </c>
      <c r="G387" t="s">
        <v>25</v>
      </c>
      <c r="H387" t="s">
        <v>32</v>
      </c>
      <c r="I387">
        <v>380.07</v>
      </c>
      <c r="J387">
        <v>46434</v>
      </c>
      <c r="K387">
        <v>2145</v>
      </c>
      <c r="L387">
        <v>174</v>
      </c>
      <c r="M387">
        <v>4</v>
      </c>
      <c r="N387">
        <v>4.6194598789999999</v>
      </c>
      <c r="O387">
        <v>8.1118881120000008</v>
      </c>
      <c r="P387">
        <v>4</v>
      </c>
    </row>
    <row r="388" spans="1:16" x14ac:dyDescent="0.35">
      <c r="A388" t="s">
        <v>587</v>
      </c>
      <c r="B388">
        <v>45635</v>
      </c>
      <c r="C388" t="s">
        <v>203</v>
      </c>
      <c r="D388">
        <v>64</v>
      </c>
      <c r="E388" t="s">
        <v>29</v>
      </c>
      <c r="F388" t="s">
        <v>24</v>
      </c>
      <c r="G388" t="s">
        <v>25</v>
      </c>
      <c r="H388" t="s">
        <v>32</v>
      </c>
      <c r="I388">
        <v>488.34</v>
      </c>
      <c r="J388">
        <v>39424</v>
      </c>
      <c r="K388">
        <v>19</v>
      </c>
      <c r="L388">
        <v>116</v>
      </c>
      <c r="M388">
        <v>2</v>
      </c>
      <c r="N388">
        <v>4.8193993999999997E-2</v>
      </c>
      <c r="O388">
        <v>610.52631580000002</v>
      </c>
      <c r="P388">
        <v>2</v>
      </c>
    </row>
    <row r="389" spans="1:16" x14ac:dyDescent="0.35">
      <c r="A389" t="s">
        <v>588</v>
      </c>
      <c r="B389">
        <v>45361</v>
      </c>
      <c r="C389" t="s">
        <v>589</v>
      </c>
      <c r="D389">
        <v>60</v>
      </c>
      <c r="E389" t="s">
        <v>29</v>
      </c>
      <c r="F389" t="s">
        <v>45</v>
      </c>
      <c r="G389" t="s">
        <v>46</v>
      </c>
      <c r="H389" t="s">
        <v>62</v>
      </c>
      <c r="I389">
        <v>1886.92</v>
      </c>
      <c r="J389">
        <v>12831</v>
      </c>
      <c r="K389">
        <v>4655</v>
      </c>
      <c r="L389">
        <v>178</v>
      </c>
      <c r="M389">
        <v>4</v>
      </c>
      <c r="N389">
        <v>36.279323509999998</v>
      </c>
      <c r="O389">
        <v>3.823845328</v>
      </c>
      <c r="P389">
        <v>4</v>
      </c>
    </row>
    <row r="390" spans="1:16" x14ac:dyDescent="0.35">
      <c r="A390" t="s">
        <v>590</v>
      </c>
      <c r="B390">
        <v>45508</v>
      </c>
      <c r="C390" t="s">
        <v>66</v>
      </c>
      <c r="D390">
        <v>44</v>
      </c>
      <c r="E390" t="s">
        <v>23</v>
      </c>
      <c r="F390" t="s">
        <v>24</v>
      </c>
      <c r="G390" t="s">
        <v>61</v>
      </c>
      <c r="H390" t="s">
        <v>26</v>
      </c>
      <c r="I390">
        <v>1721.71</v>
      </c>
      <c r="J390">
        <v>9266</v>
      </c>
      <c r="K390">
        <v>1032</v>
      </c>
      <c r="L390">
        <v>5</v>
      </c>
      <c r="M390">
        <v>1</v>
      </c>
      <c r="N390">
        <v>11.13749191</v>
      </c>
      <c r="O390">
        <v>0.48449612399999997</v>
      </c>
      <c r="P390">
        <v>1</v>
      </c>
    </row>
    <row r="391" spans="1:16" x14ac:dyDescent="0.35">
      <c r="A391" t="s">
        <v>591</v>
      </c>
      <c r="B391">
        <v>45559</v>
      </c>
      <c r="C391" t="s">
        <v>297</v>
      </c>
      <c r="D391">
        <v>53</v>
      </c>
      <c r="E391" t="s">
        <v>35</v>
      </c>
      <c r="F391" t="s">
        <v>41</v>
      </c>
      <c r="G391" t="s">
        <v>46</v>
      </c>
      <c r="H391" t="s">
        <v>62</v>
      </c>
      <c r="I391">
        <v>1963.04</v>
      </c>
      <c r="J391">
        <v>25292</v>
      </c>
      <c r="K391">
        <v>679</v>
      </c>
      <c r="L391">
        <v>99</v>
      </c>
      <c r="M391">
        <v>4</v>
      </c>
      <c r="N391">
        <v>2.6846433649999999</v>
      </c>
      <c r="O391">
        <v>14.5802651</v>
      </c>
      <c r="P391">
        <v>4</v>
      </c>
    </row>
    <row r="392" spans="1:16" x14ac:dyDescent="0.35">
      <c r="A392" t="s">
        <v>592</v>
      </c>
      <c r="B392">
        <v>45318</v>
      </c>
      <c r="C392" t="s">
        <v>100</v>
      </c>
      <c r="D392">
        <v>20</v>
      </c>
      <c r="E392" t="s">
        <v>35</v>
      </c>
      <c r="F392" t="s">
        <v>30</v>
      </c>
      <c r="G392" t="s">
        <v>46</v>
      </c>
      <c r="H392" t="s">
        <v>26</v>
      </c>
      <c r="I392">
        <v>1672.82</v>
      </c>
      <c r="J392">
        <v>6780</v>
      </c>
      <c r="K392">
        <v>2550</v>
      </c>
      <c r="L392">
        <v>290</v>
      </c>
      <c r="M392">
        <v>3</v>
      </c>
      <c r="N392">
        <v>37.610619470000003</v>
      </c>
      <c r="O392">
        <v>11.372549019999999</v>
      </c>
      <c r="P392">
        <v>3</v>
      </c>
    </row>
    <row r="393" spans="1:16" x14ac:dyDescent="0.35">
      <c r="A393" t="s">
        <v>593</v>
      </c>
      <c r="B393">
        <v>45582</v>
      </c>
      <c r="C393" t="s">
        <v>155</v>
      </c>
      <c r="D393">
        <v>37</v>
      </c>
      <c r="E393" t="s">
        <v>29</v>
      </c>
      <c r="F393" t="s">
        <v>45</v>
      </c>
      <c r="G393" t="s">
        <v>61</v>
      </c>
      <c r="H393" t="s">
        <v>32</v>
      </c>
      <c r="I393">
        <v>1215.46</v>
      </c>
      <c r="J393">
        <v>43063</v>
      </c>
      <c r="K393">
        <v>2587</v>
      </c>
      <c r="L393">
        <v>126</v>
      </c>
      <c r="M393">
        <v>4</v>
      </c>
      <c r="N393">
        <v>6.0074774169999996</v>
      </c>
      <c r="O393">
        <v>4.870506378</v>
      </c>
      <c r="P393">
        <v>4</v>
      </c>
    </row>
    <row r="394" spans="1:16" x14ac:dyDescent="0.35">
      <c r="A394" t="s">
        <v>594</v>
      </c>
      <c r="B394">
        <v>45372</v>
      </c>
      <c r="C394" t="s">
        <v>595</v>
      </c>
      <c r="D394">
        <v>23</v>
      </c>
      <c r="E394" t="s">
        <v>29</v>
      </c>
      <c r="F394" t="s">
        <v>45</v>
      </c>
      <c r="G394" t="s">
        <v>46</v>
      </c>
      <c r="H394" t="s">
        <v>32</v>
      </c>
      <c r="I394">
        <v>1326.52</v>
      </c>
      <c r="J394">
        <v>37884</v>
      </c>
      <c r="K394">
        <v>4681</v>
      </c>
      <c r="L394">
        <v>376</v>
      </c>
      <c r="M394">
        <v>4</v>
      </c>
      <c r="N394">
        <v>12.356139799999999</v>
      </c>
      <c r="O394">
        <v>8.0324716939999998</v>
      </c>
      <c r="P394">
        <v>4</v>
      </c>
    </row>
    <row r="395" spans="1:16" x14ac:dyDescent="0.35">
      <c r="A395" t="s">
        <v>596</v>
      </c>
      <c r="B395">
        <v>45589</v>
      </c>
      <c r="C395" t="s">
        <v>409</v>
      </c>
      <c r="D395">
        <v>31</v>
      </c>
      <c r="E395" t="s">
        <v>35</v>
      </c>
      <c r="F395" t="s">
        <v>30</v>
      </c>
      <c r="G395" t="s">
        <v>42</v>
      </c>
      <c r="H395" t="s">
        <v>36</v>
      </c>
      <c r="I395">
        <v>965.16</v>
      </c>
      <c r="J395">
        <v>19188</v>
      </c>
      <c r="K395">
        <v>4587</v>
      </c>
      <c r="L395">
        <v>166</v>
      </c>
      <c r="M395">
        <v>1</v>
      </c>
      <c r="N395">
        <v>23.905565979999999</v>
      </c>
      <c r="O395">
        <v>3.6189230430000001</v>
      </c>
      <c r="P395">
        <v>1</v>
      </c>
    </row>
    <row r="396" spans="1:16" x14ac:dyDescent="0.35">
      <c r="A396" t="s">
        <v>597</v>
      </c>
      <c r="B396">
        <v>45631</v>
      </c>
      <c r="C396" t="s">
        <v>598</v>
      </c>
      <c r="D396">
        <v>20</v>
      </c>
      <c r="E396" t="s">
        <v>29</v>
      </c>
      <c r="F396" t="s">
        <v>24</v>
      </c>
      <c r="G396" t="s">
        <v>46</v>
      </c>
      <c r="H396" t="s">
        <v>62</v>
      </c>
      <c r="I396">
        <v>1343.22</v>
      </c>
      <c r="J396">
        <v>23900</v>
      </c>
      <c r="K396">
        <v>3461</v>
      </c>
      <c r="L396">
        <v>48</v>
      </c>
      <c r="M396">
        <v>2</v>
      </c>
      <c r="N396">
        <v>14.481171549999999</v>
      </c>
      <c r="O396">
        <v>1.3868824040000001</v>
      </c>
      <c r="P396">
        <v>2</v>
      </c>
    </row>
    <row r="397" spans="1:16" x14ac:dyDescent="0.35">
      <c r="A397" t="s">
        <v>599</v>
      </c>
      <c r="B397">
        <v>45582</v>
      </c>
      <c r="C397" t="s">
        <v>324</v>
      </c>
      <c r="D397">
        <v>50</v>
      </c>
      <c r="E397" t="s">
        <v>35</v>
      </c>
      <c r="F397" t="s">
        <v>24</v>
      </c>
      <c r="G397" t="s">
        <v>42</v>
      </c>
      <c r="H397" t="s">
        <v>62</v>
      </c>
      <c r="I397">
        <v>1474.27</v>
      </c>
      <c r="J397">
        <v>25943</v>
      </c>
      <c r="K397">
        <v>166</v>
      </c>
      <c r="L397">
        <v>69</v>
      </c>
      <c r="N397">
        <v>0.63986431799999999</v>
      </c>
      <c r="O397">
        <v>41.566265059999999</v>
      </c>
      <c r="P397">
        <v>3</v>
      </c>
    </row>
    <row r="398" spans="1:16" x14ac:dyDescent="0.35">
      <c r="A398" t="s">
        <v>600</v>
      </c>
      <c r="B398">
        <v>45622</v>
      </c>
      <c r="C398" t="s">
        <v>178</v>
      </c>
      <c r="D398">
        <v>58</v>
      </c>
      <c r="E398" t="s">
        <v>29</v>
      </c>
      <c r="F398" t="s">
        <v>45</v>
      </c>
      <c r="G398" t="s">
        <v>46</v>
      </c>
      <c r="H398" t="s">
        <v>26</v>
      </c>
      <c r="I398">
        <v>1337.69</v>
      </c>
      <c r="J398">
        <v>46340</v>
      </c>
      <c r="K398">
        <v>2518</v>
      </c>
      <c r="L398">
        <v>74</v>
      </c>
      <c r="M398">
        <v>1</v>
      </c>
      <c r="N398">
        <v>5.433750539</v>
      </c>
      <c r="O398">
        <v>2.9388403489999999</v>
      </c>
      <c r="P398">
        <v>1</v>
      </c>
    </row>
    <row r="399" spans="1:16" x14ac:dyDescent="0.35">
      <c r="A399" t="s">
        <v>601</v>
      </c>
      <c r="B399">
        <v>45616</v>
      </c>
      <c r="C399" t="s">
        <v>245</v>
      </c>
      <c r="D399">
        <v>56</v>
      </c>
      <c r="E399" t="s">
        <v>35</v>
      </c>
      <c r="F399" t="s">
        <v>45</v>
      </c>
      <c r="G399" t="s">
        <v>25</v>
      </c>
      <c r="H399" t="s">
        <v>32</v>
      </c>
      <c r="I399">
        <v>527.01</v>
      </c>
      <c r="J399">
        <v>13457</v>
      </c>
      <c r="K399">
        <v>954</v>
      </c>
      <c r="L399">
        <v>158</v>
      </c>
      <c r="M399">
        <v>3</v>
      </c>
      <c r="N399">
        <v>7.089247232</v>
      </c>
      <c r="O399">
        <v>16.561844860000001</v>
      </c>
      <c r="P399">
        <v>3</v>
      </c>
    </row>
    <row r="400" spans="1:16" x14ac:dyDescent="0.35">
      <c r="A400" t="s">
        <v>602</v>
      </c>
      <c r="B400">
        <v>45487</v>
      </c>
      <c r="C400" t="s">
        <v>471</v>
      </c>
      <c r="D400">
        <v>49</v>
      </c>
      <c r="E400" t="s">
        <v>23</v>
      </c>
      <c r="F400" t="s">
        <v>24</v>
      </c>
      <c r="G400" t="s">
        <v>25</v>
      </c>
      <c r="H400" t="s">
        <v>32</v>
      </c>
      <c r="I400">
        <v>1529.78</v>
      </c>
      <c r="J400">
        <v>10748</v>
      </c>
      <c r="K400">
        <v>1939</v>
      </c>
      <c r="L400">
        <v>202</v>
      </c>
      <c r="M400">
        <v>5</v>
      </c>
      <c r="N400">
        <v>18.040565690000001</v>
      </c>
      <c r="O400">
        <v>10.417741100000001</v>
      </c>
      <c r="P400">
        <v>5</v>
      </c>
    </row>
    <row r="401" spans="1:16" x14ac:dyDescent="0.35">
      <c r="A401" t="s">
        <v>603</v>
      </c>
      <c r="B401">
        <v>45296</v>
      </c>
      <c r="C401" t="s">
        <v>71</v>
      </c>
      <c r="D401">
        <v>29</v>
      </c>
      <c r="E401" t="s">
        <v>23</v>
      </c>
      <c r="F401" t="s">
        <v>57</v>
      </c>
      <c r="G401" t="s">
        <v>25</v>
      </c>
      <c r="H401" t="s">
        <v>26</v>
      </c>
      <c r="I401">
        <v>569.30999999999995</v>
      </c>
      <c r="J401">
        <v>21418</v>
      </c>
      <c r="K401">
        <v>2309</v>
      </c>
      <c r="L401">
        <v>188</v>
      </c>
      <c r="M401">
        <v>2</v>
      </c>
      <c r="N401">
        <v>10.78065179</v>
      </c>
      <c r="O401">
        <v>8.1420528369999996</v>
      </c>
      <c r="P401">
        <v>2</v>
      </c>
    </row>
    <row r="402" spans="1:16" x14ac:dyDescent="0.35">
      <c r="A402" t="s">
        <v>604</v>
      </c>
      <c r="B402">
        <v>45396</v>
      </c>
      <c r="C402" t="s">
        <v>391</v>
      </c>
      <c r="D402">
        <v>40</v>
      </c>
      <c r="E402" t="s">
        <v>23</v>
      </c>
      <c r="F402" t="s">
        <v>45</v>
      </c>
      <c r="G402" t="s">
        <v>31</v>
      </c>
      <c r="H402" t="s">
        <v>36</v>
      </c>
      <c r="I402">
        <v>1267.24</v>
      </c>
      <c r="J402">
        <v>12945</v>
      </c>
      <c r="K402">
        <v>3132</v>
      </c>
      <c r="L402">
        <v>382</v>
      </c>
      <c r="M402">
        <v>2</v>
      </c>
      <c r="N402">
        <v>24.19466976</v>
      </c>
      <c r="O402">
        <v>12.19667944</v>
      </c>
      <c r="P402">
        <v>2</v>
      </c>
    </row>
    <row r="403" spans="1:16" x14ac:dyDescent="0.35">
      <c r="A403" t="s">
        <v>605</v>
      </c>
      <c r="B403">
        <v>45427</v>
      </c>
      <c r="C403" t="s">
        <v>503</v>
      </c>
      <c r="D403">
        <v>18</v>
      </c>
      <c r="E403" t="s">
        <v>29</v>
      </c>
      <c r="F403" t="s">
        <v>24</v>
      </c>
      <c r="G403" t="s">
        <v>46</v>
      </c>
      <c r="H403" t="s">
        <v>36</v>
      </c>
      <c r="I403">
        <v>1328.31</v>
      </c>
      <c r="J403">
        <v>30349</v>
      </c>
      <c r="K403">
        <v>497</v>
      </c>
      <c r="L403">
        <v>170</v>
      </c>
      <c r="M403">
        <v>3</v>
      </c>
      <c r="N403">
        <v>1.637615737</v>
      </c>
      <c r="O403">
        <v>34.205231390000002</v>
      </c>
      <c r="P403">
        <v>3</v>
      </c>
    </row>
    <row r="404" spans="1:16" x14ac:dyDescent="0.35">
      <c r="A404" t="s">
        <v>606</v>
      </c>
      <c r="B404">
        <v>45526</v>
      </c>
      <c r="C404" t="s">
        <v>418</v>
      </c>
      <c r="D404">
        <v>39</v>
      </c>
      <c r="E404" t="s">
        <v>35</v>
      </c>
      <c r="F404" t="s">
        <v>57</v>
      </c>
      <c r="G404" t="s">
        <v>61</v>
      </c>
      <c r="H404" t="s">
        <v>62</v>
      </c>
      <c r="I404">
        <v>672.84</v>
      </c>
      <c r="J404">
        <v>24935</v>
      </c>
      <c r="K404">
        <v>3298</v>
      </c>
      <c r="L404">
        <v>351</v>
      </c>
      <c r="M404">
        <v>3</v>
      </c>
      <c r="N404">
        <v>13.226388610000001</v>
      </c>
      <c r="O404">
        <v>10.64281383</v>
      </c>
      <c r="P404">
        <v>3</v>
      </c>
    </row>
    <row r="405" spans="1:16" x14ac:dyDescent="0.35">
      <c r="A405" t="s">
        <v>607</v>
      </c>
      <c r="B405">
        <v>45606</v>
      </c>
      <c r="C405" t="s">
        <v>283</v>
      </c>
      <c r="D405">
        <v>61</v>
      </c>
      <c r="E405" t="s">
        <v>23</v>
      </c>
      <c r="F405" t="s">
        <v>30</v>
      </c>
      <c r="G405" t="s">
        <v>46</v>
      </c>
      <c r="H405" t="s">
        <v>32</v>
      </c>
      <c r="I405">
        <v>1703.51</v>
      </c>
      <c r="J405">
        <v>4577</v>
      </c>
      <c r="K405">
        <v>1433</v>
      </c>
      <c r="L405">
        <v>266</v>
      </c>
      <c r="M405">
        <v>3</v>
      </c>
      <c r="N405">
        <v>31.3087175</v>
      </c>
      <c r="O405">
        <v>18.562456390000001</v>
      </c>
      <c r="P405">
        <v>3</v>
      </c>
    </row>
    <row r="406" spans="1:16" x14ac:dyDescent="0.35">
      <c r="A406" t="s">
        <v>608</v>
      </c>
      <c r="B406">
        <v>45404</v>
      </c>
      <c r="C406" t="s">
        <v>319</v>
      </c>
      <c r="D406">
        <v>19</v>
      </c>
      <c r="E406" t="s">
        <v>29</v>
      </c>
      <c r="F406" t="s">
        <v>57</v>
      </c>
      <c r="G406" t="s">
        <v>46</v>
      </c>
      <c r="H406" t="s">
        <v>32</v>
      </c>
      <c r="I406">
        <v>1595.88</v>
      </c>
      <c r="J406">
        <v>17971</v>
      </c>
      <c r="K406">
        <v>4601</v>
      </c>
      <c r="L406">
        <v>368</v>
      </c>
      <c r="M406">
        <v>4</v>
      </c>
      <c r="N406">
        <v>25.602359360000001</v>
      </c>
      <c r="O406">
        <v>7.9982612480000004</v>
      </c>
      <c r="P406">
        <v>4</v>
      </c>
    </row>
    <row r="407" spans="1:16" x14ac:dyDescent="0.35">
      <c r="A407" t="s">
        <v>609</v>
      </c>
      <c r="B407">
        <v>45550</v>
      </c>
      <c r="C407" t="s">
        <v>166</v>
      </c>
      <c r="D407">
        <v>32</v>
      </c>
      <c r="E407" t="s">
        <v>23</v>
      </c>
      <c r="F407" t="s">
        <v>24</v>
      </c>
      <c r="G407" t="s">
        <v>46</v>
      </c>
      <c r="H407" t="s">
        <v>62</v>
      </c>
      <c r="I407">
        <v>1850.68</v>
      </c>
      <c r="J407">
        <v>2645</v>
      </c>
      <c r="K407">
        <v>3383</v>
      </c>
      <c r="L407">
        <v>152</v>
      </c>
      <c r="M407">
        <v>3</v>
      </c>
      <c r="N407">
        <v>127.9017013</v>
      </c>
      <c r="O407">
        <v>4.4930535029999996</v>
      </c>
      <c r="P407">
        <v>3</v>
      </c>
    </row>
    <row r="408" spans="1:16" x14ac:dyDescent="0.35">
      <c r="A408" t="s">
        <v>610</v>
      </c>
      <c r="B408">
        <v>45587</v>
      </c>
      <c r="C408" t="s">
        <v>483</v>
      </c>
      <c r="D408">
        <v>36</v>
      </c>
      <c r="E408" t="s">
        <v>35</v>
      </c>
      <c r="F408" t="s">
        <v>50</v>
      </c>
      <c r="G408" t="s">
        <v>25</v>
      </c>
      <c r="H408" t="s">
        <v>62</v>
      </c>
      <c r="I408">
        <v>476.13</v>
      </c>
      <c r="J408">
        <v>10856</v>
      </c>
      <c r="K408">
        <v>424</v>
      </c>
      <c r="L408">
        <v>243</v>
      </c>
      <c r="M408">
        <v>2</v>
      </c>
      <c r="N408">
        <v>3.9056742820000001</v>
      </c>
      <c r="O408">
        <v>57.31132075</v>
      </c>
      <c r="P408">
        <v>2</v>
      </c>
    </row>
    <row r="409" spans="1:16" x14ac:dyDescent="0.35">
      <c r="A409" t="s">
        <v>611</v>
      </c>
      <c r="B409">
        <v>45622</v>
      </c>
      <c r="C409" t="s">
        <v>92</v>
      </c>
      <c r="D409">
        <v>53</v>
      </c>
      <c r="E409" t="s">
        <v>29</v>
      </c>
      <c r="F409" t="s">
        <v>45</v>
      </c>
      <c r="G409" t="s">
        <v>25</v>
      </c>
      <c r="H409" t="s">
        <v>32</v>
      </c>
      <c r="I409">
        <v>941.22</v>
      </c>
      <c r="J409">
        <v>25031</v>
      </c>
      <c r="K409">
        <v>4245</v>
      </c>
      <c r="L409">
        <v>25</v>
      </c>
      <c r="M409">
        <v>1</v>
      </c>
      <c r="N409">
        <v>16.958970879999999</v>
      </c>
      <c r="O409">
        <v>0.58892815099999996</v>
      </c>
      <c r="P409">
        <v>1</v>
      </c>
    </row>
    <row r="410" spans="1:16" x14ac:dyDescent="0.35">
      <c r="A410" t="s">
        <v>612</v>
      </c>
      <c r="B410">
        <v>45364</v>
      </c>
      <c r="C410" t="s">
        <v>28</v>
      </c>
      <c r="D410">
        <v>28</v>
      </c>
      <c r="E410" t="s">
        <v>35</v>
      </c>
      <c r="F410" t="s">
        <v>45</v>
      </c>
      <c r="G410" t="s">
        <v>61</v>
      </c>
      <c r="H410" t="s">
        <v>62</v>
      </c>
      <c r="I410">
        <v>148.41</v>
      </c>
      <c r="J410">
        <v>5305</v>
      </c>
      <c r="K410">
        <v>4529</v>
      </c>
      <c r="L410">
        <v>82</v>
      </c>
      <c r="M410">
        <v>5</v>
      </c>
      <c r="N410">
        <v>85.372290289999995</v>
      </c>
      <c r="O410">
        <v>1.8105542059999999</v>
      </c>
      <c r="P410">
        <v>5</v>
      </c>
    </row>
    <row r="411" spans="1:16" x14ac:dyDescent="0.35">
      <c r="A411" t="s">
        <v>613</v>
      </c>
      <c r="B411">
        <v>45641</v>
      </c>
      <c r="C411" t="s">
        <v>123</v>
      </c>
      <c r="D411">
        <v>52</v>
      </c>
      <c r="E411" t="s">
        <v>23</v>
      </c>
      <c r="F411" t="s">
        <v>24</v>
      </c>
      <c r="G411" t="s">
        <v>46</v>
      </c>
      <c r="H411" t="s">
        <v>32</v>
      </c>
      <c r="I411">
        <v>1066.8800000000001</v>
      </c>
      <c r="J411">
        <v>1825</v>
      </c>
      <c r="K411">
        <v>3250</v>
      </c>
      <c r="L411">
        <v>309</v>
      </c>
      <c r="M411">
        <v>2</v>
      </c>
      <c r="N411">
        <v>178.0821918</v>
      </c>
      <c r="O411">
        <v>9.5076923079999993</v>
      </c>
      <c r="P411">
        <v>2</v>
      </c>
    </row>
    <row r="412" spans="1:16" x14ac:dyDescent="0.35">
      <c r="A412" t="s">
        <v>614</v>
      </c>
      <c r="B412">
        <v>45296</v>
      </c>
      <c r="C412" t="s">
        <v>295</v>
      </c>
      <c r="D412">
        <v>24</v>
      </c>
      <c r="E412" t="s">
        <v>35</v>
      </c>
      <c r="F412" t="s">
        <v>41</v>
      </c>
      <c r="G412" t="s">
        <v>46</v>
      </c>
      <c r="H412" t="s">
        <v>32</v>
      </c>
      <c r="I412">
        <v>760.25</v>
      </c>
      <c r="J412">
        <v>9474</v>
      </c>
      <c r="K412">
        <v>3158</v>
      </c>
      <c r="L412">
        <v>369</v>
      </c>
      <c r="M412">
        <v>1</v>
      </c>
      <c r="N412">
        <v>33.333333330000002</v>
      </c>
      <c r="O412">
        <v>11.684610510000001</v>
      </c>
      <c r="P412">
        <v>1</v>
      </c>
    </row>
    <row r="413" spans="1:16" x14ac:dyDescent="0.35">
      <c r="A413" t="s">
        <v>615</v>
      </c>
      <c r="B413">
        <v>45292</v>
      </c>
      <c r="C413" t="s">
        <v>123</v>
      </c>
      <c r="D413">
        <v>28</v>
      </c>
      <c r="E413" t="s">
        <v>29</v>
      </c>
      <c r="F413" t="s">
        <v>57</v>
      </c>
      <c r="G413" t="s">
        <v>25</v>
      </c>
      <c r="H413" t="s">
        <v>36</v>
      </c>
      <c r="I413">
        <v>1768.66</v>
      </c>
      <c r="J413">
        <v>29556</v>
      </c>
      <c r="K413">
        <v>1515</v>
      </c>
      <c r="L413">
        <v>72</v>
      </c>
      <c r="M413">
        <v>1</v>
      </c>
      <c r="N413">
        <v>5.1258627690000003</v>
      </c>
      <c r="O413">
        <v>4.7524752479999997</v>
      </c>
      <c r="P413">
        <v>1</v>
      </c>
    </row>
    <row r="414" spans="1:16" x14ac:dyDescent="0.35">
      <c r="A414" t="s">
        <v>616</v>
      </c>
      <c r="B414">
        <v>45472</v>
      </c>
      <c r="C414" t="s">
        <v>279</v>
      </c>
      <c r="D414">
        <v>64</v>
      </c>
      <c r="E414" t="s">
        <v>23</v>
      </c>
      <c r="F414" t="s">
        <v>45</v>
      </c>
      <c r="G414" t="s">
        <v>42</v>
      </c>
      <c r="H414" t="s">
        <v>62</v>
      </c>
      <c r="I414">
        <v>1906.47</v>
      </c>
      <c r="J414">
        <v>11072</v>
      </c>
      <c r="K414">
        <v>506</v>
      </c>
      <c r="L414">
        <v>313</v>
      </c>
      <c r="M414">
        <v>3</v>
      </c>
      <c r="N414">
        <v>4.5700867049999996</v>
      </c>
      <c r="O414">
        <v>61.857707509999997</v>
      </c>
      <c r="P414">
        <v>3</v>
      </c>
    </row>
    <row r="415" spans="1:16" x14ac:dyDescent="0.35">
      <c r="A415" t="s">
        <v>617</v>
      </c>
      <c r="B415">
        <v>45405</v>
      </c>
      <c r="C415" t="s">
        <v>117</v>
      </c>
      <c r="D415">
        <v>44</v>
      </c>
      <c r="E415" t="s">
        <v>23</v>
      </c>
      <c r="F415" t="s">
        <v>30</v>
      </c>
      <c r="G415" t="s">
        <v>46</v>
      </c>
      <c r="H415" t="s">
        <v>62</v>
      </c>
      <c r="I415">
        <v>1707.42</v>
      </c>
      <c r="J415">
        <v>23793</v>
      </c>
      <c r="K415">
        <v>4726</v>
      </c>
      <c r="L415">
        <v>16</v>
      </c>
      <c r="M415">
        <v>5</v>
      </c>
      <c r="N415">
        <v>19.862984910000002</v>
      </c>
      <c r="O415">
        <v>0.33855268700000002</v>
      </c>
      <c r="P415">
        <v>5</v>
      </c>
    </row>
    <row r="416" spans="1:16" x14ac:dyDescent="0.35">
      <c r="A416" t="s">
        <v>618</v>
      </c>
      <c r="B416">
        <v>45312</v>
      </c>
      <c r="C416" t="s">
        <v>619</v>
      </c>
      <c r="D416">
        <v>64</v>
      </c>
      <c r="E416" t="s">
        <v>29</v>
      </c>
      <c r="F416" t="s">
        <v>57</v>
      </c>
      <c r="G416" t="s">
        <v>25</v>
      </c>
      <c r="H416" t="s">
        <v>62</v>
      </c>
      <c r="I416">
        <v>1671.11</v>
      </c>
      <c r="J416">
        <v>29809</v>
      </c>
      <c r="K416">
        <v>1530</v>
      </c>
      <c r="L416">
        <v>286</v>
      </c>
      <c r="M416">
        <v>1</v>
      </c>
      <c r="N416">
        <v>5.13267805</v>
      </c>
      <c r="O416">
        <v>18.69281046</v>
      </c>
      <c r="P416">
        <v>1</v>
      </c>
    </row>
    <row r="417" spans="1:16" x14ac:dyDescent="0.35">
      <c r="A417" t="s">
        <v>620</v>
      </c>
      <c r="B417">
        <v>45416</v>
      </c>
      <c r="C417" t="s">
        <v>467</v>
      </c>
      <c r="D417">
        <v>32</v>
      </c>
      <c r="E417" t="s">
        <v>35</v>
      </c>
      <c r="F417" t="s">
        <v>45</v>
      </c>
      <c r="G417" t="s">
        <v>46</v>
      </c>
      <c r="H417" t="s">
        <v>26</v>
      </c>
      <c r="I417">
        <v>1260.79</v>
      </c>
      <c r="J417">
        <v>20759</v>
      </c>
      <c r="K417">
        <v>3130</v>
      </c>
      <c r="L417">
        <v>278</v>
      </c>
      <c r="M417">
        <v>3</v>
      </c>
      <c r="N417">
        <v>15.07779758</v>
      </c>
      <c r="O417">
        <v>8.8817891370000002</v>
      </c>
      <c r="P417">
        <v>3</v>
      </c>
    </row>
    <row r="418" spans="1:16" x14ac:dyDescent="0.35">
      <c r="A418" t="s">
        <v>621</v>
      </c>
      <c r="B418">
        <v>45323</v>
      </c>
      <c r="C418" t="s">
        <v>160</v>
      </c>
      <c r="D418">
        <v>25</v>
      </c>
      <c r="E418" t="s">
        <v>29</v>
      </c>
      <c r="F418" t="s">
        <v>24</v>
      </c>
      <c r="G418" t="s">
        <v>42</v>
      </c>
      <c r="H418" t="s">
        <v>26</v>
      </c>
      <c r="I418">
        <v>1477.47</v>
      </c>
      <c r="J418">
        <v>20498</v>
      </c>
      <c r="K418">
        <v>4773</v>
      </c>
      <c r="L418">
        <v>22</v>
      </c>
      <c r="M418">
        <v>3</v>
      </c>
      <c r="N418">
        <v>23.285198560000001</v>
      </c>
      <c r="O418">
        <v>0.46092604199999998</v>
      </c>
      <c r="P418">
        <v>3</v>
      </c>
    </row>
    <row r="419" spans="1:16" x14ac:dyDescent="0.35">
      <c r="A419" t="s">
        <v>622</v>
      </c>
      <c r="B419">
        <v>45341</v>
      </c>
      <c r="C419" t="s">
        <v>623</v>
      </c>
      <c r="D419">
        <v>47</v>
      </c>
      <c r="E419" t="s">
        <v>29</v>
      </c>
      <c r="F419" t="s">
        <v>30</v>
      </c>
      <c r="G419" t="s">
        <v>46</v>
      </c>
      <c r="H419" t="s">
        <v>62</v>
      </c>
      <c r="I419">
        <v>542.73</v>
      </c>
      <c r="J419">
        <v>13676</v>
      </c>
      <c r="K419">
        <v>4567</v>
      </c>
      <c r="L419">
        <v>155</v>
      </c>
      <c r="M419">
        <v>3</v>
      </c>
      <c r="N419">
        <v>33.394267329999998</v>
      </c>
      <c r="O419">
        <v>3.3939128529999998</v>
      </c>
      <c r="P419">
        <v>3</v>
      </c>
    </row>
    <row r="420" spans="1:16" x14ac:dyDescent="0.35">
      <c r="A420" t="s">
        <v>624</v>
      </c>
      <c r="B420">
        <v>45526</v>
      </c>
      <c r="C420" t="s">
        <v>625</v>
      </c>
      <c r="D420">
        <v>48</v>
      </c>
      <c r="E420" t="s">
        <v>35</v>
      </c>
      <c r="F420" t="s">
        <v>30</v>
      </c>
      <c r="G420" t="s">
        <v>25</v>
      </c>
      <c r="H420" t="s">
        <v>36</v>
      </c>
      <c r="I420">
        <v>1534.08</v>
      </c>
      <c r="J420">
        <v>5411</v>
      </c>
      <c r="K420">
        <v>2920</v>
      </c>
      <c r="L420">
        <v>278</v>
      </c>
      <c r="M420">
        <v>4</v>
      </c>
      <c r="N420">
        <v>53.964147109999999</v>
      </c>
      <c r="O420">
        <v>9.5205479450000006</v>
      </c>
      <c r="P420">
        <v>4</v>
      </c>
    </row>
    <row r="421" spans="1:16" x14ac:dyDescent="0.35">
      <c r="A421" t="s">
        <v>626</v>
      </c>
      <c r="B421">
        <v>45442</v>
      </c>
      <c r="C421" t="s">
        <v>147</v>
      </c>
      <c r="D421">
        <v>60</v>
      </c>
      <c r="E421" t="s">
        <v>35</v>
      </c>
      <c r="F421" t="s">
        <v>41</v>
      </c>
      <c r="G421" t="s">
        <v>61</v>
      </c>
      <c r="H421" t="s">
        <v>32</v>
      </c>
      <c r="I421">
        <v>1099.27</v>
      </c>
      <c r="J421">
        <v>34063</v>
      </c>
      <c r="K421">
        <v>386</v>
      </c>
      <c r="L421">
        <v>390</v>
      </c>
      <c r="M421">
        <v>4</v>
      </c>
      <c r="N421">
        <v>1.133194375</v>
      </c>
      <c r="O421">
        <v>101.03626939999999</v>
      </c>
      <c r="P421">
        <v>4</v>
      </c>
    </row>
    <row r="422" spans="1:16" x14ac:dyDescent="0.35">
      <c r="A422" t="s">
        <v>627</v>
      </c>
      <c r="B422">
        <v>45450</v>
      </c>
      <c r="C422" t="s">
        <v>324</v>
      </c>
      <c r="E422" t="s">
        <v>23</v>
      </c>
      <c r="F422" t="s">
        <v>771</v>
      </c>
      <c r="G422" t="s">
        <v>31</v>
      </c>
      <c r="H422" t="s">
        <v>62</v>
      </c>
      <c r="I422">
        <v>228.11</v>
      </c>
      <c r="J422">
        <v>8559</v>
      </c>
      <c r="K422">
        <v>4690</v>
      </c>
      <c r="L422">
        <v>49</v>
      </c>
      <c r="N422">
        <v>54.796121040000003</v>
      </c>
      <c r="O422">
        <v>1.044776119</v>
      </c>
      <c r="P422">
        <v>3</v>
      </c>
    </row>
    <row r="423" spans="1:16" x14ac:dyDescent="0.35">
      <c r="A423" t="s">
        <v>628</v>
      </c>
      <c r="B423">
        <v>45406</v>
      </c>
      <c r="C423" t="s">
        <v>232</v>
      </c>
      <c r="D423">
        <v>42</v>
      </c>
      <c r="E423" t="s">
        <v>29</v>
      </c>
      <c r="F423" t="s">
        <v>30</v>
      </c>
      <c r="G423" t="s">
        <v>31</v>
      </c>
      <c r="H423" t="s">
        <v>36</v>
      </c>
      <c r="I423">
        <v>1658.51</v>
      </c>
      <c r="J423">
        <v>1905</v>
      </c>
      <c r="K423">
        <v>3016</v>
      </c>
      <c r="L423">
        <v>365</v>
      </c>
      <c r="M423">
        <v>5</v>
      </c>
      <c r="N423">
        <v>158.32021</v>
      </c>
      <c r="O423">
        <v>12.102122019999999</v>
      </c>
      <c r="P423">
        <v>5</v>
      </c>
    </row>
    <row r="424" spans="1:16" x14ac:dyDescent="0.35">
      <c r="A424" t="s">
        <v>629</v>
      </c>
      <c r="B424">
        <v>45612</v>
      </c>
      <c r="C424" t="s">
        <v>181</v>
      </c>
      <c r="D424">
        <v>62</v>
      </c>
      <c r="E424" t="s">
        <v>35</v>
      </c>
      <c r="F424" t="s">
        <v>24</v>
      </c>
      <c r="G424" t="s">
        <v>46</v>
      </c>
      <c r="H424" t="s">
        <v>36</v>
      </c>
      <c r="I424">
        <v>1462.9</v>
      </c>
      <c r="J424">
        <v>10830</v>
      </c>
      <c r="K424">
        <v>2967</v>
      </c>
      <c r="L424">
        <v>26</v>
      </c>
      <c r="M424">
        <v>3</v>
      </c>
      <c r="N424">
        <v>27.396121879999999</v>
      </c>
      <c r="O424">
        <v>0.87630603299999998</v>
      </c>
      <c r="P424">
        <v>3</v>
      </c>
    </row>
    <row r="425" spans="1:16" x14ac:dyDescent="0.35">
      <c r="A425" t="s">
        <v>630</v>
      </c>
      <c r="B425">
        <v>45454</v>
      </c>
      <c r="C425" t="s">
        <v>245</v>
      </c>
      <c r="D425">
        <v>26</v>
      </c>
      <c r="E425" t="s">
        <v>23</v>
      </c>
      <c r="F425" t="s">
        <v>41</v>
      </c>
      <c r="G425" t="s">
        <v>42</v>
      </c>
      <c r="H425" t="s">
        <v>36</v>
      </c>
      <c r="I425">
        <v>1303.29</v>
      </c>
      <c r="J425">
        <v>14707</v>
      </c>
      <c r="K425">
        <v>3119</v>
      </c>
      <c r="L425">
        <v>257</v>
      </c>
      <c r="M425">
        <v>3</v>
      </c>
      <c r="N425">
        <v>21.207588220000002</v>
      </c>
      <c r="O425">
        <v>8.2398204550000003</v>
      </c>
      <c r="P425">
        <v>3</v>
      </c>
    </row>
    <row r="426" spans="1:16" x14ac:dyDescent="0.35">
      <c r="A426" t="s">
        <v>631</v>
      </c>
      <c r="B426">
        <v>45376</v>
      </c>
      <c r="C426" t="s">
        <v>582</v>
      </c>
      <c r="E426" t="s">
        <v>35</v>
      </c>
      <c r="F426" t="s">
        <v>771</v>
      </c>
      <c r="G426" t="s">
        <v>25</v>
      </c>
      <c r="H426" t="s">
        <v>32</v>
      </c>
      <c r="I426">
        <v>1429.08</v>
      </c>
      <c r="J426">
        <v>42077</v>
      </c>
      <c r="K426">
        <v>3878</v>
      </c>
      <c r="L426">
        <v>297</v>
      </c>
      <c r="N426">
        <v>9.2164365329999995</v>
      </c>
      <c r="O426">
        <v>7.6585869000000004</v>
      </c>
      <c r="P426">
        <v>3</v>
      </c>
    </row>
    <row r="427" spans="1:16" x14ac:dyDescent="0.35">
      <c r="A427" t="s">
        <v>632</v>
      </c>
      <c r="B427">
        <v>45371</v>
      </c>
      <c r="C427" t="s">
        <v>540</v>
      </c>
      <c r="D427">
        <v>49</v>
      </c>
      <c r="E427" t="s">
        <v>29</v>
      </c>
      <c r="F427" t="s">
        <v>50</v>
      </c>
      <c r="G427" t="s">
        <v>31</v>
      </c>
      <c r="H427" t="s">
        <v>32</v>
      </c>
      <c r="I427">
        <v>1538.3</v>
      </c>
      <c r="J427">
        <v>22233</v>
      </c>
      <c r="K427">
        <v>4466</v>
      </c>
      <c r="L427">
        <v>98</v>
      </c>
      <c r="M427">
        <v>1</v>
      </c>
      <c r="N427">
        <v>20.08725768</v>
      </c>
      <c r="O427">
        <v>2.1943573669999998</v>
      </c>
      <c r="P427">
        <v>1</v>
      </c>
    </row>
    <row r="428" spans="1:16" x14ac:dyDescent="0.35">
      <c r="A428" t="s">
        <v>633</v>
      </c>
      <c r="B428">
        <v>45292</v>
      </c>
      <c r="C428" t="s">
        <v>584</v>
      </c>
      <c r="D428">
        <v>59</v>
      </c>
      <c r="E428" t="s">
        <v>23</v>
      </c>
      <c r="F428" t="s">
        <v>30</v>
      </c>
      <c r="G428" t="s">
        <v>42</v>
      </c>
      <c r="H428" t="s">
        <v>32</v>
      </c>
      <c r="I428">
        <v>383.23</v>
      </c>
      <c r="J428">
        <v>18256</v>
      </c>
      <c r="K428">
        <v>3150</v>
      </c>
      <c r="L428">
        <v>207</v>
      </c>
      <c r="M428">
        <v>1</v>
      </c>
      <c r="N428">
        <v>17.254601229999999</v>
      </c>
      <c r="O428">
        <v>6.5714285710000002</v>
      </c>
      <c r="P428">
        <v>1</v>
      </c>
    </row>
    <row r="429" spans="1:16" x14ac:dyDescent="0.35">
      <c r="A429" t="s">
        <v>634</v>
      </c>
      <c r="B429">
        <v>45518</v>
      </c>
      <c r="C429" t="s">
        <v>81</v>
      </c>
      <c r="D429">
        <v>60</v>
      </c>
      <c r="E429" t="s">
        <v>35</v>
      </c>
      <c r="F429" t="s">
        <v>45</v>
      </c>
      <c r="G429" t="s">
        <v>42</v>
      </c>
      <c r="H429" t="s">
        <v>32</v>
      </c>
      <c r="I429">
        <v>1491.06</v>
      </c>
      <c r="J429">
        <v>29925</v>
      </c>
      <c r="K429">
        <v>4092</v>
      </c>
      <c r="L429">
        <v>224</v>
      </c>
      <c r="N429">
        <v>13.67418546</v>
      </c>
      <c r="O429">
        <v>5.4740957970000004</v>
      </c>
      <c r="P429">
        <v>3</v>
      </c>
    </row>
    <row r="430" spans="1:16" x14ac:dyDescent="0.35">
      <c r="A430" t="s">
        <v>635</v>
      </c>
      <c r="B430">
        <v>45455</v>
      </c>
      <c r="C430" t="s">
        <v>212</v>
      </c>
      <c r="D430">
        <v>42</v>
      </c>
      <c r="E430" t="s">
        <v>35</v>
      </c>
      <c r="F430" t="s">
        <v>41</v>
      </c>
      <c r="G430" t="s">
        <v>61</v>
      </c>
      <c r="H430" t="s">
        <v>26</v>
      </c>
      <c r="I430">
        <v>1469.09</v>
      </c>
      <c r="J430">
        <v>34036</v>
      </c>
      <c r="K430">
        <v>679</v>
      </c>
      <c r="L430">
        <v>373</v>
      </c>
      <c r="M430">
        <v>4</v>
      </c>
      <c r="N430">
        <v>1.994946527</v>
      </c>
      <c r="O430">
        <v>54.933726069999999</v>
      </c>
      <c r="P430">
        <v>4</v>
      </c>
    </row>
    <row r="431" spans="1:16" x14ac:dyDescent="0.35">
      <c r="A431" t="s">
        <v>636</v>
      </c>
      <c r="B431">
        <v>45411</v>
      </c>
      <c r="C431" t="s">
        <v>230</v>
      </c>
      <c r="D431">
        <v>32</v>
      </c>
      <c r="E431" t="s">
        <v>23</v>
      </c>
      <c r="F431" t="s">
        <v>41</v>
      </c>
      <c r="G431" t="s">
        <v>46</v>
      </c>
      <c r="H431" t="s">
        <v>62</v>
      </c>
      <c r="I431">
        <v>1796.68</v>
      </c>
      <c r="J431">
        <v>38895</v>
      </c>
      <c r="K431">
        <v>2250</v>
      </c>
      <c r="L431">
        <v>343</v>
      </c>
      <c r="M431">
        <v>1</v>
      </c>
      <c r="N431">
        <v>5.7848052450000003</v>
      </c>
      <c r="O431">
        <v>15.244444440000001</v>
      </c>
      <c r="P431">
        <v>1</v>
      </c>
    </row>
    <row r="432" spans="1:16" x14ac:dyDescent="0.35">
      <c r="A432" t="s">
        <v>637</v>
      </c>
      <c r="B432">
        <v>45410</v>
      </c>
      <c r="C432" t="s">
        <v>638</v>
      </c>
      <c r="D432">
        <v>53</v>
      </c>
      <c r="E432" t="s">
        <v>23</v>
      </c>
      <c r="F432" t="s">
        <v>30</v>
      </c>
      <c r="G432" t="s">
        <v>46</v>
      </c>
      <c r="H432" t="s">
        <v>26</v>
      </c>
      <c r="I432">
        <v>668.74</v>
      </c>
      <c r="J432">
        <v>15423</v>
      </c>
      <c r="K432">
        <v>746</v>
      </c>
      <c r="L432">
        <v>67</v>
      </c>
      <c r="M432">
        <v>4</v>
      </c>
      <c r="N432">
        <v>4.8369318549999996</v>
      </c>
      <c r="O432">
        <v>8.9812332440000002</v>
      </c>
      <c r="P432">
        <v>4</v>
      </c>
    </row>
    <row r="433" spans="1:16" x14ac:dyDescent="0.35">
      <c r="A433" t="s">
        <v>639</v>
      </c>
      <c r="B433">
        <v>45448</v>
      </c>
      <c r="C433" t="s">
        <v>445</v>
      </c>
      <c r="D433">
        <v>33</v>
      </c>
      <c r="E433" t="s">
        <v>35</v>
      </c>
      <c r="F433" t="s">
        <v>57</v>
      </c>
      <c r="G433" t="s">
        <v>25</v>
      </c>
      <c r="H433" t="s">
        <v>36</v>
      </c>
      <c r="I433">
        <v>1128.6600000000001</v>
      </c>
      <c r="J433">
        <v>20473</v>
      </c>
      <c r="K433">
        <v>1022</v>
      </c>
      <c r="L433">
        <v>377</v>
      </c>
      <c r="M433">
        <v>1</v>
      </c>
      <c r="N433">
        <v>4.9919406049999999</v>
      </c>
      <c r="O433">
        <v>36.888454009999997</v>
      </c>
      <c r="P433">
        <v>1</v>
      </c>
    </row>
    <row r="434" spans="1:16" x14ac:dyDescent="0.35">
      <c r="A434" t="s">
        <v>640</v>
      </c>
      <c r="B434">
        <v>45583</v>
      </c>
      <c r="C434" t="s">
        <v>540</v>
      </c>
      <c r="D434">
        <v>28</v>
      </c>
      <c r="E434" t="s">
        <v>23</v>
      </c>
      <c r="F434" t="s">
        <v>45</v>
      </c>
      <c r="G434" t="s">
        <v>42</v>
      </c>
      <c r="H434" t="s">
        <v>26</v>
      </c>
      <c r="I434">
        <v>449.72</v>
      </c>
      <c r="J434">
        <v>5991</v>
      </c>
      <c r="K434">
        <v>4748</v>
      </c>
      <c r="L434">
        <v>40</v>
      </c>
      <c r="M434">
        <v>3</v>
      </c>
      <c r="N434">
        <v>79.252211650000007</v>
      </c>
      <c r="O434">
        <v>0.84245998300000002</v>
      </c>
      <c r="P434">
        <v>3</v>
      </c>
    </row>
    <row r="435" spans="1:16" x14ac:dyDescent="0.35">
      <c r="A435" t="s">
        <v>641</v>
      </c>
      <c r="B435">
        <v>45633</v>
      </c>
      <c r="C435" t="s">
        <v>642</v>
      </c>
      <c r="D435">
        <v>51</v>
      </c>
      <c r="E435" t="s">
        <v>23</v>
      </c>
      <c r="F435" t="s">
        <v>24</v>
      </c>
      <c r="G435" t="s">
        <v>31</v>
      </c>
      <c r="H435" t="s">
        <v>26</v>
      </c>
      <c r="I435">
        <v>515.24</v>
      </c>
      <c r="J435">
        <v>31128</v>
      </c>
      <c r="K435">
        <v>3884</v>
      </c>
      <c r="L435">
        <v>267</v>
      </c>
      <c r="M435">
        <v>1</v>
      </c>
      <c r="N435">
        <v>12.47751221</v>
      </c>
      <c r="O435">
        <v>6.8743563339999998</v>
      </c>
      <c r="P435">
        <v>1</v>
      </c>
    </row>
    <row r="436" spans="1:16" x14ac:dyDescent="0.35">
      <c r="A436" t="s">
        <v>643</v>
      </c>
      <c r="B436">
        <v>45465</v>
      </c>
      <c r="C436" t="s">
        <v>315</v>
      </c>
      <c r="D436">
        <v>28</v>
      </c>
      <c r="E436" t="s">
        <v>35</v>
      </c>
      <c r="F436" t="s">
        <v>24</v>
      </c>
      <c r="G436" t="s">
        <v>25</v>
      </c>
      <c r="H436" t="s">
        <v>32</v>
      </c>
      <c r="I436">
        <v>543.04</v>
      </c>
      <c r="J436">
        <v>49876</v>
      </c>
      <c r="K436">
        <v>1029</v>
      </c>
      <c r="L436">
        <v>209</v>
      </c>
      <c r="M436">
        <v>3</v>
      </c>
      <c r="N436">
        <v>2.0631165290000002</v>
      </c>
      <c r="O436">
        <v>20.31098154</v>
      </c>
      <c r="P436">
        <v>3</v>
      </c>
    </row>
    <row r="437" spans="1:16" x14ac:dyDescent="0.35">
      <c r="A437" t="s">
        <v>644</v>
      </c>
      <c r="B437">
        <v>45636</v>
      </c>
      <c r="C437" t="s">
        <v>406</v>
      </c>
      <c r="D437">
        <v>60</v>
      </c>
      <c r="E437" t="s">
        <v>35</v>
      </c>
      <c r="F437" t="s">
        <v>57</v>
      </c>
      <c r="G437" t="s">
        <v>25</v>
      </c>
      <c r="H437" t="s">
        <v>26</v>
      </c>
      <c r="I437">
        <v>782.39</v>
      </c>
      <c r="J437">
        <v>7643</v>
      </c>
      <c r="K437">
        <v>272</v>
      </c>
      <c r="L437">
        <v>192</v>
      </c>
      <c r="N437">
        <v>3.5588119850000002</v>
      </c>
      <c r="O437">
        <v>70.58823529</v>
      </c>
      <c r="P437">
        <v>3</v>
      </c>
    </row>
    <row r="438" spans="1:16" x14ac:dyDescent="0.35">
      <c r="A438" t="s">
        <v>645</v>
      </c>
      <c r="B438">
        <v>45506</v>
      </c>
      <c r="C438" t="s">
        <v>456</v>
      </c>
      <c r="E438" t="s">
        <v>23</v>
      </c>
      <c r="F438" t="s">
        <v>771</v>
      </c>
      <c r="G438" t="s">
        <v>25</v>
      </c>
      <c r="H438" t="s">
        <v>62</v>
      </c>
      <c r="I438">
        <v>85.16</v>
      </c>
      <c r="J438">
        <v>28135</v>
      </c>
      <c r="K438">
        <v>1898</v>
      </c>
      <c r="L438">
        <v>27</v>
      </c>
      <c r="N438">
        <v>6.7460458499999998</v>
      </c>
      <c r="O438">
        <v>1.4225500529999999</v>
      </c>
      <c r="P438">
        <v>3</v>
      </c>
    </row>
    <row r="439" spans="1:16" x14ac:dyDescent="0.35">
      <c r="A439" t="s">
        <v>646</v>
      </c>
      <c r="B439">
        <v>45379</v>
      </c>
      <c r="C439" t="s">
        <v>238</v>
      </c>
      <c r="D439">
        <v>62</v>
      </c>
      <c r="E439" t="s">
        <v>29</v>
      </c>
      <c r="F439" t="s">
        <v>30</v>
      </c>
      <c r="G439" t="s">
        <v>31</v>
      </c>
      <c r="H439" t="s">
        <v>26</v>
      </c>
      <c r="I439">
        <v>1232.28</v>
      </c>
      <c r="J439">
        <v>5473</v>
      </c>
      <c r="K439">
        <v>2836</v>
      </c>
      <c r="L439">
        <v>119</v>
      </c>
      <c r="M439">
        <v>5</v>
      </c>
      <c r="N439">
        <v>51.818015709999997</v>
      </c>
      <c r="O439">
        <v>4.1960507759999999</v>
      </c>
      <c r="P439">
        <v>5</v>
      </c>
    </row>
    <row r="440" spans="1:16" x14ac:dyDescent="0.35">
      <c r="A440" t="s">
        <v>647</v>
      </c>
      <c r="B440">
        <v>45535</v>
      </c>
      <c r="C440" t="s">
        <v>256</v>
      </c>
      <c r="D440">
        <v>47</v>
      </c>
      <c r="E440" t="s">
        <v>23</v>
      </c>
      <c r="F440" t="s">
        <v>30</v>
      </c>
      <c r="G440" t="s">
        <v>25</v>
      </c>
      <c r="H440" t="s">
        <v>62</v>
      </c>
      <c r="I440">
        <v>575.39</v>
      </c>
      <c r="J440">
        <v>35157</v>
      </c>
      <c r="K440">
        <v>2313</v>
      </c>
      <c r="L440">
        <v>156</v>
      </c>
      <c r="M440">
        <v>3</v>
      </c>
      <c r="N440">
        <v>6.5790596470000002</v>
      </c>
      <c r="O440">
        <v>6.7444876779999996</v>
      </c>
      <c r="P440">
        <v>3</v>
      </c>
    </row>
    <row r="441" spans="1:16" x14ac:dyDescent="0.35">
      <c r="A441" t="s">
        <v>648</v>
      </c>
      <c r="B441">
        <v>45303</v>
      </c>
      <c r="C441" t="s">
        <v>584</v>
      </c>
      <c r="D441">
        <v>49</v>
      </c>
      <c r="E441" t="s">
        <v>29</v>
      </c>
      <c r="F441" t="s">
        <v>41</v>
      </c>
      <c r="G441" t="s">
        <v>61</v>
      </c>
      <c r="H441" t="s">
        <v>62</v>
      </c>
      <c r="I441">
        <v>259.99</v>
      </c>
      <c r="J441">
        <v>42594</v>
      </c>
      <c r="K441">
        <v>1184</v>
      </c>
      <c r="L441">
        <v>262</v>
      </c>
      <c r="M441">
        <v>1</v>
      </c>
      <c r="N441">
        <v>2.7797342349999998</v>
      </c>
      <c r="O441">
        <v>22.128378380000001</v>
      </c>
      <c r="P441">
        <v>1</v>
      </c>
    </row>
    <row r="442" spans="1:16" x14ac:dyDescent="0.35">
      <c r="A442" t="s">
        <v>649</v>
      </c>
      <c r="B442">
        <v>45614</v>
      </c>
      <c r="C442" t="s">
        <v>483</v>
      </c>
      <c r="D442">
        <v>26</v>
      </c>
      <c r="E442" t="s">
        <v>29</v>
      </c>
      <c r="F442" t="s">
        <v>24</v>
      </c>
      <c r="G442" t="s">
        <v>31</v>
      </c>
      <c r="H442" t="s">
        <v>62</v>
      </c>
      <c r="I442">
        <v>1967.33</v>
      </c>
      <c r="J442">
        <v>9594</v>
      </c>
      <c r="K442">
        <v>777</v>
      </c>
      <c r="L442">
        <v>163</v>
      </c>
      <c r="N442">
        <v>8.098811757</v>
      </c>
      <c r="O442">
        <v>20.97812098</v>
      </c>
      <c r="P442">
        <v>3</v>
      </c>
    </row>
    <row r="443" spans="1:16" x14ac:dyDescent="0.35">
      <c r="A443" t="s">
        <v>650</v>
      </c>
      <c r="B443">
        <v>45385</v>
      </c>
      <c r="C443" t="s">
        <v>150</v>
      </c>
      <c r="D443">
        <v>61</v>
      </c>
      <c r="E443" t="s">
        <v>35</v>
      </c>
      <c r="F443" t="s">
        <v>24</v>
      </c>
      <c r="G443" t="s">
        <v>42</v>
      </c>
      <c r="H443" t="s">
        <v>32</v>
      </c>
      <c r="I443">
        <v>1381.91</v>
      </c>
      <c r="J443">
        <v>38920</v>
      </c>
      <c r="K443">
        <v>249</v>
      </c>
      <c r="L443">
        <v>124</v>
      </c>
      <c r="M443">
        <v>3</v>
      </c>
      <c r="N443">
        <v>0.63977389500000004</v>
      </c>
      <c r="O443">
        <v>49.799196790000003</v>
      </c>
      <c r="P443">
        <v>3</v>
      </c>
    </row>
    <row r="444" spans="1:16" x14ac:dyDescent="0.35">
      <c r="A444" t="s">
        <v>651</v>
      </c>
      <c r="B444">
        <v>45651</v>
      </c>
      <c r="C444" t="s">
        <v>414</v>
      </c>
      <c r="D444">
        <v>26</v>
      </c>
      <c r="E444" t="s">
        <v>23</v>
      </c>
      <c r="F444" t="s">
        <v>57</v>
      </c>
      <c r="G444" t="s">
        <v>31</v>
      </c>
      <c r="H444" t="s">
        <v>62</v>
      </c>
      <c r="I444">
        <v>1123.6099999999999</v>
      </c>
      <c r="J444">
        <v>5615</v>
      </c>
      <c r="K444">
        <v>1134</v>
      </c>
      <c r="L444">
        <v>230</v>
      </c>
      <c r="N444">
        <v>20.195903829999999</v>
      </c>
      <c r="O444">
        <v>20.28218695</v>
      </c>
      <c r="P444">
        <v>3</v>
      </c>
    </row>
    <row r="445" spans="1:16" x14ac:dyDescent="0.35">
      <c r="A445" t="s">
        <v>652</v>
      </c>
      <c r="B445">
        <v>45653</v>
      </c>
      <c r="C445" t="s">
        <v>162</v>
      </c>
      <c r="D445">
        <v>41</v>
      </c>
      <c r="E445" t="s">
        <v>29</v>
      </c>
      <c r="F445" t="s">
        <v>50</v>
      </c>
      <c r="G445" t="s">
        <v>46</v>
      </c>
      <c r="H445" t="s">
        <v>62</v>
      </c>
      <c r="I445">
        <v>633.01</v>
      </c>
      <c r="J445">
        <v>32820</v>
      </c>
      <c r="K445">
        <v>4017</v>
      </c>
      <c r="L445">
        <v>366</v>
      </c>
      <c r="M445">
        <v>5</v>
      </c>
      <c r="N445">
        <v>12.239488120000001</v>
      </c>
      <c r="O445">
        <v>9.111277072</v>
      </c>
      <c r="P445">
        <v>5</v>
      </c>
    </row>
    <row r="446" spans="1:16" x14ac:dyDescent="0.35">
      <c r="A446" t="s">
        <v>653</v>
      </c>
      <c r="B446">
        <v>45602</v>
      </c>
      <c r="C446" t="s">
        <v>654</v>
      </c>
      <c r="D446">
        <v>54</v>
      </c>
      <c r="E446" t="s">
        <v>29</v>
      </c>
      <c r="F446" t="s">
        <v>24</v>
      </c>
      <c r="G446" t="s">
        <v>46</v>
      </c>
      <c r="H446" t="s">
        <v>36</v>
      </c>
      <c r="I446">
        <v>1183.31</v>
      </c>
      <c r="J446">
        <v>14477</v>
      </c>
      <c r="K446">
        <v>3466</v>
      </c>
      <c r="L446">
        <v>306</v>
      </c>
      <c r="M446">
        <v>5</v>
      </c>
      <c r="N446">
        <v>23.94142433</v>
      </c>
      <c r="O446">
        <v>8.8286208889999997</v>
      </c>
      <c r="P446">
        <v>5</v>
      </c>
    </row>
    <row r="447" spans="1:16" x14ac:dyDescent="0.35">
      <c r="A447" t="s">
        <v>655</v>
      </c>
      <c r="B447">
        <v>45462</v>
      </c>
      <c r="C447" t="s">
        <v>570</v>
      </c>
      <c r="D447">
        <v>34</v>
      </c>
      <c r="E447" t="s">
        <v>35</v>
      </c>
      <c r="F447" t="s">
        <v>50</v>
      </c>
      <c r="G447" t="s">
        <v>42</v>
      </c>
      <c r="H447" t="s">
        <v>32</v>
      </c>
      <c r="I447">
        <v>1236.26</v>
      </c>
      <c r="J447">
        <v>18572</v>
      </c>
      <c r="K447">
        <v>3925</v>
      </c>
      <c r="L447">
        <v>273</v>
      </c>
      <c r="M447">
        <v>5</v>
      </c>
      <c r="N447">
        <v>21.133965109999998</v>
      </c>
      <c r="O447">
        <v>6.9554140130000004</v>
      </c>
      <c r="P447">
        <v>5</v>
      </c>
    </row>
    <row r="448" spans="1:16" x14ac:dyDescent="0.35">
      <c r="A448" t="s">
        <v>656</v>
      </c>
      <c r="B448">
        <v>45542</v>
      </c>
      <c r="C448" t="s">
        <v>324</v>
      </c>
      <c r="D448">
        <v>23</v>
      </c>
      <c r="E448" t="s">
        <v>35</v>
      </c>
      <c r="F448" t="s">
        <v>24</v>
      </c>
      <c r="G448" t="s">
        <v>42</v>
      </c>
      <c r="H448" t="s">
        <v>62</v>
      </c>
      <c r="I448">
        <v>511.94</v>
      </c>
      <c r="J448">
        <v>20598</v>
      </c>
      <c r="K448">
        <v>3841</v>
      </c>
      <c r="L448">
        <v>99</v>
      </c>
      <c r="M448">
        <v>3</v>
      </c>
      <c r="N448">
        <v>18.647441499999999</v>
      </c>
      <c r="O448">
        <v>2.5774537880000001</v>
      </c>
      <c r="P448">
        <v>3</v>
      </c>
    </row>
    <row r="449" spans="1:16" x14ac:dyDescent="0.35">
      <c r="A449" t="s">
        <v>657</v>
      </c>
      <c r="B449">
        <v>45458</v>
      </c>
      <c r="C449" t="s">
        <v>658</v>
      </c>
      <c r="D449">
        <v>49</v>
      </c>
      <c r="E449" t="s">
        <v>23</v>
      </c>
      <c r="F449" t="s">
        <v>41</v>
      </c>
      <c r="G449" t="s">
        <v>46</v>
      </c>
      <c r="H449" t="s">
        <v>26</v>
      </c>
      <c r="I449">
        <v>90.85</v>
      </c>
      <c r="J449">
        <v>16084</v>
      </c>
      <c r="K449">
        <v>3568</v>
      </c>
      <c r="L449">
        <v>66</v>
      </c>
      <c r="M449">
        <v>4</v>
      </c>
      <c r="N449">
        <v>22.18353643</v>
      </c>
      <c r="O449">
        <v>1.8497757850000001</v>
      </c>
      <c r="P449">
        <v>4</v>
      </c>
    </row>
    <row r="450" spans="1:16" x14ac:dyDescent="0.35">
      <c r="A450" t="s">
        <v>659</v>
      </c>
      <c r="B450">
        <v>45382</v>
      </c>
      <c r="C450" t="s">
        <v>660</v>
      </c>
      <c r="D450">
        <v>60</v>
      </c>
      <c r="E450" t="s">
        <v>23</v>
      </c>
      <c r="F450" t="s">
        <v>57</v>
      </c>
      <c r="G450" t="s">
        <v>25</v>
      </c>
      <c r="H450" t="s">
        <v>36</v>
      </c>
      <c r="I450">
        <v>135.41</v>
      </c>
      <c r="J450">
        <v>5520</v>
      </c>
      <c r="K450">
        <v>556</v>
      </c>
      <c r="L450">
        <v>227</v>
      </c>
      <c r="M450">
        <v>2</v>
      </c>
      <c r="N450">
        <v>10.072463770000001</v>
      </c>
      <c r="O450">
        <v>40.827338130000001</v>
      </c>
      <c r="P450">
        <v>2</v>
      </c>
    </row>
    <row r="451" spans="1:16" x14ac:dyDescent="0.35">
      <c r="A451" t="s">
        <v>661</v>
      </c>
      <c r="B451">
        <v>45437</v>
      </c>
      <c r="C451" t="s">
        <v>423</v>
      </c>
      <c r="D451">
        <v>30</v>
      </c>
      <c r="E451" t="s">
        <v>23</v>
      </c>
      <c r="F451" t="s">
        <v>57</v>
      </c>
      <c r="G451" t="s">
        <v>31</v>
      </c>
      <c r="H451" t="s">
        <v>36</v>
      </c>
      <c r="I451">
        <v>477.25</v>
      </c>
      <c r="J451">
        <v>46902</v>
      </c>
      <c r="K451">
        <v>2366</v>
      </c>
      <c r="L451">
        <v>12</v>
      </c>
      <c r="N451">
        <v>5.0445609999999999</v>
      </c>
      <c r="O451">
        <v>0.50718512299999996</v>
      </c>
      <c r="P451">
        <v>3</v>
      </c>
    </row>
    <row r="452" spans="1:16" x14ac:dyDescent="0.35">
      <c r="A452" t="s">
        <v>662</v>
      </c>
      <c r="B452">
        <v>45436</v>
      </c>
      <c r="C452" t="s">
        <v>663</v>
      </c>
      <c r="E452" t="s">
        <v>23</v>
      </c>
      <c r="F452" t="s">
        <v>771</v>
      </c>
      <c r="G452" t="s">
        <v>31</v>
      </c>
      <c r="H452" t="s">
        <v>32</v>
      </c>
      <c r="I452">
        <v>585.29</v>
      </c>
      <c r="J452">
        <v>2617</v>
      </c>
      <c r="K452">
        <v>4791</v>
      </c>
      <c r="L452">
        <v>252</v>
      </c>
      <c r="N452">
        <v>183.07222010000001</v>
      </c>
      <c r="O452">
        <v>5.2598622419999996</v>
      </c>
      <c r="P452">
        <v>3</v>
      </c>
    </row>
    <row r="453" spans="1:16" x14ac:dyDescent="0.35">
      <c r="A453" t="s">
        <v>664</v>
      </c>
      <c r="B453">
        <v>45363</v>
      </c>
      <c r="C453" t="s">
        <v>338</v>
      </c>
      <c r="D453">
        <v>37</v>
      </c>
      <c r="E453" t="s">
        <v>23</v>
      </c>
      <c r="F453" t="s">
        <v>57</v>
      </c>
      <c r="G453" t="s">
        <v>61</v>
      </c>
      <c r="H453" t="s">
        <v>26</v>
      </c>
      <c r="I453">
        <v>1402.95</v>
      </c>
      <c r="J453">
        <v>7974</v>
      </c>
      <c r="K453">
        <v>4910</v>
      </c>
      <c r="L453">
        <v>323</v>
      </c>
      <c r="M453">
        <v>1</v>
      </c>
      <c r="N453">
        <v>61.575119139999998</v>
      </c>
      <c r="O453">
        <v>6.5784114049999998</v>
      </c>
      <c r="P453">
        <v>1</v>
      </c>
    </row>
    <row r="454" spans="1:16" x14ac:dyDescent="0.35">
      <c r="A454" t="s">
        <v>665</v>
      </c>
      <c r="B454">
        <v>45410</v>
      </c>
      <c r="C454" t="s">
        <v>40</v>
      </c>
      <c r="D454">
        <v>21</v>
      </c>
      <c r="E454" t="s">
        <v>23</v>
      </c>
      <c r="F454" t="s">
        <v>41</v>
      </c>
      <c r="G454" t="s">
        <v>25</v>
      </c>
      <c r="H454" t="s">
        <v>36</v>
      </c>
      <c r="I454">
        <v>1756.99</v>
      </c>
      <c r="J454">
        <v>29611</v>
      </c>
      <c r="K454">
        <v>3794</v>
      </c>
      <c r="L454">
        <v>379</v>
      </c>
      <c r="N454">
        <v>12.812806050000001</v>
      </c>
      <c r="O454">
        <v>9.9894570369999993</v>
      </c>
      <c r="P454">
        <v>3</v>
      </c>
    </row>
    <row r="455" spans="1:16" x14ac:dyDescent="0.35">
      <c r="A455" t="s">
        <v>666</v>
      </c>
      <c r="B455">
        <v>45348</v>
      </c>
      <c r="C455" t="s">
        <v>317</v>
      </c>
      <c r="D455">
        <v>30</v>
      </c>
      <c r="E455" t="s">
        <v>29</v>
      </c>
      <c r="F455" t="s">
        <v>50</v>
      </c>
      <c r="G455" t="s">
        <v>46</v>
      </c>
      <c r="H455" t="s">
        <v>32</v>
      </c>
      <c r="I455">
        <v>280.64999999999998</v>
      </c>
      <c r="J455">
        <v>35248</v>
      </c>
      <c r="K455">
        <v>3329</v>
      </c>
      <c r="L455">
        <v>156</v>
      </c>
      <c r="M455">
        <v>5</v>
      </c>
      <c r="N455">
        <v>9.4445074899999994</v>
      </c>
      <c r="O455">
        <v>4.6860919189999999</v>
      </c>
      <c r="P455">
        <v>5</v>
      </c>
    </row>
    <row r="456" spans="1:16" x14ac:dyDescent="0.35">
      <c r="A456" t="s">
        <v>667</v>
      </c>
      <c r="B456">
        <v>45537</v>
      </c>
      <c r="C456" t="s">
        <v>660</v>
      </c>
      <c r="D456">
        <v>56</v>
      </c>
      <c r="E456" t="s">
        <v>29</v>
      </c>
      <c r="F456" t="s">
        <v>24</v>
      </c>
      <c r="G456" t="s">
        <v>25</v>
      </c>
      <c r="H456" t="s">
        <v>26</v>
      </c>
      <c r="I456">
        <v>1674.62</v>
      </c>
      <c r="J456">
        <v>26920</v>
      </c>
      <c r="K456">
        <v>2753</v>
      </c>
      <c r="L456">
        <v>138</v>
      </c>
      <c r="M456">
        <v>5</v>
      </c>
      <c r="N456">
        <v>10.226597330000001</v>
      </c>
      <c r="O456">
        <v>5.0127134040000003</v>
      </c>
      <c r="P456">
        <v>5</v>
      </c>
    </row>
    <row r="457" spans="1:16" x14ac:dyDescent="0.35">
      <c r="A457" t="s">
        <v>668</v>
      </c>
      <c r="B457">
        <v>45552</v>
      </c>
      <c r="C457" t="s">
        <v>669</v>
      </c>
      <c r="D457">
        <v>30</v>
      </c>
      <c r="E457" t="s">
        <v>35</v>
      </c>
      <c r="F457" t="s">
        <v>50</v>
      </c>
      <c r="G457" t="s">
        <v>25</v>
      </c>
      <c r="H457" t="s">
        <v>26</v>
      </c>
      <c r="I457">
        <v>852.6</v>
      </c>
      <c r="J457">
        <v>38069</v>
      </c>
      <c r="K457">
        <v>2948</v>
      </c>
      <c r="L457">
        <v>286</v>
      </c>
      <c r="M457">
        <v>3</v>
      </c>
      <c r="N457">
        <v>7.7438335650000001</v>
      </c>
      <c r="O457">
        <v>9.701492537</v>
      </c>
      <c r="P457">
        <v>3</v>
      </c>
    </row>
    <row r="458" spans="1:16" x14ac:dyDescent="0.35">
      <c r="A458" t="s">
        <v>670</v>
      </c>
      <c r="B458">
        <v>45546</v>
      </c>
      <c r="C458" t="s">
        <v>671</v>
      </c>
      <c r="D458">
        <v>52</v>
      </c>
      <c r="E458" t="s">
        <v>29</v>
      </c>
      <c r="F458" t="s">
        <v>50</v>
      </c>
      <c r="G458" t="s">
        <v>61</v>
      </c>
      <c r="H458" t="s">
        <v>36</v>
      </c>
      <c r="I458">
        <v>152.69</v>
      </c>
      <c r="J458">
        <v>47524</v>
      </c>
      <c r="K458">
        <v>4929</v>
      </c>
      <c r="L458">
        <v>140</v>
      </c>
      <c r="M458">
        <v>3</v>
      </c>
      <c r="N458">
        <v>10.371601719999999</v>
      </c>
      <c r="O458">
        <v>2.8403327250000001</v>
      </c>
      <c r="P458">
        <v>3</v>
      </c>
    </row>
    <row r="459" spans="1:16" x14ac:dyDescent="0.35">
      <c r="A459" t="s">
        <v>672</v>
      </c>
      <c r="B459">
        <v>45466</v>
      </c>
      <c r="C459" t="s">
        <v>157</v>
      </c>
      <c r="D459">
        <v>23</v>
      </c>
      <c r="E459" t="s">
        <v>35</v>
      </c>
      <c r="F459" t="s">
        <v>24</v>
      </c>
      <c r="G459" t="s">
        <v>42</v>
      </c>
      <c r="H459" t="s">
        <v>26</v>
      </c>
      <c r="I459">
        <v>1469.59</v>
      </c>
      <c r="J459">
        <v>15095</v>
      </c>
      <c r="K459">
        <v>1056</v>
      </c>
      <c r="L459">
        <v>391</v>
      </c>
      <c r="M459">
        <v>5</v>
      </c>
      <c r="N459">
        <v>6.9956939379999996</v>
      </c>
      <c r="O459">
        <v>37.026515150000002</v>
      </c>
      <c r="P459">
        <v>5</v>
      </c>
    </row>
    <row r="460" spans="1:16" x14ac:dyDescent="0.35">
      <c r="A460" t="s">
        <v>673</v>
      </c>
      <c r="B460">
        <v>45359</v>
      </c>
      <c r="C460" t="s">
        <v>409</v>
      </c>
      <c r="D460">
        <v>34</v>
      </c>
      <c r="E460" t="s">
        <v>29</v>
      </c>
      <c r="F460" t="s">
        <v>24</v>
      </c>
      <c r="G460" t="s">
        <v>61</v>
      </c>
      <c r="H460" t="s">
        <v>26</v>
      </c>
      <c r="I460">
        <v>1906.86</v>
      </c>
      <c r="J460">
        <v>36437</v>
      </c>
      <c r="K460">
        <v>1266</v>
      </c>
      <c r="L460">
        <v>180</v>
      </c>
      <c r="N460">
        <v>3.474490216</v>
      </c>
      <c r="O460">
        <v>14.218009479999999</v>
      </c>
      <c r="P460">
        <v>3</v>
      </c>
    </row>
    <row r="461" spans="1:16" x14ac:dyDescent="0.35">
      <c r="A461" t="s">
        <v>674</v>
      </c>
      <c r="B461">
        <v>45532</v>
      </c>
      <c r="C461" t="s">
        <v>162</v>
      </c>
      <c r="D461">
        <v>53</v>
      </c>
      <c r="E461" t="s">
        <v>35</v>
      </c>
      <c r="F461" t="s">
        <v>57</v>
      </c>
      <c r="G461" t="s">
        <v>42</v>
      </c>
      <c r="H461" t="s">
        <v>32</v>
      </c>
      <c r="I461">
        <v>286.62</v>
      </c>
      <c r="J461">
        <v>42967</v>
      </c>
      <c r="K461">
        <v>3745</v>
      </c>
      <c r="L461">
        <v>316</v>
      </c>
      <c r="M461">
        <v>5</v>
      </c>
      <c r="N461">
        <v>8.7159913420000006</v>
      </c>
      <c r="O461">
        <v>8.4379172229999995</v>
      </c>
      <c r="P461">
        <v>5</v>
      </c>
    </row>
    <row r="462" spans="1:16" x14ac:dyDescent="0.35">
      <c r="A462" t="s">
        <v>675</v>
      </c>
      <c r="B462">
        <v>45507</v>
      </c>
      <c r="C462" t="s">
        <v>281</v>
      </c>
      <c r="D462">
        <v>22</v>
      </c>
      <c r="E462" t="s">
        <v>35</v>
      </c>
      <c r="F462" t="s">
        <v>45</v>
      </c>
      <c r="G462" t="s">
        <v>42</v>
      </c>
      <c r="H462" t="s">
        <v>62</v>
      </c>
      <c r="I462">
        <v>1233.83</v>
      </c>
      <c r="J462">
        <v>24663</v>
      </c>
      <c r="K462">
        <v>4645</v>
      </c>
      <c r="L462">
        <v>237</v>
      </c>
      <c r="N462">
        <v>18.833880709999999</v>
      </c>
      <c r="O462">
        <v>5.1022604950000003</v>
      </c>
      <c r="P462">
        <v>3</v>
      </c>
    </row>
    <row r="463" spans="1:16" x14ac:dyDescent="0.35">
      <c r="A463" t="s">
        <v>676</v>
      </c>
      <c r="B463">
        <v>45576</v>
      </c>
      <c r="C463" t="s">
        <v>579</v>
      </c>
      <c r="D463">
        <v>44</v>
      </c>
      <c r="E463" t="s">
        <v>23</v>
      </c>
      <c r="F463" t="s">
        <v>45</v>
      </c>
      <c r="G463" t="s">
        <v>46</v>
      </c>
      <c r="H463" t="s">
        <v>32</v>
      </c>
      <c r="I463">
        <v>364.32</v>
      </c>
      <c r="J463">
        <v>11840</v>
      </c>
      <c r="K463">
        <v>87</v>
      </c>
      <c r="L463">
        <v>365</v>
      </c>
      <c r="M463">
        <v>4</v>
      </c>
      <c r="N463">
        <v>0.73479729699999996</v>
      </c>
      <c r="O463">
        <v>419.54022989999999</v>
      </c>
      <c r="P463">
        <v>4</v>
      </c>
    </row>
    <row r="464" spans="1:16" x14ac:dyDescent="0.35">
      <c r="A464" t="s">
        <v>677</v>
      </c>
      <c r="B464">
        <v>45464</v>
      </c>
      <c r="C464" t="s">
        <v>162</v>
      </c>
      <c r="D464">
        <v>63</v>
      </c>
      <c r="E464" t="s">
        <v>23</v>
      </c>
      <c r="F464" t="s">
        <v>57</v>
      </c>
      <c r="G464" t="s">
        <v>42</v>
      </c>
      <c r="H464" t="s">
        <v>26</v>
      </c>
      <c r="I464">
        <v>1537.13</v>
      </c>
      <c r="J464">
        <v>3337</v>
      </c>
      <c r="K464">
        <v>1281</v>
      </c>
      <c r="L464">
        <v>335</v>
      </c>
      <c r="N464">
        <v>38.387773449999997</v>
      </c>
      <c r="O464">
        <v>26.151444179999999</v>
      </c>
      <c r="P464">
        <v>3</v>
      </c>
    </row>
    <row r="465" spans="1:16" x14ac:dyDescent="0.35">
      <c r="A465" t="s">
        <v>678</v>
      </c>
      <c r="B465">
        <v>45584</v>
      </c>
      <c r="C465" t="s">
        <v>201</v>
      </c>
      <c r="D465">
        <v>35</v>
      </c>
      <c r="E465" t="s">
        <v>29</v>
      </c>
      <c r="F465" t="s">
        <v>50</v>
      </c>
      <c r="G465" t="s">
        <v>31</v>
      </c>
      <c r="H465" t="s">
        <v>26</v>
      </c>
      <c r="I465">
        <v>601.66</v>
      </c>
      <c r="J465">
        <v>23181</v>
      </c>
      <c r="K465">
        <v>444</v>
      </c>
      <c r="L465">
        <v>342</v>
      </c>
      <c r="M465">
        <v>4</v>
      </c>
      <c r="N465">
        <v>1.9153617190000001</v>
      </c>
      <c r="O465">
        <v>77.027027029999999</v>
      </c>
      <c r="P465">
        <v>4</v>
      </c>
    </row>
    <row r="466" spans="1:16" x14ac:dyDescent="0.35">
      <c r="A466" t="s">
        <v>679</v>
      </c>
      <c r="B466">
        <v>45323</v>
      </c>
      <c r="C466" t="s">
        <v>473</v>
      </c>
      <c r="D466">
        <v>58</v>
      </c>
      <c r="E466" t="s">
        <v>23</v>
      </c>
      <c r="F466" t="s">
        <v>45</v>
      </c>
      <c r="G466" t="s">
        <v>25</v>
      </c>
      <c r="H466" t="s">
        <v>62</v>
      </c>
      <c r="I466">
        <v>1609.82</v>
      </c>
      <c r="J466">
        <v>12077</v>
      </c>
      <c r="K466">
        <v>4168</v>
      </c>
      <c r="L466">
        <v>79</v>
      </c>
      <c r="M466">
        <v>4</v>
      </c>
      <c r="N466">
        <v>34.51188209</v>
      </c>
      <c r="O466">
        <v>1.895393474</v>
      </c>
      <c r="P466">
        <v>4</v>
      </c>
    </row>
    <row r="467" spans="1:16" x14ac:dyDescent="0.35">
      <c r="A467" t="s">
        <v>680</v>
      </c>
      <c r="B467">
        <v>45596</v>
      </c>
      <c r="C467" t="s">
        <v>128</v>
      </c>
      <c r="D467">
        <v>39</v>
      </c>
      <c r="E467" t="s">
        <v>29</v>
      </c>
      <c r="F467" t="s">
        <v>45</v>
      </c>
      <c r="G467" t="s">
        <v>31</v>
      </c>
      <c r="H467" t="s">
        <v>36</v>
      </c>
      <c r="I467">
        <v>543.67999999999995</v>
      </c>
      <c r="J467">
        <v>10803</v>
      </c>
      <c r="K467">
        <v>2408</v>
      </c>
      <c r="L467">
        <v>80</v>
      </c>
      <c r="N467">
        <v>22.290104599999999</v>
      </c>
      <c r="O467">
        <v>3.322259136</v>
      </c>
      <c r="P467">
        <v>3</v>
      </c>
    </row>
    <row r="468" spans="1:16" x14ac:dyDescent="0.35">
      <c r="A468" t="s">
        <v>681</v>
      </c>
      <c r="B468">
        <v>45332</v>
      </c>
      <c r="C468" t="s">
        <v>64</v>
      </c>
      <c r="D468">
        <v>22</v>
      </c>
      <c r="E468" t="s">
        <v>23</v>
      </c>
      <c r="F468" t="s">
        <v>30</v>
      </c>
      <c r="G468" t="s">
        <v>42</v>
      </c>
      <c r="H468" t="s">
        <v>32</v>
      </c>
      <c r="I468">
        <v>249</v>
      </c>
      <c r="J468">
        <v>7290</v>
      </c>
      <c r="K468">
        <v>271</v>
      </c>
      <c r="L468">
        <v>388</v>
      </c>
      <c r="M468">
        <v>2</v>
      </c>
      <c r="N468">
        <v>3.717421125</v>
      </c>
      <c r="O468">
        <v>143.17343170000001</v>
      </c>
      <c r="P468">
        <v>2</v>
      </c>
    </row>
    <row r="469" spans="1:16" x14ac:dyDescent="0.35">
      <c r="A469" t="s">
        <v>682</v>
      </c>
      <c r="B469">
        <v>45414</v>
      </c>
      <c r="C469" t="s">
        <v>366</v>
      </c>
      <c r="D469">
        <v>36</v>
      </c>
      <c r="E469" t="s">
        <v>35</v>
      </c>
      <c r="F469" t="s">
        <v>41</v>
      </c>
      <c r="G469" t="s">
        <v>61</v>
      </c>
      <c r="H469" t="s">
        <v>26</v>
      </c>
      <c r="I469">
        <v>100.32</v>
      </c>
      <c r="J469">
        <v>4883</v>
      </c>
      <c r="K469">
        <v>4918</v>
      </c>
      <c r="L469">
        <v>88</v>
      </c>
      <c r="M469">
        <v>1</v>
      </c>
      <c r="N469">
        <v>100.7167725</v>
      </c>
      <c r="O469">
        <v>1.7893452620000001</v>
      </c>
      <c r="P469">
        <v>1</v>
      </c>
    </row>
    <row r="470" spans="1:16" x14ac:dyDescent="0.35">
      <c r="A470" t="s">
        <v>683</v>
      </c>
      <c r="B470">
        <v>45479</v>
      </c>
      <c r="C470" t="s">
        <v>28</v>
      </c>
      <c r="D470">
        <v>51</v>
      </c>
      <c r="E470" t="s">
        <v>23</v>
      </c>
      <c r="F470" t="s">
        <v>50</v>
      </c>
      <c r="G470" t="s">
        <v>61</v>
      </c>
      <c r="H470" t="s">
        <v>32</v>
      </c>
      <c r="I470">
        <v>735.41</v>
      </c>
      <c r="J470">
        <v>4469</v>
      </c>
      <c r="K470">
        <v>671</v>
      </c>
      <c r="L470">
        <v>45</v>
      </c>
      <c r="M470">
        <v>3</v>
      </c>
      <c r="N470">
        <v>15.01454464</v>
      </c>
      <c r="O470">
        <v>6.7064083459999999</v>
      </c>
      <c r="P470">
        <v>3</v>
      </c>
    </row>
    <row r="471" spans="1:16" x14ac:dyDescent="0.35">
      <c r="A471" t="s">
        <v>684</v>
      </c>
      <c r="B471">
        <v>45547</v>
      </c>
      <c r="C471" t="s">
        <v>217</v>
      </c>
      <c r="D471">
        <v>21</v>
      </c>
      <c r="E471" t="s">
        <v>29</v>
      </c>
      <c r="F471" t="s">
        <v>30</v>
      </c>
      <c r="G471" t="s">
        <v>61</v>
      </c>
      <c r="H471" t="s">
        <v>36</v>
      </c>
      <c r="I471">
        <v>424.94</v>
      </c>
      <c r="J471">
        <v>28471</v>
      </c>
      <c r="K471">
        <v>1738</v>
      </c>
      <c r="L471">
        <v>16</v>
      </c>
      <c r="M471">
        <v>3</v>
      </c>
      <c r="N471">
        <v>6.1044571669999996</v>
      </c>
      <c r="O471">
        <v>0.92059838900000002</v>
      </c>
      <c r="P471">
        <v>3</v>
      </c>
    </row>
    <row r="472" spans="1:16" x14ac:dyDescent="0.35">
      <c r="A472" t="s">
        <v>685</v>
      </c>
      <c r="B472">
        <v>45612</v>
      </c>
      <c r="C472" t="s">
        <v>279</v>
      </c>
      <c r="D472">
        <v>32</v>
      </c>
      <c r="E472" t="s">
        <v>29</v>
      </c>
      <c r="F472" t="s">
        <v>45</v>
      </c>
      <c r="G472" t="s">
        <v>25</v>
      </c>
      <c r="H472" t="s">
        <v>26</v>
      </c>
      <c r="I472">
        <v>763.76</v>
      </c>
      <c r="J472">
        <v>27895</v>
      </c>
      <c r="K472">
        <v>3565</v>
      </c>
      <c r="L472">
        <v>42</v>
      </c>
      <c r="M472">
        <v>5</v>
      </c>
      <c r="N472">
        <v>12.78006811</v>
      </c>
      <c r="O472">
        <v>1.178120617</v>
      </c>
      <c r="P472">
        <v>5</v>
      </c>
    </row>
    <row r="473" spans="1:16" x14ac:dyDescent="0.35">
      <c r="A473" t="s">
        <v>686</v>
      </c>
      <c r="B473">
        <v>45320</v>
      </c>
      <c r="C473" t="s">
        <v>384</v>
      </c>
      <c r="D473">
        <v>21</v>
      </c>
      <c r="E473" t="s">
        <v>29</v>
      </c>
      <c r="F473" t="s">
        <v>45</v>
      </c>
      <c r="G473" t="s">
        <v>42</v>
      </c>
      <c r="H473" t="s">
        <v>26</v>
      </c>
      <c r="I473">
        <v>873.27</v>
      </c>
      <c r="J473">
        <v>11048</v>
      </c>
      <c r="K473">
        <v>4528</v>
      </c>
      <c r="L473">
        <v>219</v>
      </c>
      <c r="M473">
        <v>1</v>
      </c>
      <c r="N473">
        <v>40.984793629999999</v>
      </c>
      <c r="O473">
        <v>4.8365724380000001</v>
      </c>
      <c r="P473">
        <v>1</v>
      </c>
    </row>
    <row r="474" spans="1:16" x14ac:dyDescent="0.35">
      <c r="A474" t="s">
        <v>687</v>
      </c>
      <c r="B474">
        <v>45299</v>
      </c>
      <c r="C474" t="s">
        <v>688</v>
      </c>
      <c r="D474">
        <v>24</v>
      </c>
      <c r="E474" t="s">
        <v>35</v>
      </c>
      <c r="F474" t="s">
        <v>57</v>
      </c>
      <c r="G474" t="s">
        <v>46</v>
      </c>
      <c r="H474" t="s">
        <v>36</v>
      </c>
      <c r="I474">
        <v>559.04</v>
      </c>
      <c r="J474">
        <v>48184</v>
      </c>
      <c r="K474">
        <v>676</v>
      </c>
      <c r="L474">
        <v>55</v>
      </c>
      <c r="M474">
        <v>5</v>
      </c>
      <c r="N474">
        <v>1.4029553379999999</v>
      </c>
      <c r="O474">
        <v>8.1360946750000007</v>
      </c>
      <c r="P474">
        <v>5</v>
      </c>
    </row>
    <row r="475" spans="1:16" x14ac:dyDescent="0.35">
      <c r="A475" t="s">
        <v>689</v>
      </c>
      <c r="B475">
        <v>45335</v>
      </c>
      <c r="C475" t="s">
        <v>299</v>
      </c>
      <c r="D475">
        <v>40</v>
      </c>
      <c r="E475" t="s">
        <v>29</v>
      </c>
      <c r="F475" t="s">
        <v>30</v>
      </c>
      <c r="G475" t="s">
        <v>46</v>
      </c>
      <c r="H475" t="s">
        <v>26</v>
      </c>
      <c r="I475">
        <v>1729.99</v>
      </c>
      <c r="J475">
        <v>37883</v>
      </c>
      <c r="K475">
        <v>4156</v>
      </c>
      <c r="L475">
        <v>286</v>
      </c>
      <c r="M475">
        <v>5</v>
      </c>
      <c r="N475">
        <v>10.970620070000001</v>
      </c>
      <c r="O475">
        <v>6.8816169389999997</v>
      </c>
      <c r="P475">
        <v>5</v>
      </c>
    </row>
    <row r="476" spans="1:16" x14ac:dyDescent="0.35">
      <c r="A476" t="s">
        <v>690</v>
      </c>
      <c r="B476">
        <v>45638</v>
      </c>
      <c r="C476" t="s">
        <v>81</v>
      </c>
      <c r="D476">
        <v>47</v>
      </c>
      <c r="E476" t="s">
        <v>35</v>
      </c>
      <c r="F476" t="s">
        <v>41</v>
      </c>
      <c r="G476" t="s">
        <v>61</v>
      </c>
      <c r="H476" t="s">
        <v>32</v>
      </c>
      <c r="I476">
        <v>1396.64</v>
      </c>
      <c r="J476">
        <v>48853</v>
      </c>
      <c r="K476">
        <v>1265</v>
      </c>
      <c r="L476">
        <v>168</v>
      </c>
      <c r="M476">
        <v>1</v>
      </c>
      <c r="N476">
        <v>2.5894008560000001</v>
      </c>
      <c r="O476">
        <v>13.280632410000001</v>
      </c>
      <c r="P476">
        <v>1</v>
      </c>
    </row>
    <row r="477" spans="1:16" x14ac:dyDescent="0.35">
      <c r="A477" t="s">
        <v>691</v>
      </c>
      <c r="B477">
        <v>45425</v>
      </c>
      <c r="C477" t="s">
        <v>220</v>
      </c>
      <c r="D477">
        <v>25</v>
      </c>
      <c r="E477" t="s">
        <v>23</v>
      </c>
      <c r="F477" t="s">
        <v>24</v>
      </c>
      <c r="G477" t="s">
        <v>31</v>
      </c>
      <c r="H477" t="s">
        <v>26</v>
      </c>
      <c r="I477">
        <v>1639.47</v>
      </c>
      <c r="J477">
        <v>34488</v>
      </c>
      <c r="K477">
        <v>288</v>
      </c>
      <c r="L477">
        <v>12</v>
      </c>
      <c r="M477">
        <v>2</v>
      </c>
      <c r="N477">
        <v>0.835073069</v>
      </c>
      <c r="O477">
        <v>4.1666666670000003</v>
      </c>
      <c r="P477">
        <v>2</v>
      </c>
    </row>
    <row r="478" spans="1:16" x14ac:dyDescent="0.35">
      <c r="A478" t="s">
        <v>692</v>
      </c>
      <c r="B478">
        <v>45624</v>
      </c>
      <c r="C478" t="s">
        <v>598</v>
      </c>
      <c r="D478">
        <v>19</v>
      </c>
      <c r="E478" t="s">
        <v>29</v>
      </c>
      <c r="F478" t="s">
        <v>30</v>
      </c>
      <c r="G478" t="s">
        <v>61</v>
      </c>
      <c r="H478" t="s">
        <v>32</v>
      </c>
      <c r="I478">
        <v>1118.92</v>
      </c>
      <c r="J478">
        <v>13713</v>
      </c>
      <c r="K478">
        <v>4502</v>
      </c>
      <c r="L478">
        <v>199</v>
      </c>
      <c r="M478">
        <v>1</v>
      </c>
      <c r="N478">
        <v>32.830161160000003</v>
      </c>
      <c r="O478">
        <v>4.4202576630000001</v>
      </c>
      <c r="P478">
        <v>1</v>
      </c>
    </row>
    <row r="479" spans="1:16" x14ac:dyDescent="0.35">
      <c r="A479" t="s">
        <v>693</v>
      </c>
      <c r="B479">
        <v>45613</v>
      </c>
      <c r="C479" t="s">
        <v>119</v>
      </c>
      <c r="D479">
        <v>31</v>
      </c>
      <c r="E479" t="s">
        <v>35</v>
      </c>
      <c r="F479" t="s">
        <v>30</v>
      </c>
      <c r="G479" t="s">
        <v>31</v>
      </c>
      <c r="H479" t="s">
        <v>26</v>
      </c>
      <c r="I479">
        <v>345.88</v>
      </c>
      <c r="J479">
        <v>1064</v>
      </c>
      <c r="K479">
        <v>1285</v>
      </c>
      <c r="L479">
        <v>15</v>
      </c>
      <c r="M479">
        <v>3</v>
      </c>
      <c r="N479">
        <v>120.7706767</v>
      </c>
      <c r="O479">
        <v>1.1673151749999999</v>
      </c>
      <c r="P479">
        <v>3</v>
      </c>
    </row>
    <row r="480" spans="1:16" x14ac:dyDescent="0.35">
      <c r="A480" t="s">
        <v>694</v>
      </c>
      <c r="B480">
        <v>45505</v>
      </c>
      <c r="C480" t="s">
        <v>461</v>
      </c>
      <c r="D480">
        <v>37</v>
      </c>
      <c r="E480" t="s">
        <v>23</v>
      </c>
      <c r="F480" t="s">
        <v>30</v>
      </c>
      <c r="G480" t="s">
        <v>25</v>
      </c>
      <c r="H480" t="s">
        <v>62</v>
      </c>
      <c r="I480">
        <v>1399.6</v>
      </c>
      <c r="J480">
        <v>20146</v>
      </c>
      <c r="K480">
        <v>4092</v>
      </c>
      <c r="L480">
        <v>396</v>
      </c>
      <c r="M480">
        <v>1</v>
      </c>
      <c r="N480">
        <v>20.31172441</v>
      </c>
      <c r="O480">
        <v>9.6774193549999996</v>
      </c>
      <c r="P480">
        <v>1</v>
      </c>
    </row>
    <row r="481" spans="1:16" x14ac:dyDescent="0.35">
      <c r="A481" t="s">
        <v>695</v>
      </c>
      <c r="B481">
        <v>45381</v>
      </c>
      <c r="C481" t="s">
        <v>361</v>
      </c>
      <c r="D481">
        <v>56</v>
      </c>
      <c r="E481" t="s">
        <v>23</v>
      </c>
      <c r="F481" t="s">
        <v>41</v>
      </c>
      <c r="G481" t="s">
        <v>46</v>
      </c>
      <c r="H481" t="s">
        <v>32</v>
      </c>
      <c r="I481">
        <v>1495.4</v>
      </c>
      <c r="J481">
        <v>29712</v>
      </c>
      <c r="K481">
        <v>2236</v>
      </c>
      <c r="L481">
        <v>110</v>
      </c>
      <c r="M481">
        <v>4</v>
      </c>
      <c r="N481">
        <v>7.5255788910000003</v>
      </c>
      <c r="O481">
        <v>4.919499106</v>
      </c>
      <c r="P481">
        <v>4</v>
      </c>
    </row>
    <row r="482" spans="1:16" x14ac:dyDescent="0.35">
      <c r="A482" t="s">
        <v>696</v>
      </c>
      <c r="B482">
        <v>45472</v>
      </c>
      <c r="C482" t="s">
        <v>281</v>
      </c>
      <c r="D482">
        <v>22</v>
      </c>
      <c r="E482" t="s">
        <v>29</v>
      </c>
      <c r="F482" t="s">
        <v>45</v>
      </c>
      <c r="G482" t="s">
        <v>25</v>
      </c>
      <c r="H482" t="s">
        <v>26</v>
      </c>
      <c r="I482">
        <v>1275.81</v>
      </c>
      <c r="J482">
        <v>34527</v>
      </c>
      <c r="K482">
        <v>1341</v>
      </c>
      <c r="L482">
        <v>81</v>
      </c>
      <c r="M482">
        <v>1</v>
      </c>
      <c r="N482">
        <v>3.8839169349999998</v>
      </c>
      <c r="O482">
        <v>6.0402684559999997</v>
      </c>
      <c r="P482">
        <v>1</v>
      </c>
    </row>
    <row r="483" spans="1:16" x14ac:dyDescent="0.35">
      <c r="A483" t="s">
        <v>697</v>
      </c>
      <c r="B483">
        <v>45381</v>
      </c>
      <c r="C483" t="s">
        <v>492</v>
      </c>
      <c r="D483">
        <v>34</v>
      </c>
      <c r="E483" t="s">
        <v>29</v>
      </c>
      <c r="F483" t="s">
        <v>24</v>
      </c>
      <c r="G483" t="s">
        <v>31</v>
      </c>
      <c r="H483" t="s">
        <v>36</v>
      </c>
      <c r="I483">
        <v>1447.21</v>
      </c>
      <c r="J483">
        <v>23239</v>
      </c>
      <c r="K483">
        <v>1637</v>
      </c>
      <c r="L483">
        <v>286</v>
      </c>
      <c r="M483">
        <v>4</v>
      </c>
      <c r="N483">
        <v>7.0441929520000004</v>
      </c>
      <c r="O483">
        <v>17.47098351</v>
      </c>
      <c r="P483">
        <v>4</v>
      </c>
    </row>
    <row r="484" spans="1:16" x14ac:dyDescent="0.35">
      <c r="A484" t="s">
        <v>698</v>
      </c>
      <c r="B484">
        <v>45313</v>
      </c>
      <c r="C484" t="s">
        <v>409</v>
      </c>
      <c r="D484">
        <v>54</v>
      </c>
      <c r="E484" t="s">
        <v>23</v>
      </c>
      <c r="F484" t="s">
        <v>57</v>
      </c>
      <c r="G484" t="s">
        <v>61</v>
      </c>
      <c r="H484" t="s">
        <v>62</v>
      </c>
      <c r="I484">
        <v>1807.33</v>
      </c>
      <c r="J484">
        <v>4303</v>
      </c>
      <c r="K484">
        <v>3197</v>
      </c>
      <c r="L484">
        <v>124</v>
      </c>
      <c r="M484">
        <v>4</v>
      </c>
      <c r="N484">
        <v>74.297002090000007</v>
      </c>
      <c r="O484">
        <v>3.8786362209999998</v>
      </c>
      <c r="P484">
        <v>4</v>
      </c>
    </row>
    <row r="485" spans="1:16" x14ac:dyDescent="0.35">
      <c r="A485" t="s">
        <v>699</v>
      </c>
      <c r="B485">
        <v>45394</v>
      </c>
      <c r="C485" t="s">
        <v>115</v>
      </c>
      <c r="D485">
        <v>29</v>
      </c>
      <c r="E485" t="s">
        <v>29</v>
      </c>
      <c r="F485" t="s">
        <v>45</v>
      </c>
      <c r="G485" t="s">
        <v>42</v>
      </c>
      <c r="H485" t="s">
        <v>62</v>
      </c>
      <c r="I485">
        <v>279.16000000000003</v>
      </c>
      <c r="J485">
        <v>46212</v>
      </c>
      <c r="K485">
        <v>4540</v>
      </c>
      <c r="L485">
        <v>90</v>
      </c>
      <c r="N485">
        <v>9.8242880639999992</v>
      </c>
      <c r="O485">
        <v>1.9823788550000001</v>
      </c>
      <c r="P485">
        <v>3</v>
      </c>
    </row>
    <row r="486" spans="1:16" x14ac:dyDescent="0.35">
      <c r="A486" t="s">
        <v>700</v>
      </c>
      <c r="B486">
        <v>45399</v>
      </c>
      <c r="C486" t="s">
        <v>134</v>
      </c>
      <c r="E486" t="s">
        <v>23</v>
      </c>
      <c r="F486" t="s">
        <v>771</v>
      </c>
      <c r="G486" t="s">
        <v>42</v>
      </c>
      <c r="H486" t="s">
        <v>62</v>
      </c>
      <c r="I486">
        <v>569.16</v>
      </c>
      <c r="J486">
        <v>8704</v>
      </c>
      <c r="K486">
        <v>4318</v>
      </c>
      <c r="L486">
        <v>34</v>
      </c>
      <c r="N486">
        <v>49.609375</v>
      </c>
      <c r="O486">
        <v>0.78740157499999996</v>
      </c>
      <c r="P486">
        <v>3</v>
      </c>
    </row>
    <row r="487" spans="1:16" x14ac:dyDescent="0.35">
      <c r="A487" t="s">
        <v>701</v>
      </c>
      <c r="B487">
        <v>45457</v>
      </c>
      <c r="C487" t="s">
        <v>157</v>
      </c>
      <c r="D487">
        <v>26</v>
      </c>
      <c r="E487" t="s">
        <v>23</v>
      </c>
      <c r="F487" t="s">
        <v>24</v>
      </c>
      <c r="G487" t="s">
        <v>46</v>
      </c>
      <c r="H487" t="s">
        <v>26</v>
      </c>
      <c r="I487">
        <v>427.94</v>
      </c>
      <c r="J487">
        <v>31240</v>
      </c>
      <c r="K487">
        <v>2206</v>
      </c>
      <c r="L487">
        <v>270</v>
      </c>
      <c r="M487">
        <v>4</v>
      </c>
      <c r="N487">
        <v>7.0614596670000003</v>
      </c>
      <c r="O487">
        <v>12.23934723</v>
      </c>
      <c r="P487">
        <v>4</v>
      </c>
    </row>
    <row r="488" spans="1:16" x14ac:dyDescent="0.35">
      <c r="A488" t="s">
        <v>702</v>
      </c>
      <c r="B488">
        <v>45573</v>
      </c>
      <c r="C488" t="s">
        <v>160</v>
      </c>
      <c r="D488">
        <v>52</v>
      </c>
      <c r="E488" t="s">
        <v>35</v>
      </c>
      <c r="F488" t="s">
        <v>50</v>
      </c>
      <c r="G488" t="s">
        <v>42</v>
      </c>
      <c r="H488" t="s">
        <v>26</v>
      </c>
      <c r="I488">
        <v>1073.06</v>
      </c>
      <c r="J488">
        <v>35650</v>
      </c>
      <c r="K488">
        <v>309</v>
      </c>
      <c r="L488">
        <v>131</v>
      </c>
      <c r="M488">
        <v>3</v>
      </c>
      <c r="N488">
        <v>0.866760168</v>
      </c>
      <c r="O488">
        <v>42.394822009999999</v>
      </c>
      <c r="P488">
        <v>3</v>
      </c>
    </row>
    <row r="489" spans="1:16" x14ac:dyDescent="0.35">
      <c r="A489" t="s">
        <v>703</v>
      </c>
      <c r="B489">
        <v>45360</v>
      </c>
      <c r="C489" t="s">
        <v>191</v>
      </c>
      <c r="D489">
        <v>33</v>
      </c>
      <c r="E489" t="s">
        <v>35</v>
      </c>
      <c r="F489" t="s">
        <v>57</v>
      </c>
      <c r="G489" t="s">
        <v>25</v>
      </c>
      <c r="H489" t="s">
        <v>36</v>
      </c>
      <c r="I489">
        <v>1095.5899999999999</v>
      </c>
      <c r="J489">
        <v>8097</v>
      </c>
      <c r="K489">
        <v>4780</v>
      </c>
      <c r="L489">
        <v>337</v>
      </c>
      <c r="M489">
        <v>2</v>
      </c>
      <c r="N489">
        <v>59.034210199999997</v>
      </c>
      <c r="O489">
        <v>7.0502092049999998</v>
      </c>
      <c r="P489">
        <v>2</v>
      </c>
    </row>
    <row r="490" spans="1:16" x14ac:dyDescent="0.35">
      <c r="A490" t="s">
        <v>704</v>
      </c>
      <c r="B490">
        <v>45442</v>
      </c>
      <c r="C490" t="s">
        <v>409</v>
      </c>
      <c r="D490">
        <v>58</v>
      </c>
      <c r="E490" t="s">
        <v>35</v>
      </c>
      <c r="F490" t="s">
        <v>30</v>
      </c>
      <c r="G490" t="s">
        <v>42</v>
      </c>
      <c r="H490" t="s">
        <v>36</v>
      </c>
      <c r="I490">
        <v>1616.83</v>
      </c>
      <c r="J490">
        <v>48262</v>
      </c>
      <c r="K490">
        <v>2065</v>
      </c>
      <c r="L490">
        <v>16</v>
      </c>
      <c r="M490">
        <v>3</v>
      </c>
      <c r="N490">
        <v>4.2787286059999996</v>
      </c>
      <c r="O490">
        <v>0.77481840199999996</v>
      </c>
      <c r="P490">
        <v>3</v>
      </c>
    </row>
    <row r="491" spans="1:16" x14ac:dyDescent="0.35">
      <c r="A491" t="s">
        <v>705</v>
      </c>
      <c r="B491">
        <v>45324</v>
      </c>
      <c r="C491" t="s">
        <v>706</v>
      </c>
      <c r="D491">
        <v>44</v>
      </c>
      <c r="E491" t="s">
        <v>35</v>
      </c>
      <c r="F491" t="s">
        <v>50</v>
      </c>
      <c r="G491" t="s">
        <v>61</v>
      </c>
      <c r="H491" t="s">
        <v>32</v>
      </c>
      <c r="I491">
        <v>1635.95</v>
      </c>
      <c r="J491">
        <v>7197</v>
      </c>
      <c r="K491">
        <v>1788</v>
      </c>
      <c r="L491">
        <v>24</v>
      </c>
      <c r="M491">
        <v>2</v>
      </c>
      <c r="N491">
        <v>24.843684870000001</v>
      </c>
      <c r="O491">
        <v>1.342281879</v>
      </c>
      <c r="P491">
        <v>2</v>
      </c>
    </row>
    <row r="492" spans="1:16" x14ac:dyDescent="0.35">
      <c r="A492" t="s">
        <v>707</v>
      </c>
      <c r="B492">
        <v>45611</v>
      </c>
      <c r="C492" t="s">
        <v>261</v>
      </c>
      <c r="E492" t="s">
        <v>23</v>
      </c>
      <c r="F492" t="s">
        <v>771</v>
      </c>
      <c r="G492" t="s">
        <v>42</v>
      </c>
      <c r="H492" t="s">
        <v>62</v>
      </c>
      <c r="I492">
        <v>446.63</v>
      </c>
      <c r="J492">
        <v>31137</v>
      </c>
      <c r="K492">
        <v>3898</v>
      </c>
      <c r="L492">
        <v>269</v>
      </c>
      <c r="N492">
        <v>12.518868230000001</v>
      </c>
      <c r="O492">
        <v>6.9009748589999997</v>
      </c>
      <c r="P492">
        <v>3</v>
      </c>
    </row>
    <row r="493" spans="1:16" x14ac:dyDescent="0.35">
      <c r="A493" t="s">
        <v>708</v>
      </c>
      <c r="B493">
        <v>45518</v>
      </c>
      <c r="C493" t="s">
        <v>175</v>
      </c>
      <c r="D493">
        <v>43</v>
      </c>
      <c r="E493" t="s">
        <v>23</v>
      </c>
      <c r="F493" t="s">
        <v>45</v>
      </c>
      <c r="G493" t="s">
        <v>46</v>
      </c>
      <c r="H493" t="s">
        <v>32</v>
      </c>
      <c r="I493">
        <v>1926.85</v>
      </c>
      <c r="J493">
        <v>45461</v>
      </c>
      <c r="K493">
        <v>3777</v>
      </c>
      <c r="L493">
        <v>258</v>
      </c>
      <c r="M493">
        <v>4</v>
      </c>
      <c r="N493">
        <v>8.3082202330000001</v>
      </c>
      <c r="O493">
        <v>6.8308181100000001</v>
      </c>
      <c r="P493">
        <v>4</v>
      </c>
    </row>
    <row r="494" spans="1:16" x14ac:dyDescent="0.35">
      <c r="A494" t="s">
        <v>709</v>
      </c>
      <c r="B494">
        <v>45302</v>
      </c>
      <c r="C494" t="s">
        <v>289</v>
      </c>
      <c r="D494">
        <v>46</v>
      </c>
      <c r="E494" t="s">
        <v>23</v>
      </c>
      <c r="F494" t="s">
        <v>30</v>
      </c>
      <c r="G494" t="s">
        <v>25</v>
      </c>
      <c r="H494" t="s">
        <v>26</v>
      </c>
      <c r="I494">
        <v>1472.98</v>
      </c>
      <c r="J494">
        <v>42049</v>
      </c>
      <c r="K494">
        <v>779</v>
      </c>
      <c r="L494">
        <v>64</v>
      </c>
      <c r="M494">
        <v>3</v>
      </c>
      <c r="N494">
        <v>1.852600537</v>
      </c>
      <c r="O494">
        <v>8.2156611040000005</v>
      </c>
      <c r="P494">
        <v>3</v>
      </c>
    </row>
    <row r="495" spans="1:16" x14ac:dyDescent="0.35">
      <c r="A495" t="s">
        <v>710</v>
      </c>
      <c r="B495">
        <v>45625</v>
      </c>
      <c r="C495" t="s">
        <v>505</v>
      </c>
      <c r="D495">
        <v>20</v>
      </c>
      <c r="E495" t="s">
        <v>29</v>
      </c>
      <c r="F495" t="s">
        <v>24</v>
      </c>
      <c r="G495" t="s">
        <v>61</v>
      </c>
      <c r="H495" t="s">
        <v>62</v>
      </c>
      <c r="I495">
        <v>656.89</v>
      </c>
      <c r="J495">
        <v>935</v>
      </c>
      <c r="K495">
        <v>3128</v>
      </c>
      <c r="L495">
        <v>248</v>
      </c>
      <c r="N495">
        <v>334.54545450000001</v>
      </c>
      <c r="O495">
        <v>7.9283887469999996</v>
      </c>
      <c r="P495">
        <v>3</v>
      </c>
    </row>
    <row r="496" spans="1:16" x14ac:dyDescent="0.35">
      <c r="A496" t="s">
        <v>711</v>
      </c>
      <c r="B496">
        <v>45455</v>
      </c>
      <c r="C496" t="s">
        <v>567</v>
      </c>
      <c r="D496">
        <v>51</v>
      </c>
      <c r="E496" t="s">
        <v>35</v>
      </c>
      <c r="F496" t="s">
        <v>30</v>
      </c>
      <c r="G496" t="s">
        <v>42</v>
      </c>
      <c r="H496" t="s">
        <v>26</v>
      </c>
      <c r="I496">
        <v>553.27</v>
      </c>
      <c r="J496">
        <v>44864</v>
      </c>
      <c r="K496">
        <v>4157</v>
      </c>
      <c r="L496">
        <v>130</v>
      </c>
      <c r="M496">
        <v>3</v>
      </c>
      <c r="N496">
        <v>9.2657810269999992</v>
      </c>
      <c r="O496">
        <v>3.127255232</v>
      </c>
      <c r="P496">
        <v>3</v>
      </c>
    </row>
    <row r="497" spans="1:16" x14ac:dyDescent="0.35">
      <c r="A497" t="s">
        <v>712</v>
      </c>
      <c r="B497">
        <v>45330</v>
      </c>
      <c r="C497" t="s">
        <v>130</v>
      </c>
      <c r="D497">
        <v>59</v>
      </c>
      <c r="E497" t="s">
        <v>23</v>
      </c>
      <c r="F497" t="s">
        <v>41</v>
      </c>
      <c r="G497" t="s">
        <v>25</v>
      </c>
      <c r="H497" t="s">
        <v>26</v>
      </c>
      <c r="I497">
        <v>398.14</v>
      </c>
      <c r="J497">
        <v>21016</v>
      </c>
      <c r="K497">
        <v>1705</v>
      </c>
      <c r="L497">
        <v>384</v>
      </c>
      <c r="M497">
        <v>2</v>
      </c>
      <c r="N497">
        <v>8.1128663880000005</v>
      </c>
      <c r="O497">
        <v>22.52199413</v>
      </c>
      <c r="P497">
        <v>2</v>
      </c>
    </row>
    <row r="498" spans="1:16" x14ac:dyDescent="0.35">
      <c r="A498" t="s">
        <v>713</v>
      </c>
      <c r="B498">
        <v>45651</v>
      </c>
      <c r="C498" t="s">
        <v>714</v>
      </c>
      <c r="D498">
        <v>61</v>
      </c>
      <c r="E498" t="s">
        <v>29</v>
      </c>
      <c r="F498" t="s">
        <v>50</v>
      </c>
      <c r="G498" t="s">
        <v>46</v>
      </c>
      <c r="H498" t="s">
        <v>36</v>
      </c>
      <c r="I498">
        <v>1709.65</v>
      </c>
      <c r="J498">
        <v>12991</v>
      </c>
      <c r="K498">
        <v>3816</v>
      </c>
      <c r="L498">
        <v>394</v>
      </c>
      <c r="N498">
        <v>29.374182130000001</v>
      </c>
      <c r="O498">
        <v>10.324947590000001</v>
      </c>
      <c r="P498">
        <v>3</v>
      </c>
    </row>
    <row r="499" spans="1:16" x14ac:dyDescent="0.35">
      <c r="A499" t="s">
        <v>715</v>
      </c>
      <c r="B499">
        <v>45404</v>
      </c>
      <c r="C499" t="s">
        <v>64</v>
      </c>
      <c r="D499">
        <v>48</v>
      </c>
      <c r="E499" t="s">
        <v>23</v>
      </c>
      <c r="F499" t="s">
        <v>24</v>
      </c>
      <c r="G499" t="s">
        <v>31</v>
      </c>
      <c r="H499" t="s">
        <v>36</v>
      </c>
      <c r="I499">
        <v>1638.68</v>
      </c>
      <c r="J499">
        <v>35229</v>
      </c>
      <c r="K499">
        <v>4750</v>
      </c>
      <c r="L499">
        <v>174</v>
      </c>
      <c r="M499">
        <v>1</v>
      </c>
      <c r="N499">
        <v>13.483209860000001</v>
      </c>
      <c r="O499">
        <v>3.6631578949999999</v>
      </c>
      <c r="P499">
        <v>1</v>
      </c>
    </row>
    <row r="500" spans="1:16" x14ac:dyDescent="0.35">
      <c r="A500" t="s">
        <v>716</v>
      </c>
      <c r="B500">
        <v>45292</v>
      </c>
      <c r="C500" t="s">
        <v>369</v>
      </c>
      <c r="D500">
        <v>40</v>
      </c>
      <c r="E500" t="s">
        <v>29</v>
      </c>
      <c r="F500" t="s">
        <v>57</v>
      </c>
      <c r="G500" t="s">
        <v>31</v>
      </c>
      <c r="H500" t="s">
        <v>32</v>
      </c>
      <c r="I500">
        <v>1560.04</v>
      </c>
      <c r="J500">
        <v>4611</v>
      </c>
      <c r="K500">
        <v>2522</v>
      </c>
      <c r="L500">
        <v>308</v>
      </c>
      <c r="M500">
        <v>1</v>
      </c>
      <c r="N500">
        <v>54.69529386</v>
      </c>
      <c r="O500">
        <v>12.212529740000001</v>
      </c>
      <c r="P500">
        <v>1</v>
      </c>
    </row>
    <row r="501" spans="1:16" x14ac:dyDescent="0.35">
      <c r="A501" t="s">
        <v>717</v>
      </c>
      <c r="B501">
        <v>45374</v>
      </c>
      <c r="C501" t="s">
        <v>456</v>
      </c>
      <c r="D501">
        <v>43</v>
      </c>
      <c r="E501" t="s">
        <v>35</v>
      </c>
      <c r="F501" t="s">
        <v>24</v>
      </c>
      <c r="G501" t="s">
        <v>46</v>
      </c>
      <c r="H501" t="s">
        <v>26</v>
      </c>
      <c r="I501">
        <v>767.66</v>
      </c>
      <c r="J501">
        <v>753</v>
      </c>
      <c r="K501">
        <v>627</v>
      </c>
      <c r="L501">
        <v>301</v>
      </c>
      <c r="N501">
        <v>83.266932269999998</v>
      </c>
      <c r="O501">
        <v>48.006379590000002</v>
      </c>
      <c r="P5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marketing_campaign_dataset_500_</vt:lpstr>
      <vt:lpstr>Summary sheet</vt:lpstr>
      <vt:lpstr>Lookup_table</vt:lpstr>
      <vt:lpstr>Dynamic_report</vt:lpstr>
      <vt:lpstr>Cleaned_data</vt:lpstr>
      <vt:lpstr>Pivot_report</vt:lpstr>
      <vt:lpstr>Statistical_analysis</vt:lpstr>
      <vt:lpstr>PowerBI_Data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dc:creator>
  <cp:keywords/>
  <dc:description/>
  <cp:lastModifiedBy>victoria</cp:lastModifiedBy>
  <cp:revision/>
  <dcterms:created xsi:type="dcterms:W3CDTF">2026-03-13T02:09:33Z</dcterms:created>
  <dcterms:modified xsi:type="dcterms:W3CDTF">2026-06-19T03:10:50Z</dcterms:modified>
  <cp:category/>
  <cp:contentStatus/>
</cp:coreProperties>
</file>